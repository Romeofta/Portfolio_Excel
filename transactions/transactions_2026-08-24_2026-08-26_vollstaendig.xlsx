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ownloads\Portfolio\Auswertung\transactions\"/>
    </mc:Choice>
  </mc:AlternateContent>
  <xr:revisionPtr revIDLastSave="0" documentId="13_ncr:1_{6581DD58-F56F-4588-A776-801F6EF5CFD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B5" i="1"/>
  <c r="B4" i="1"/>
  <c r="B3" i="1"/>
  <c r="B2" i="1"/>
</calcChain>
</file>

<file path=xl/sharedStrings.xml><?xml version="1.0" encoding="utf-8"?>
<sst xmlns="http://schemas.openxmlformats.org/spreadsheetml/2006/main" count="66" uniqueCount="54">
  <si>
    <t>datetime</t>
  </si>
  <si>
    <t>account_type</t>
  </si>
  <si>
    <t>category</t>
  </si>
  <si>
    <t>type</t>
  </si>
  <si>
    <t>asset_class</t>
  </si>
  <si>
    <t>name</t>
  </si>
  <si>
    <t>symbol</t>
  </si>
  <si>
    <t>shares</t>
  </si>
  <si>
    <t>price</t>
  </si>
  <si>
    <t>amount</t>
  </si>
  <si>
    <t>fee</t>
  </si>
  <si>
    <t>tax</t>
  </si>
  <si>
    <t>currency</t>
  </si>
  <si>
    <t>original_amount</t>
  </si>
  <si>
    <t>original_currency</t>
  </si>
  <si>
    <t>fx_rate</t>
  </si>
  <si>
    <t>description</t>
  </si>
  <si>
    <t>transaction_id</t>
  </si>
  <si>
    <t>counterparty_name</t>
  </si>
  <si>
    <t>counterparty_iban</t>
  </si>
  <si>
    <t>payment_reference</t>
  </si>
  <si>
    <t>mcc_code</t>
  </si>
  <si>
    <t>2026-08-24T12:26:25.143564Z</t>
  </si>
  <si>
    <t>DEFAULT</t>
  </si>
  <si>
    <t>CASH</t>
  </si>
  <si>
    <t>TRANSFER_INSTANT_INBOUND</t>
  </si>
  <si>
    <t>Romeo Talla Fotsing und Josiane Tefouemewe Tsamo</t>
  </si>
  <si>
    <t>EUR</t>
  </si>
  <si>
    <t>Incoming transfer from Romeo Talla Fotsing und Josiane Tefouemewe Tsamo (DE04731500000040868242)</t>
  </si>
  <si>
    <t>01a033bc-79f7-70b3-9d6f-4266773e6917</t>
  </si>
  <si>
    <t>DE04731500000040868242</t>
  </si>
  <si>
    <t>2026-08-24T13:37:08.331Z</t>
  </si>
  <si>
    <t>TRADING</t>
  </si>
  <si>
    <t>BUY</t>
  </si>
  <si>
    <t>FUND</t>
  </si>
  <si>
    <t>MSCI World Consumer Staples USD (Acc)</t>
  </si>
  <si>
    <t>IE00BM67HN09</t>
  </si>
  <si>
    <t>Buy trade IE00BM67HN09 Xtrackers (IE) Plc - Xtrackers MSCI World Consumer Staples UCITS ETF 1C, quantity: 8.333333</t>
  </si>
  <si>
    <t>e12245ee-66e8-46a1-b6f1-14a48d89a8fd</t>
  </si>
  <si>
    <t>2026-08-26T05:44:12.176388Z</t>
  </si>
  <si>
    <t>ROMEO TALLA FOTSING</t>
  </si>
  <si>
    <t>Incoming transfer from ROMEO TALLA FOTSING (DE16300209005310514271)</t>
  </si>
  <si>
    <t>01a03c98-f490-759d-b57f-71a2579f75be</t>
  </si>
  <si>
    <t>DE16300209005310514271</t>
  </si>
  <si>
    <t>2026-08-26T05:45:39.382Z</t>
  </si>
  <si>
    <t>STOCK</t>
  </si>
  <si>
    <t>DroneShield</t>
  </si>
  <si>
    <t>AU000000DRO2</t>
  </si>
  <si>
    <t>Buy trade AU000000DRO2 DRONESHIELD LTD, quantity: 46.104195</t>
  </si>
  <si>
    <t>cebfd72c-1354-409f-967f-4132b08561d1</t>
  </si>
  <si>
    <t>Ganze Spalte L kopieren.</t>
  </si>
  <si>
    <r>
      <t xml:space="preserve">In Spalte B → </t>
    </r>
    <r>
      <rPr>
        <b/>
        <sz val="11"/>
        <color theme="1"/>
        <rFont val="Segoe UI"/>
        <family val="2"/>
      </rPr>
      <t>Inhalte einfügen → Werte</t>
    </r>
    <r>
      <rPr>
        <sz val="11"/>
        <color theme="1"/>
        <rFont val="Segoe UI"/>
        <family val="2"/>
      </rPr>
      <t>.</t>
    </r>
  </si>
  <si>
    <t>Spalte B als Datum formatieren.</t>
  </si>
  <si>
    <t>Hilfsspalte L löschen.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</si>
</sst>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"/>
  <sheetViews>
    <sheetView tabSelected="1" workbookViewId="0">
      <selection activeCell="A11" sqref="A11"/>
    </sheetView>
  </sheetViews>
  <sheetFormatPr baseColWidth="10" defaultColWidth="9.140625" defaultRowHeight="15" x14ac:dyDescent="0.25"/>
  <cols>
    <col min="1" max="1" width="29" customWidth="1"/>
    <col min="2" max="2" width="10.140625" style="3" bestFit="1" customWidth="1"/>
    <col min="3" max="3" width="14" customWidth="1"/>
    <col min="4" max="4" width="10" customWidth="1"/>
    <col min="5" max="5" width="26" customWidth="1"/>
    <col min="6" max="6" width="13" customWidth="1"/>
    <col min="7" max="7" width="50" customWidth="1"/>
    <col min="8" max="8" width="14" customWidth="1"/>
    <col min="9" max="9" width="11" customWidth="1"/>
    <col min="10" max="10" width="8" customWidth="1"/>
    <col min="11" max="11" width="9" customWidth="1"/>
    <col min="12" max="12" width="6" customWidth="1"/>
    <col min="13" max="13" width="5" customWidth="1"/>
    <col min="14" max="14" width="10" customWidth="1"/>
    <col min="15" max="15" width="17" customWidth="1"/>
    <col min="16" max="16" width="19" customWidth="1"/>
    <col min="17" max="17" width="9" customWidth="1"/>
    <col min="18" max="18" width="60" customWidth="1"/>
    <col min="19" max="19" width="38" customWidth="1"/>
    <col min="20" max="20" width="50" customWidth="1"/>
    <col min="21" max="21" width="24" customWidth="1"/>
    <col min="22" max="22" width="19" customWidth="1"/>
    <col min="23" max="23" width="10" customWidth="1"/>
  </cols>
  <sheetData>
    <row r="1" spans="1:23" x14ac:dyDescent="0.25">
      <c r="A1" s="1" t="s">
        <v>0</v>
      </c>
      <c r="B1" s="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5">
      <c r="A2" t="s">
        <v>22</v>
      </c>
      <c r="B2" s="3">
        <f>DATE(LEFT(A2,4),MID(A2,6,2),MID(A2,9,2))</f>
        <v>46258</v>
      </c>
      <c r="C2" t="s">
        <v>23</v>
      </c>
      <c r="D2" t="s">
        <v>24</v>
      </c>
      <c r="E2" t="s">
        <v>25</v>
      </c>
      <c r="G2" t="s">
        <v>26</v>
      </c>
      <c r="K2">
        <v>401</v>
      </c>
      <c r="N2" t="s">
        <v>27</v>
      </c>
      <c r="R2" t="s">
        <v>28</v>
      </c>
      <c r="S2" t="s">
        <v>29</v>
      </c>
      <c r="T2" t="s">
        <v>26</v>
      </c>
      <c r="U2" t="s">
        <v>30</v>
      </c>
    </row>
    <row r="3" spans="1:23" x14ac:dyDescent="0.25">
      <c r="A3" t="s">
        <v>31</v>
      </c>
      <c r="B3" s="3">
        <f t="shared" ref="B3:B5" si="0">DATE(LEFT(A3,4),MID(A3,6,2),MID(A3,9,2))</f>
        <v>46258</v>
      </c>
      <c r="C3" t="s">
        <v>23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>
        <v>8.3333329999999997</v>
      </c>
      <c r="J3">
        <v>47.994999999999997</v>
      </c>
      <c r="K3">
        <v>-399.96</v>
      </c>
      <c r="L3">
        <v>-1</v>
      </c>
      <c r="N3" t="s">
        <v>27</v>
      </c>
      <c r="R3" t="s">
        <v>37</v>
      </c>
      <c r="S3" t="s">
        <v>38</v>
      </c>
    </row>
    <row r="4" spans="1:23" x14ac:dyDescent="0.25">
      <c r="A4" t="s">
        <v>39</v>
      </c>
      <c r="B4" s="3">
        <f t="shared" si="0"/>
        <v>46260</v>
      </c>
      <c r="C4" t="s">
        <v>23</v>
      </c>
      <c r="D4" t="s">
        <v>24</v>
      </c>
      <c r="E4" t="s">
        <v>25</v>
      </c>
      <c r="G4" t="s">
        <v>40</v>
      </c>
      <c r="K4">
        <v>51</v>
      </c>
      <c r="N4" t="s">
        <v>27</v>
      </c>
      <c r="R4" t="s">
        <v>41</v>
      </c>
      <c r="S4" t="s">
        <v>42</v>
      </c>
      <c r="T4" t="s">
        <v>40</v>
      </c>
      <c r="U4" t="s">
        <v>43</v>
      </c>
    </row>
    <row r="5" spans="1:23" x14ac:dyDescent="0.25">
      <c r="A5" t="s">
        <v>44</v>
      </c>
      <c r="B5" s="3">
        <f t="shared" si="0"/>
        <v>46260</v>
      </c>
      <c r="C5" t="s">
        <v>23</v>
      </c>
      <c r="D5" t="s">
        <v>32</v>
      </c>
      <c r="E5" t="s">
        <v>33</v>
      </c>
      <c r="F5" t="s">
        <v>45</v>
      </c>
      <c r="G5" t="s">
        <v>46</v>
      </c>
      <c r="H5" t="s">
        <v>47</v>
      </c>
      <c r="I5">
        <v>46.104194999999997</v>
      </c>
      <c r="J5">
        <v>1.0845</v>
      </c>
      <c r="K5">
        <v>-50</v>
      </c>
      <c r="L5">
        <v>-1</v>
      </c>
      <c r="N5" t="s">
        <v>27</v>
      </c>
      <c r="R5" t="s">
        <v>48</v>
      </c>
      <c r="S5" t="s">
        <v>49</v>
      </c>
    </row>
    <row r="9" spans="1:23" ht="16.5" x14ac:dyDescent="0.25">
      <c r="E9" s="4" t="e">
        <f>DATE(LEFT(B2,4),MID(B2,6,2),MID(B2,9,2))</f>
        <v>#VALUE!</v>
      </c>
    </row>
    <row r="12" spans="1:23" ht="16.5" x14ac:dyDescent="0.25">
      <c r="D12" s="5" t="s">
        <v>50</v>
      </c>
    </row>
    <row r="13" spans="1:23" ht="16.5" x14ac:dyDescent="0.25">
      <c r="D13" s="5" t="s">
        <v>51</v>
      </c>
    </row>
    <row r="14" spans="1:23" ht="16.5" x14ac:dyDescent="0.25">
      <c r="D14" s="5" t="s">
        <v>52</v>
      </c>
    </row>
    <row r="15" spans="1:23" ht="16.5" x14ac:dyDescent="0.25">
      <c r="D15" s="5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Talla Fotsing Roméo</dc:creator>
  <cp:lastModifiedBy>Talla Fotsing Roméo</cp:lastModifiedBy>
  <dcterms:created xsi:type="dcterms:W3CDTF">2026-08-26T06:21:42Z</dcterms:created>
  <dcterms:modified xsi:type="dcterms:W3CDTF">2026-08-26T06:52:06Z</dcterms:modified>
</cp:coreProperties>
</file>