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Documents\Portfolio_Excel\Auswertung\"/>
    </mc:Choice>
  </mc:AlternateContent>
  <xr:revisionPtr revIDLastSave="0" documentId="13_ncr:1_{6CB0D1A3-4A58-469F-9B3F-B68320012567}" xr6:coauthVersionLast="47" xr6:coauthVersionMax="47" xr10:uidLastSave="{00000000-0000-0000-0000-000000000000}"/>
  <bookViews>
    <workbookView xWindow="-120" yWindow="-120" windowWidth="38640" windowHeight="21120" activeTab="2" xr2:uid="{00000000-000D-0000-FFFF-FFFF00000000}"/>
  </bookViews>
  <sheets>
    <sheet name="Daten" sheetId="1" r:id="rId1"/>
    <sheet name="Auswertung" sheetId="2" r:id="rId2"/>
    <sheet name="Dashboard" sheetId="4" r:id="rId3"/>
    <sheet name="Pivot" sheetId="7" r:id="rId4"/>
    <sheet name="Portfolio" sheetId="8" r:id="rId5"/>
    <sheet name="Auswertung_2026" sheetId="6" r:id="rId6"/>
    <sheet name="Auswertung_2025" sheetId="5" r:id="rId7"/>
    <sheet name="Definitions" sheetId="3" r:id="rId8"/>
  </sheets>
  <definedNames>
    <definedName name="_xlnm._FilterDatabase" localSheetId="1" hidden="1">Auswertung!$A$1:$X$62</definedName>
    <definedName name="_xlnm._FilterDatabase" localSheetId="0" hidden="1">Daten!$A$1:$W$669</definedName>
    <definedName name="Datenschnitt_Asset">#N/A</definedName>
    <definedName name="Datenschnitt_Klasse">#N/A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0" i="4" l="1"/>
  <c r="C149" i="4"/>
  <c r="C148" i="4"/>
  <c r="C147" i="4"/>
  <c r="B150" i="4"/>
  <c r="B149" i="4"/>
  <c r="B148" i="4"/>
  <c r="B147" i="4"/>
  <c r="B146" i="4"/>
  <c r="B86" i="4"/>
  <c r="B85" i="4"/>
  <c r="B82" i="4"/>
  <c r="B81" i="4"/>
  <c r="B80" i="4"/>
  <c r="B79" i="4"/>
  <c r="B78" i="4"/>
  <c r="K3" i="2"/>
  <c r="K2" i="2"/>
  <c r="J3" i="2"/>
  <c r="J2" i="2"/>
  <c r="V2" i="2"/>
  <c r="U2" i="2"/>
  <c r="I2" i="2"/>
  <c r="H2" i="2"/>
  <c r="G2" i="2"/>
  <c r="E2" i="2"/>
  <c r="T2" i="2" s="1"/>
  <c r="W2" i="2" s="1"/>
  <c r="D2" i="2"/>
  <c r="F2" i="2" s="1"/>
  <c r="I3" i="2"/>
  <c r="H3" i="2"/>
  <c r="G3" i="2"/>
  <c r="E3" i="2"/>
  <c r="D3" i="2"/>
  <c r="L6" i="7"/>
  <c r="E6" i="7"/>
  <c r="G6" i="7"/>
  <c r="J6" i="7"/>
  <c r="Q2" i="2" l="1"/>
  <c r="P2" i="2"/>
  <c r="L2" i="2"/>
  <c r="I6" i="7"/>
  <c r="B55" i="4"/>
  <c r="B54" i="4"/>
  <c r="U3" i="2"/>
  <c r="V3" i="2"/>
  <c r="B97" i="4"/>
  <c r="B87" i="4"/>
  <c r="B84" i="4"/>
  <c r="C42" i="4"/>
  <c r="D40" i="4"/>
  <c r="D34" i="4"/>
  <c r="D39" i="4"/>
  <c r="D33" i="4"/>
  <c r="D38" i="4"/>
  <c r="D32" i="4"/>
  <c r="D37" i="4"/>
  <c r="D31" i="4"/>
  <c r="D36" i="4"/>
  <c r="D30" i="4"/>
  <c r="C43" i="4"/>
  <c r="C44" i="4"/>
  <c r="C45" i="4"/>
  <c r="B57" i="4"/>
  <c r="B56" i="4"/>
  <c r="D28" i="4"/>
  <c r="D22" i="4"/>
  <c r="D27" i="4"/>
  <c r="D21" i="4"/>
  <c r="D26" i="4"/>
  <c r="D20" i="4"/>
  <c r="D25" i="4"/>
  <c r="D19" i="4"/>
  <c r="D24" i="4"/>
  <c r="D18" i="4"/>
  <c r="B49" i="4"/>
  <c r="B48" i="4"/>
  <c r="B51" i="4"/>
  <c r="B50" i="4"/>
  <c r="C46" i="4"/>
  <c r="X2" i="2" l="1"/>
  <c r="S2" i="2"/>
  <c r="O2" i="2"/>
  <c r="R2" i="2" s="1"/>
  <c r="D44" i="4"/>
  <c r="D43" i="4"/>
  <c r="D46" i="4"/>
  <c r="D45" i="4"/>
  <c r="C51" i="4"/>
  <c r="C50" i="4"/>
  <c r="C49" i="4"/>
  <c r="C57" i="4"/>
  <c r="C56" i="4"/>
  <c r="C55" i="4"/>
  <c r="C58" i="4"/>
  <c r="B70" i="4"/>
  <c r="B69" i="4"/>
  <c r="B68" i="4"/>
  <c r="B66" i="4"/>
  <c r="B67" i="4"/>
  <c r="B63" i="4"/>
  <c r="B62" i="4"/>
  <c r="B64" i="4"/>
  <c r="B60" i="4"/>
  <c r="B61" i="4"/>
  <c r="B58" i="4"/>
  <c r="B52" i="4"/>
  <c r="C52" i="4" s="1"/>
  <c r="AD83" i="2"/>
  <c r="AE84" i="2" s="1"/>
  <c r="AD84" i="2"/>
  <c r="AD85" i="2"/>
  <c r="AE83" i="2"/>
  <c r="B108" i="4"/>
  <c r="B107" i="4"/>
  <c r="B106" i="4"/>
  <c r="B105" i="4"/>
  <c r="B103" i="4"/>
  <c r="B102" i="4"/>
  <c r="B101" i="4"/>
  <c r="B100" i="4"/>
  <c r="B89" i="4"/>
  <c r="B88" i="4"/>
  <c r="B6" i="4"/>
  <c r="B5" i="4"/>
  <c r="B4" i="4"/>
  <c r="B3" i="4"/>
  <c r="B98" i="4"/>
  <c r="C6" i="4" l="1"/>
  <c r="C5" i="4"/>
  <c r="C4" i="4"/>
  <c r="C3" i="4"/>
  <c r="C64" i="4"/>
  <c r="C63" i="4"/>
  <c r="C62" i="4"/>
  <c r="C61" i="4"/>
  <c r="C103" i="4"/>
  <c r="C102" i="4"/>
  <c r="C101" i="4"/>
  <c r="C107" i="4"/>
  <c r="C108" i="4"/>
  <c r="C106" i="4"/>
  <c r="C68" i="4"/>
  <c r="C67" i="4"/>
  <c r="C70" i="4"/>
  <c r="C69" i="4"/>
  <c r="T3" i="2"/>
  <c r="W3" i="2" s="1"/>
  <c r="B43" i="4" l="1"/>
  <c r="B42" i="4"/>
  <c r="B24" i="4"/>
  <c r="B18" i="4"/>
  <c r="B28" i="4"/>
  <c r="B22" i="4"/>
  <c r="B37" i="4"/>
  <c r="B32" i="4"/>
  <c r="B38" i="4"/>
  <c r="B31" i="4"/>
  <c r="B44" i="4"/>
  <c r="B21" i="4"/>
  <c r="B27" i="4"/>
  <c r="B39" i="4"/>
  <c r="B33" i="4"/>
  <c r="B34" i="4"/>
  <c r="B36" i="4"/>
  <c r="B30" i="4"/>
  <c r="B40" i="4"/>
  <c r="B26" i="4"/>
  <c r="B20" i="4"/>
  <c r="B25" i="4"/>
  <c r="B19" i="4"/>
  <c r="B45" i="4"/>
  <c r="AD78" i="2"/>
  <c r="B46" i="4"/>
  <c r="F3" i="2"/>
  <c r="P3" i="2" s="1"/>
  <c r="C20" i="4" l="1"/>
  <c r="C19" i="4"/>
  <c r="C22" i="4"/>
  <c r="C21" i="4"/>
  <c r="C28" i="4"/>
  <c r="C27" i="4"/>
  <c r="C25" i="4"/>
  <c r="C26" i="4"/>
  <c r="C33" i="4"/>
  <c r="C32" i="4"/>
  <c r="C31" i="4"/>
  <c r="C34" i="4"/>
  <c r="C40" i="4"/>
  <c r="C39" i="4"/>
  <c r="C37" i="4"/>
  <c r="C38" i="4"/>
  <c r="L3" i="2"/>
  <c r="Q3" i="2"/>
  <c r="B72" i="4"/>
  <c r="B73" i="4"/>
  <c r="X3" i="2"/>
  <c r="AD86" i="2"/>
  <c r="AE86" i="2"/>
  <c r="AD77" i="2"/>
  <c r="B75" i="4"/>
  <c r="B74" i="4"/>
  <c r="B76" i="4"/>
  <c r="C144" i="4" l="1"/>
  <c r="B144" i="4"/>
  <c r="C76" i="4"/>
  <c r="C74" i="4"/>
  <c r="C73" i="4"/>
  <c r="C75" i="4"/>
  <c r="O3" i="2"/>
  <c r="S3" i="2"/>
  <c r="B110" i="4"/>
  <c r="B91" i="4"/>
  <c r="B8" i="4"/>
  <c r="B92" i="4"/>
  <c r="AC76" i="2"/>
  <c r="AD76" i="2"/>
  <c r="B111" i="4"/>
  <c r="B114" i="4"/>
  <c r="B95" i="4"/>
  <c r="B113" i="4"/>
  <c r="B94" i="4"/>
  <c r="B112" i="4"/>
  <c r="B93" i="4"/>
  <c r="B15" i="4"/>
  <c r="B10" i="4"/>
  <c r="B16" i="4"/>
  <c r="B11" i="4"/>
  <c r="B13" i="4"/>
  <c r="B14" i="4"/>
  <c r="B9" i="4"/>
  <c r="C11" i="4" l="1"/>
  <c r="C10" i="4"/>
  <c r="C9" i="4"/>
  <c r="C8" i="4"/>
  <c r="C94" i="4"/>
  <c r="C128" i="4"/>
  <c r="C92" i="4"/>
  <c r="C95" i="4"/>
  <c r="C93" i="4"/>
  <c r="C114" i="4"/>
  <c r="C113" i="4"/>
  <c r="C112" i="4"/>
  <c r="C111" i="4"/>
  <c r="B138" i="4"/>
  <c r="B142" i="4" s="1"/>
  <c r="B129" i="4"/>
  <c r="B139" i="4"/>
  <c r="B143" i="4" s="1"/>
  <c r="C129" i="4"/>
  <c r="R3" i="2"/>
  <c r="B122" i="4"/>
  <c r="B116" i="4"/>
  <c r="B117" i="4"/>
  <c r="B128" i="4"/>
  <c r="B140" i="4"/>
  <c r="C130" i="4"/>
  <c r="B131" i="4"/>
  <c r="B132" i="4"/>
  <c r="B130" i="4"/>
  <c r="C131" i="4"/>
  <c r="C132" i="4"/>
  <c r="B124" i="4"/>
  <c r="B118" i="4"/>
  <c r="B119" i="4"/>
  <c r="B125" i="4"/>
  <c r="B123" i="4"/>
  <c r="B126" i="4"/>
  <c r="B120" i="4"/>
  <c r="D129" i="4" l="1"/>
  <c r="E129" i="4"/>
  <c r="E130" i="4"/>
  <c r="E132" i="4"/>
  <c r="E131" i="4"/>
  <c r="C119" i="4"/>
  <c r="C118" i="4"/>
  <c r="C117" i="4"/>
  <c r="C120" i="4"/>
  <c r="C123" i="4"/>
  <c r="C126" i="4"/>
  <c r="C125" i="4"/>
  <c r="C124" i="4"/>
  <c r="C82" i="4"/>
  <c r="C81" i="4"/>
  <c r="C80" i="4"/>
  <c r="C79" i="4"/>
  <c r="B136" i="4"/>
  <c r="B134" i="4"/>
  <c r="C142" i="4" s="1"/>
  <c r="B135" i="4"/>
  <c r="C143" i="4" s="1"/>
  <c r="D130" i="4"/>
  <c r="D131" i="4"/>
  <c r="D128" i="4"/>
  <c r="D13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FF8D45-C25D-4E71-81A2-5166D9ABB2D9}" keepAlive="1" name="Abfrage - transactions_2026-09-02_2026-09-16" description="Verbindung mit der Abfrage 'transactions_2026-09-02_2026-09-16' in der Arbeitsmappe." type="5" refreshedVersion="0" background="1">
    <dbPr connection="Provider=Microsoft.Mashup.OleDb.1;Data Source=$Workbook$;Location=transactions_2026-09-02_2026-09-16;Extended Properties=&quot;&quot;" command="SELECT * FROM [transactions_2026-09-02_2026-09-16]"/>
  </connection>
</connections>
</file>

<file path=xl/sharedStrings.xml><?xml version="1.0" encoding="utf-8"?>
<sst xmlns="http://schemas.openxmlformats.org/spreadsheetml/2006/main" count="652" uniqueCount="272">
  <si>
    <t>datetime</t>
  </si>
  <si>
    <t>date</t>
  </si>
  <si>
    <t>account_type</t>
  </si>
  <si>
    <t>category</t>
  </si>
  <si>
    <t>type</t>
  </si>
  <si>
    <t>asset_class</t>
  </si>
  <si>
    <t>name</t>
  </si>
  <si>
    <t>symbol</t>
  </si>
  <si>
    <t>shares</t>
  </si>
  <si>
    <t>price</t>
  </si>
  <si>
    <t>amount</t>
  </si>
  <si>
    <t>fee</t>
  </si>
  <si>
    <t>tax</t>
  </si>
  <si>
    <t>currency</t>
  </si>
  <si>
    <t>original_amount</t>
  </si>
  <si>
    <t>original_currency</t>
  </si>
  <si>
    <t>fx_rate</t>
  </si>
  <si>
    <t>description</t>
  </si>
  <si>
    <t>transaction_id</t>
  </si>
  <si>
    <t>counterparty_name</t>
  </si>
  <si>
    <t>counterparty_iban</t>
  </si>
  <si>
    <t>payment_reference</t>
  </si>
  <si>
    <t>mcc_code</t>
  </si>
  <si>
    <t>CASH</t>
  </si>
  <si>
    <t>TRANSFER_INSTANT_INBOUND</t>
  </si>
  <si>
    <t>EUR</t>
  </si>
  <si>
    <t>TRADING</t>
  </si>
  <si>
    <t>BUY</t>
  </si>
  <si>
    <t>Incoming transfer from ROMEO TALLA FOTSING (DE16300209005310514271)</t>
  </si>
  <si>
    <t>FUND</t>
  </si>
  <si>
    <t>Incoming transfer from Romeo Talla Fotsing und Josiane Tefouemewe Tsamo (DE04731500000040868242)</t>
  </si>
  <si>
    <t>TRANSFER_OUT</t>
  </si>
  <si>
    <t>TRANSFER_IN</t>
  </si>
  <si>
    <t>Roméo Talla Fotsing</t>
  </si>
  <si>
    <t>Asset</t>
  </si>
  <si>
    <t>Klasse</t>
  </si>
  <si>
    <t>Käufe Stück</t>
  </si>
  <si>
    <t>Verkäufe Stück</t>
  </si>
  <si>
    <t>Bestand</t>
  </si>
  <si>
    <t>Investiert €</t>
  </si>
  <si>
    <t>Verkauft €</t>
  </si>
  <si>
    <t>Gebühren €</t>
  </si>
  <si>
    <t>Netto P&amp;L €</t>
  </si>
  <si>
    <t>Status</t>
  </si>
  <si>
    <t>Portfolio KPIs</t>
  </si>
  <si>
    <t>Anzahl Assets</t>
  </si>
  <si>
    <t>Gebühren</t>
  </si>
  <si>
    <t>Aktueller Kurs €</t>
  </si>
  <si>
    <t>Aktuelle Position €</t>
  </si>
  <si>
    <t>KPI</t>
  </si>
  <si>
    <t>Bedeutung</t>
  </si>
  <si>
    <t>Portfolio-Wert</t>
  </si>
  <si>
    <t>Aktueller Gesamtwert aller Positionen</t>
  </si>
  <si>
    <t>Investiertes Kapital</t>
  </si>
  <si>
    <t>Summe aller Einzahlungen und Käufe</t>
  </si>
  <si>
    <t>Gewinn/Verlust (P&amp;L)</t>
  </si>
  <si>
    <t>Rendite (%)</t>
  </si>
  <si>
    <t>Anzahl Positionen</t>
  </si>
  <si>
    <t>Wie viele Wertpapiere/Kryptos im Portfolio sind</t>
  </si>
  <si>
    <t>Asset-Allokation</t>
  </si>
  <si>
    <t>Verteilung auf Aktien, ETFs, Krypto usw.</t>
  </si>
  <si>
    <t>Cash-Bestand</t>
  </si>
  <si>
    <t>Nicht investiertes Guthaben</t>
  </si>
  <si>
    <t>Summe aller Handelskosten</t>
  </si>
  <si>
    <t>Realisierte Gewinne</t>
  </si>
  <si>
    <t>Gewinne aus bereits verkauften Positionen</t>
  </si>
  <si>
    <t>Nicht realisierte Gewinne</t>
  </si>
  <si>
    <t>Gewinne/Verluste aus aktuellen Positionen</t>
  </si>
  <si>
    <t>Steuer</t>
  </si>
  <si>
    <t>Aktueller Portfolio-Wert</t>
  </si>
  <si>
    <t>Einstandskurs €</t>
  </si>
  <si>
    <t>Alle Portfolio Einzahlungen</t>
  </si>
  <si>
    <t>Alle Portfolio Auszahlungen</t>
  </si>
  <si>
    <t>Alle Portfolio Käufe</t>
  </si>
  <si>
    <t>Alle Portfolio Verkäufe</t>
  </si>
  <si>
    <t>Aktueller Portfolio-Wert STOCK&amp;FUND</t>
  </si>
  <si>
    <t>Aktueller Portfolio-Wert CRYPTO</t>
  </si>
  <si>
    <t>Anzahl STOCK</t>
  </si>
  <si>
    <t>Anzahl FUND</t>
  </si>
  <si>
    <t>Anzahl CRYPTO</t>
  </si>
  <si>
    <t>Offene STOCK</t>
  </si>
  <si>
    <t>Offene FUND</t>
  </si>
  <si>
    <t>Offene CRYPTO</t>
  </si>
  <si>
    <t>Offene Assets</t>
  </si>
  <si>
    <t>Closed Assets</t>
  </si>
  <si>
    <t>Closed STOCK</t>
  </si>
  <si>
    <t>Closed FUND</t>
  </si>
  <si>
    <t>Closed CRYPTO</t>
  </si>
  <si>
    <t>Realisierte Netto P&amp;L</t>
  </si>
  <si>
    <t>Realisierte Netto P&amp;L STOCK&amp;FUND</t>
  </si>
  <si>
    <t>Realisierte Netto P&amp;L CRYPTO</t>
  </si>
  <si>
    <t>Gebüren STOCK</t>
  </si>
  <si>
    <t>Gebüren FUND</t>
  </si>
  <si>
    <t>Gebühren CRYPTO</t>
  </si>
  <si>
    <t>Steuer STOCK</t>
  </si>
  <si>
    <t>Steuer FUND</t>
  </si>
  <si>
    <t>Steuer CRYPTO</t>
  </si>
  <si>
    <t>Steuerkorrektur</t>
  </si>
  <si>
    <t>Alle Portfolio Käufe STOCK</t>
  </si>
  <si>
    <t>Alle Portfolio Käufe FUND</t>
  </si>
  <si>
    <t>Alle Portfolio Käufe CRYPTO</t>
  </si>
  <si>
    <t>Alle Portfolio Verkäufe STOCK</t>
  </si>
  <si>
    <t>Alle Portfolio Verkäufe FUND</t>
  </si>
  <si>
    <t>Alle Portfolio Verkäufe CRYPTO</t>
  </si>
  <si>
    <t>Aktuelle Rendite</t>
  </si>
  <si>
    <r>
      <t>Wie viel Gewinn(</t>
    </r>
    <r>
      <rPr>
        <b/>
        <sz val="11"/>
        <color theme="1"/>
        <rFont val="Segoe UI"/>
        <family val="2"/>
      </rPr>
      <t>P</t>
    </r>
    <r>
      <rPr>
        <sz val="11"/>
        <color theme="1"/>
        <rFont val="Segoe UI"/>
        <family val="2"/>
      </rPr>
      <t>roft) oder Verlust(</t>
    </r>
    <r>
      <rPr>
        <b/>
        <sz val="11"/>
        <color theme="1"/>
        <rFont val="Segoe UI"/>
        <family val="2"/>
      </rPr>
      <t>L</t>
    </r>
    <r>
      <rPr>
        <sz val="11"/>
        <color theme="1"/>
        <rFont val="Segoe UI"/>
        <family val="2"/>
      </rPr>
      <t>ost) erzielt wurde</t>
    </r>
  </si>
  <si>
    <t>Gewinn oder Verlust im Verhältnis zum eingesetzten Kapital</t>
  </si>
  <si>
    <t>Aktueller Portfolio-Wert STOCK</t>
  </si>
  <si>
    <t>Aktueller Portfolio-Wert FUND</t>
  </si>
  <si>
    <t>Realisierte Netto P&amp;L STOCK</t>
  </si>
  <si>
    <t>Realisierte Netto P&amp;L FUND</t>
  </si>
  <si>
    <t>Aktuell Investiert €</t>
  </si>
  <si>
    <t>Aktuell Portofolio Investiert</t>
  </si>
  <si>
    <t>Aktuell Portfolio Investiert STOCK&amp;FUND</t>
  </si>
  <si>
    <t>Aktuell Portfolio Investiert STOCK</t>
  </si>
  <si>
    <t>Aktuell Portfolio Investiert FUND</t>
  </si>
  <si>
    <t>Aktuell Portfolio Investiert CRYPTO</t>
  </si>
  <si>
    <t>Gesamte Performance STOCK&amp;FUND</t>
  </si>
  <si>
    <t>Gesamte Performance CRYPTO</t>
  </si>
  <si>
    <t>Gesamte Performance</t>
  </si>
  <si>
    <t>Gesamte Rendite STOCK&amp;FUND</t>
  </si>
  <si>
    <t>Gesamte Rendite CRYPTO</t>
  </si>
  <si>
    <t>Gesamte Rendite Portfolio</t>
  </si>
  <si>
    <t>Realisierte P&amp;L Verkäufe</t>
  </si>
  <si>
    <t>Realisierte  P&amp;L STOCK&amp;FUND Verkäufe</t>
  </si>
  <si>
    <t>Realisierte P&amp;L STOCK Verkäufe</t>
  </si>
  <si>
    <t>Realisierte P&amp;L FUND Verkäufe</t>
  </si>
  <si>
    <t>Realisierte  P&amp;L CRYPTO Verkäufe</t>
  </si>
  <si>
    <t>Realisierte P&amp;L Verkäufe €</t>
  </si>
  <si>
    <t>Aktuell Nicht realisierte Lost</t>
  </si>
  <si>
    <t>Aktuell Nicht realisierte Lost STOCK&amp;FUND</t>
  </si>
  <si>
    <t>Aktuell Nicht realisierte Lost CRYPTO</t>
  </si>
  <si>
    <t>Aktuell Nicht realisierte Profit</t>
  </si>
  <si>
    <t>Aktuell Nicht realisierte Profit STOCK&amp;FUND</t>
  </si>
  <si>
    <t>Aktuell Nicht realisierte Profit CRYPTO</t>
  </si>
  <si>
    <t>Aktuell Nicht realisierte P&amp;L</t>
  </si>
  <si>
    <t>Aktuell Nicht realisierte P&amp;L STOCK&amp;FUND</t>
  </si>
  <si>
    <t>Aktuell Nicht realisierte P&amp;L CRYPTO</t>
  </si>
  <si>
    <t>Aktuell nicht realisierte P&amp;L €</t>
  </si>
  <si>
    <t>Investiertes Kapital Verkäufe €</t>
  </si>
  <si>
    <t>Gebühren Käufe</t>
  </si>
  <si>
    <t>Gebüren Käufe STOCK</t>
  </si>
  <si>
    <t>Gebüren Käufe FUND</t>
  </si>
  <si>
    <t>Gebüren Käufe CRYPTO</t>
  </si>
  <si>
    <t>Gebüren Verkäufe STOCK</t>
  </si>
  <si>
    <t>Gebühren Verkäufe</t>
  </si>
  <si>
    <t>Gebüren Verkäufe FUND</t>
  </si>
  <si>
    <t>Gebüren Verkäufe CRYPTO</t>
  </si>
  <si>
    <t>Aktuell Nicht realisierte Lost STOCK</t>
  </si>
  <si>
    <t>Aktuell Nicht realisierte Lost FUND</t>
  </si>
  <si>
    <t>Aktuell Nicht realisierte Profit STOCK</t>
  </si>
  <si>
    <t>Aktuell Nicht realisierte Profit FUND</t>
  </si>
  <si>
    <t>Rendite Verkäufe</t>
  </si>
  <si>
    <t>Gesamte Rendite</t>
  </si>
  <si>
    <t>Aktuell Nicht realisierte P&amp;L STOCK</t>
  </si>
  <si>
    <t>Aktuell Nicht realisierte P&amp;L FUND</t>
  </si>
  <si>
    <t>Gebüren STOCK&amp;FUND</t>
  </si>
  <si>
    <t>Gebüren Käufe STOCK&amp;FUND</t>
  </si>
  <si>
    <t>Gebüren Verkäufe STOCK&amp;FUND</t>
  </si>
  <si>
    <t>Aktuell Brutto Nicht realisierte P&amp;L</t>
  </si>
  <si>
    <t>Aktuell Brutto Nicht realisierte P&amp;L STOCK&amp;FUND</t>
  </si>
  <si>
    <t>Aktuell Brutto Nicht realisierte P&amp;L CRYPTO</t>
  </si>
  <si>
    <t>Brutto Investiert</t>
  </si>
  <si>
    <t>Brutto Investiert STOCK&amp;FUND</t>
  </si>
  <si>
    <t>Brutto Investiert STOCK</t>
  </si>
  <si>
    <t>Brutto Investiert FUND</t>
  </si>
  <si>
    <t>Brutto Investiert CRYPTO</t>
  </si>
  <si>
    <t>Netto  Investiert</t>
  </si>
  <si>
    <t>Netto Investiert STOCK&amp;FUND</t>
  </si>
  <si>
    <t>Netto  Investiert STOCK</t>
  </si>
  <si>
    <t>Netto Investiert FUND</t>
  </si>
  <si>
    <t>Netto Investiert CRYPTO</t>
  </si>
  <si>
    <t>Brutto Verkauft STOCK&amp;FUND</t>
  </si>
  <si>
    <t>Brutto Verkauft STOCK</t>
  </si>
  <si>
    <t>Brutto Verkauft FUND</t>
  </si>
  <si>
    <t>Brutto Verkauft CRYPTO</t>
  </si>
  <si>
    <t>Brutto Verkauft</t>
  </si>
  <si>
    <t>Netto Verkauft</t>
  </si>
  <si>
    <t>Netto Verkauft STOCK&amp;FUND</t>
  </si>
  <si>
    <t>Netto Verkauft STOCK</t>
  </si>
  <si>
    <t>Netto Verkauft FUND</t>
  </si>
  <si>
    <t>Netto Verkauft CRYPTO</t>
  </si>
  <si>
    <t>Steur STOCK&amp;FUND</t>
  </si>
  <si>
    <t>Symbol</t>
  </si>
  <si>
    <t>Anzahl Käufe mit Gebühren</t>
  </si>
  <si>
    <t>Anzahl Käufe STOCK&amp;FUND mit Gebühren</t>
  </si>
  <si>
    <t>Anzahl Käufe STOCK mit Gebühren</t>
  </si>
  <si>
    <t>Anzahl Käufe FUND mit Gebühren</t>
  </si>
  <si>
    <t>Anzahl Käufe CRYPTO mit Gebühren</t>
  </si>
  <si>
    <t>Anzahl Verkäufe mit Gebühren</t>
  </si>
  <si>
    <t>Anzahl Verkäufe STOCK&amp;FUND mit Gebühren</t>
  </si>
  <si>
    <t>Anzahl Verkäufe STOCK mit Gebühren</t>
  </si>
  <si>
    <t>Anzahl Verkäufe FUND mit Gebühren</t>
  </si>
  <si>
    <t>Anzahl Verkäufe CRYPTO mit Gebühren</t>
  </si>
  <si>
    <t>Anzahl Kauforders</t>
  </si>
  <si>
    <t>Anzahl Verkaufsorders</t>
  </si>
  <si>
    <t>Gesamtergebnis</t>
  </si>
  <si>
    <t>Assets</t>
  </si>
  <si>
    <t>Aktueller Wert</t>
  </si>
  <si>
    <t>Einkaufswert</t>
  </si>
  <si>
    <t>G/V:</t>
  </si>
  <si>
    <t>Kurswert</t>
  </si>
  <si>
    <t>FUND Ergebnis</t>
  </si>
  <si>
    <t xml:space="preserve">Bestand </t>
  </si>
  <si>
    <t>Verkaufserlöse Gewinn/Verlust</t>
  </si>
  <si>
    <t>JUNIOR</t>
  </si>
  <si>
    <t/>
  </si>
  <si>
    <t>Incoming transfer from Roméo Talla Fotsing (DE96100123455602601111)</t>
  </si>
  <si>
    <t>019d8fff-883f-7691-b1a0-d7be7cf45875</t>
  </si>
  <si>
    <t>Outgoing transfer for Roméo Talla Fotsing (DE96100123455602601111)</t>
  </si>
  <si>
    <t>019d91d3-0c5c-7f8d-a688-973edea44017</t>
  </si>
  <si>
    <t>019d956f-c4f6-79bc-929e-d14af3a26907</t>
  </si>
  <si>
    <t>019d95ac-4023-7176-b841-3cb64639177d</t>
  </si>
  <si>
    <t>FTSE All-World USD (Acc)</t>
  </si>
  <si>
    <t>IE00BK5BQT80</t>
  </si>
  <si>
    <t>Buy trade IE00BK5BQT80 Vanguard Funds PLC - Vanguard FTSE All-World UCITS ETF (USD) Accumulating, quantity: 1</t>
  </si>
  <si>
    <t>83394b0d-c02f-417d-8aef-f45a52798140</t>
  </si>
  <si>
    <t>Buy trade IE00BK5BQT80 Vanguard Funds PLC - Vanguard FTSE All-World UCITS ETF (USD) Accumulating, quantity: 0.31787</t>
  </si>
  <si>
    <t>26aa346e-f107-4aaf-803a-c2489e040d34</t>
  </si>
  <si>
    <t>019d9776-48b1-74ea-85a1-887b5bba56bc</t>
  </si>
  <si>
    <t>Buy trade IE00BK5BQT80 Vanguard Funds PLC - Vanguard FTSE All-World UCITS ETF (USD) Accumulating, quantity: 0.389336</t>
  </si>
  <si>
    <t>e9e39643-a2b2-4ccf-87af-1f2ffafc8431</t>
  </si>
  <si>
    <t>019d977b-58c3-7807-9406-0778a9794523</t>
  </si>
  <si>
    <t>019d9779-70c1-7c80-91e5-69ef8fb76c2a</t>
  </si>
  <si>
    <t xml:space="preserve"> Kindergeld cash reward 1c971be4-8592-4cb4-acb0-61395e0b67d1 for reservation: c345759e-d06a-4555-b2d1-cab44018f7e5</t>
  </si>
  <si>
    <t>019de11a-7bd6-77eb-bf66-edc10872aeec</t>
  </si>
  <si>
    <t>Savings plan execution IE00BK5BQT80 Vanguard Funds PLC - Vanguard FTSE All-World UCITS ETF (USD) Accumulating, quantity: 0.000128</t>
  </si>
  <si>
    <t>9817eb8e-0953-463d-ac84-e3d7993d86fe</t>
  </si>
  <si>
    <t>Buy trade IE00BK5BQT80 Vanguard Funds PLC - Vanguard FTSE All-World UCITS ETF (USD) Accumulating, quantity: 0.315736</t>
  </si>
  <si>
    <t>25bd0be4-73c4-43db-bde8-cd6d821d08bd</t>
  </si>
  <si>
    <t>019e01b9-8abc-768e-9178-6134bd2fe1e2</t>
  </si>
  <si>
    <t>DE96100123455602601111</t>
  </si>
  <si>
    <t>019e6b27-a8b3-7c11-93ab-5197c9a75e66</t>
  </si>
  <si>
    <t>Buy trade IE00BK5BQT80 Vanguard Funds PLC - Vanguard FTSE All-World UCITS ETF (USD) Accumulating, quantity: 0.307049</t>
  </si>
  <si>
    <t>ccd0e548-775c-457a-a6de-e6e4d785debe</t>
  </si>
  <si>
    <t xml:space="preserve"> Kindergeld cash reward 37ff4e29-7c9e-41df-a062-63bc6d0cc72a for reservation: 2cfff6c1-e33a-4c93-bee4-2b1d7047f534</t>
  </si>
  <si>
    <t>019e8158-32d6-7b00-ad58-df993af5a8d3</t>
  </si>
  <si>
    <t>Savings plan execution IE00BK5BQT80 Vanguard Funds PLC - Vanguard FTSE All-World UCITS ETF (USD) Accumulating, quantity: 0.000303</t>
  </si>
  <si>
    <t>89a986d7-e148-4149-a88a-b45a6d92cc41</t>
  </si>
  <si>
    <t>Buy trade IE00BK5BQT80 Vanguard Funds PLC - Vanguard FTSE All-World UCITS ETF (USD) Accumulating, quantity: 0.306522</t>
  </si>
  <si>
    <t>3e9e4e02-13fb-4f2f-9232-ec9fdcf1ddd6</t>
  </si>
  <si>
    <t>019f0449-9dc5-7375-9a1a-a752f5529856</t>
  </si>
  <si>
    <t xml:space="preserve"> Kindergeld cash reward 207dbdfe-d48f-46c6-8630-0b84d50e138d for reservation: 74df3cbf-8058-4937-ae21-42cabf2f73a8</t>
  </si>
  <si>
    <t>019f1b9d-fb58-7305-bdc6-d9f129243512</t>
  </si>
  <si>
    <t>Savings plan execution IE00BK5BQT80 Vanguard Funds PLC - Vanguard FTSE All-World UCITS ETF (USD) Accumulating, quantity: 0.000362</t>
  </si>
  <si>
    <t>bc470a60-e397-4200-ac7e-8eec5ac5002e</t>
  </si>
  <si>
    <t>019fafa5-ca2e-703f-8c5e-5bb90f7c2b27</t>
  </si>
  <si>
    <t>Buy trade IE00BK5BQT80 Vanguard Funds PLC - Vanguard FTSE All-World UCITS ETF (USD) Accumulating, quantity: 0.311293</t>
  </si>
  <si>
    <t>16965537-0fbc-45ef-b757-be2e46410000</t>
  </si>
  <si>
    <t xml:space="preserve"> Kindergeld cash reward 3cc00566-9dd6-41ac-ba76-49f3938606c0 for reservation: fca38b17-6a6b-487d-ab4e-4916e61132bb</t>
  </si>
  <si>
    <t>019fc552-3206-78b9-b070-b3d12fbaeb73</t>
  </si>
  <si>
    <t>Savings plan execution IE00BK5BQT80 Vanguard Funds PLC - Vanguard FTSE All-World UCITS ETF (USD) Accumulating, quantity: 0.000424</t>
  </si>
  <si>
    <t>a008839f-6dde-4f38-8808-cbb1ea273ea1</t>
  </si>
  <si>
    <t xml:space="preserve"> Kindergeld cash reward a6b65297-b926-4150-bc1f-e433b955f6f3 for reservation: e7cefca1-ca85-451c-80b1-1fa9101a2962</t>
  </si>
  <si>
    <t>01a05ac1-d1d3-7db8-bbcc-57674726456e</t>
  </si>
  <si>
    <t>Savings plan execution IE00BK5BQT80 Vanguard Funds PLC - Vanguard FTSE All-World UCITS ETF (USD) Accumulating, quantity: 0.000359</t>
  </si>
  <si>
    <t>0028a83f-2207-464d-bffe-6e5b7b8a209e</t>
  </si>
  <si>
    <t>ROMEO TALLA FOTSING</t>
  </si>
  <si>
    <t>01a0f1e9-a83d-7435-8a91-aac572d31cb2</t>
  </si>
  <si>
    <t>DE16300209005310514271</t>
  </si>
  <si>
    <t>STOCK</t>
  </si>
  <si>
    <t>DroneShield</t>
  </si>
  <si>
    <t>AU000000DRO2</t>
  </si>
  <si>
    <t>Buy trade AU000000DRO2 DRONESHIELD LTD, quantity: 47.709923</t>
  </si>
  <si>
    <t>314c83be-d3b1-41e2-ae49-697738aec412</t>
  </si>
  <si>
    <t>STOCK Ergebnis</t>
  </si>
  <si>
    <t>Tax</t>
  </si>
  <si>
    <t>Gesamt Investiertes Kapital aus Verkäufen</t>
  </si>
  <si>
    <t>Gesamt Investiertes Kapital aus Verkäufen STOCK&amp;FUND</t>
  </si>
  <si>
    <t>Gesamt Investiertes Kapital aus Verkäufen STOCK</t>
  </si>
  <si>
    <t>Gesamt Investiertes Kapital aus Verkäufen FUND</t>
  </si>
  <si>
    <t>Gesamt Investiertes Kapital aus Verkäufen CRYPTO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</si>
</sst>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quot;_-;\-* #,##0.00\ &quot;€&quot;_-;_-* &quot;-&quot;??\ &quot;€&quot;_-;_-@_-"/>
    <numFmt numFmtId="164" formatCode="#,##0.00\ &quot;€&quot;"/>
    <numFmt numFmtId="165" formatCode="#,##0.00000\ &quot;€&quot;"/>
    <numFmt numFmtId="166" formatCode="#,##0.000\ &quot;€&quot;"/>
    <numFmt numFmtId="167" formatCode="0.000000"/>
  </numFmts>
  <fonts count="8" x14ac:knownFonts="1">
    <font>
      <sz val="11"/>
      <color theme="1"/>
      <name val="Calibri"/>
      <family val="2"/>
      <scheme val="minor"/>
    </font>
    <font>
      <b/>
      <sz val="11"/>
      <color rgb="FFFFFFFF"/>
      <name val="Calibri"/>
      <family val="2"/>
    </font>
    <font>
      <sz val="11"/>
      <color theme="1"/>
      <name val="Segoe UI"/>
      <family val="2"/>
    </font>
    <font>
      <b/>
      <sz val="11"/>
      <color theme="1"/>
      <name val="Segoe UI"/>
      <family val="2"/>
    </font>
    <font>
      <b/>
      <sz val="12"/>
      <name val="Times New Roman"/>
      <family val="1"/>
    </font>
    <font>
      <sz val="12"/>
      <color theme="1"/>
      <name val="Times New Roman"/>
      <family val="1"/>
    </font>
    <font>
      <b/>
      <sz val="11"/>
      <color rgb="FFFFFFFF"/>
      <name val="Calibri"/>
      <family val="2"/>
    </font>
    <font>
      <sz val="11"/>
      <color theme="1"/>
      <name val="Calibri"/>
      <family val="2"/>
      <scheme val="minor"/>
    </font>
  </fonts>
  <fills count="6">
    <fill>
      <patternFill patternType="none"/>
    </fill>
    <fill>
      <patternFill patternType="gray125"/>
    </fill>
    <fill>
      <patternFill patternType="solid">
        <fgColor theme="3"/>
        <bgColor indexed="64"/>
      </patternFill>
    </fill>
    <fill>
      <patternFill patternType="solid">
        <fgColor rgb="FF1F4E78"/>
      </patternFill>
    </fill>
    <fill>
      <patternFill patternType="solid">
        <fgColor rgb="FFF5F5F5"/>
        <bgColor indexed="64"/>
      </patternFill>
    </fill>
    <fill>
      <patternFill patternType="solid">
        <fgColor rgb="FF4472C4"/>
      </patternFill>
    </fill>
  </fills>
  <borders count="3">
    <border>
      <left/>
      <right/>
      <top/>
      <bottom/>
      <diagonal/>
    </border>
    <border>
      <left style="thin">
        <color auto="1"/>
      </left>
      <right style="thin">
        <color auto="1"/>
      </right>
      <top style="thin">
        <color auto="1"/>
      </top>
      <bottom style="thin">
        <color auto="1"/>
      </bottom>
      <diagonal/>
    </border>
    <border>
      <left style="medium">
        <color rgb="FFE6E6E6"/>
      </left>
      <right style="medium">
        <color rgb="FFE6E6E6"/>
      </right>
      <top style="medium">
        <color rgb="FFE6E6E6"/>
      </top>
      <bottom style="medium">
        <color rgb="FFE6E6E6"/>
      </bottom>
      <diagonal/>
    </border>
  </borders>
  <cellStyleXfs count="2">
    <xf numFmtId="0" fontId="0" fillId="0" borderId="0"/>
    <xf numFmtId="44" fontId="7" fillId="0" borderId="0" applyFont="0" applyFill="0" applyBorder="0" applyAlignment="0" applyProtection="0"/>
  </cellStyleXfs>
  <cellXfs count="42">
    <xf numFmtId="0" fontId="0" fillId="0" borderId="0" xfId="0"/>
    <xf numFmtId="14" fontId="0" fillId="0" borderId="0" xfId="0" applyNumberFormat="1" applyAlignment="1">
      <alignment horizontal="center"/>
    </xf>
    <xf numFmtId="0" fontId="3" fillId="4" borderId="2" xfId="0" applyFont="1" applyFill="1" applyBorder="1" applyAlignment="1">
      <alignment horizontal="center" vertical="center" wrapText="1"/>
    </xf>
    <xf numFmtId="0" fontId="2" fillId="0" borderId="2" xfId="0" applyFont="1" applyBorder="1" applyAlignment="1">
      <alignment vertical="center" wrapText="1"/>
    </xf>
    <xf numFmtId="0" fontId="1" fillId="3" borderId="0" xfId="0" applyFont="1" applyFill="1" applyAlignment="1">
      <alignment horizontal="center"/>
    </xf>
    <xf numFmtId="0" fontId="0" fillId="0" borderId="0" xfId="0" applyAlignment="1">
      <alignment horizontal="center"/>
    </xf>
    <xf numFmtId="164" fontId="0" fillId="0" borderId="0" xfId="0" applyNumberFormat="1" applyAlignment="1">
      <alignment horizontal="center"/>
    </xf>
    <xf numFmtId="10" fontId="0" fillId="0" borderId="0" xfId="0" applyNumberFormat="1" applyAlignment="1">
      <alignment horizontal="center"/>
    </xf>
    <xf numFmtId="0" fontId="1" fillId="3" borderId="0" xfId="0" applyFont="1" applyFill="1" applyAlignment="1">
      <alignment horizontal="left"/>
    </xf>
    <xf numFmtId="0" fontId="0" fillId="0" borderId="0" xfId="0" applyAlignment="1">
      <alignment horizontal="left"/>
    </xf>
    <xf numFmtId="0" fontId="4" fillId="0" borderId="0" xfId="0" applyFont="1" applyAlignment="1">
      <alignment horizontal="left"/>
    </xf>
    <xf numFmtId="0" fontId="5" fillId="0" borderId="0" xfId="0" applyFont="1" applyAlignment="1">
      <alignment horizontal="center"/>
    </xf>
    <xf numFmtId="0" fontId="5" fillId="0" borderId="0" xfId="0" applyFont="1"/>
    <xf numFmtId="0" fontId="5" fillId="0" borderId="0" xfId="0" applyFont="1" applyAlignment="1">
      <alignment horizontal="left"/>
    </xf>
    <xf numFmtId="164" fontId="5" fillId="0" borderId="0" xfId="0" applyNumberFormat="1" applyFont="1" applyAlignment="1">
      <alignment horizontal="center"/>
    </xf>
    <xf numFmtId="10" fontId="5" fillId="0" borderId="0" xfId="0" applyNumberFormat="1" applyFont="1" applyAlignment="1">
      <alignment horizontal="center"/>
    </xf>
    <xf numFmtId="164" fontId="1" fillId="3" borderId="0" xfId="0" applyNumberFormat="1" applyFont="1" applyFill="1" applyAlignment="1">
      <alignment horizontal="center"/>
    </xf>
    <xf numFmtId="10" fontId="1" fillId="2" borderId="0" xfId="0" applyNumberFormat="1" applyFont="1" applyFill="1" applyAlignment="1">
      <alignment horizontal="center"/>
    </xf>
    <xf numFmtId="10" fontId="1" fillId="3" borderId="0" xfId="0" applyNumberFormat="1" applyFont="1" applyFill="1" applyAlignment="1">
      <alignment horizontal="center"/>
    </xf>
    <xf numFmtId="165" fontId="0" fillId="0" borderId="0" xfId="0" applyNumberFormat="1"/>
    <xf numFmtId="166" fontId="1" fillId="3" borderId="0" xfId="0" applyNumberFormat="1" applyFont="1" applyFill="1" applyAlignment="1">
      <alignment horizontal="center"/>
    </xf>
    <xf numFmtId="166" fontId="0" fillId="0" borderId="0" xfId="0" applyNumberFormat="1" applyAlignment="1">
      <alignment horizontal="center"/>
    </xf>
    <xf numFmtId="164" fontId="5" fillId="0" borderId="0" xfId="0" applyNumberFormat="1" applyFont="1"/>
    <xf numFmtId="10" fontId="5" fillId="0" borderId="0" xfId="0" applyNumberFormat="1" applyFont="1"/>
    <xf numFmtId="0" fontId="6" fillId="5" borderId="1" xfId="0" applyFont="1" applyFill="1" applyBorder="1" applyAlignment="1">
      <alignment horizontal="center" vertical="top"/>
    </xf>
    <xf numFmtId="4" fontId="1" fillId="3" borderId="0" xfId="0" applyNumberFormat="1" applyFont="1" applyFill="1" applyAlignment="1">
      <alignment horizontal="center"/>
    </xf>
    <xf numFmtId="4" fontId="0" fillId="0" borderId="0" xfId="0" applyNumberFormat="1" applyAlignment="1">
      <alignment horizontal="center"/>
    </xf>
    <xf numFmtId="2" fontId="6" fillId="5" borderId="1" xfId="0" applyNumberFormat="1" applyFont="1" applyFill="1" applyBorder="1" applyAlignment="1">
      <alignment horizontal="center" vertical="top"/>
    </xf>
    <xf numFmtId="2" fontId="0" fillId="0" borderId="0" xfId="0" applyNumberFormat="1"/>
    <xf numFmtId="2" fontId="5" fillId="0" borderId="0" xfId="0" applyNumberFormat="1" applyFont="1" applyAlignment="1">
      <alignment horizontal="center"/>
    </xf>
    <xf numFmtId="167" fontId="0" fillId="0" borderId="0" xfId="0" applyNumberFormat="1"/>
    <xf numFmtId="14" fontId="6" fillId="5" borderId="1" xfId="0" applyNumberFormat="1" applyFont="1" applyFill="1" applyBorder="1" applyAlignment="1">
      <alignment horizontal="center" vertical="top"/>
    </xf>
    <xf numFmtId="22" fontId="6" fillId="5" borderId="1" xfId="0" applyNumberFormat="1" applyFont="1" applyFill="1" applyBorder="1" applyAlignment="1">
      <alignment horizontal="center" vertical="top"/>
    </xf>
    <xf numFmtId="22" fontId="0" fillId="0" borderId="0" xfId="0" applyNumberFormat="1" applyAlignment="1">
      <alignment horizontal="center"/>
    </xf>
    <xf numFmtId="0" fontId="0" fillId="0" borderId="0" xfId="0" pivotButton="1"/>
    <xf numFmtId="0" fontId="0" fillId="0" borderId="0" xfId="0" applyAlignment="1">
      <alignment horizontal="left" indent="1"/>
    </xf>
    <xf numFmtId="44" fontId="0" fillId="0" borderId="0" xfId="0" applyNumberFormat="1"/>
    <xf numFmtId="44" fontId="0" fillId="0" borderId="0" xfId="1" applyFont="1"/>
    <xf numFmtId="44" fontId="0" fillId="0" borderId="0" xfId="0" applyNumberFormat="1" applyAlignment="1">
      <alignment horizontal="center"/>
    </xf>
    <xf numFmtId="2" fontId="0" fillId="0" borderId="0" xfId="0" applyNumberFormat="1" applyAlignment="1">
      <alignment horizontal="center"/>
    </xf>
    <xf numFmtId="22" fontId="0" fillId="0" borderId="0" xfId="0" applyNumberFormat="1"/>
    <xf numFmtId="14" fontId="0" fillId="0" borderId="0" xfId="0" applyNumberFormat="1"/>
  </cellXfs>
  <cellStyles count="2">
    <cellStyle name="Standard" xfId="0" builtinId="0"/>
    <cellStyle name="Währung" xfId="1" builtinId="4"/>
  </cellStyles>
  <dxfs count="20">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92D050"/>
        </patternFill>
      </fill>
    </dxf>
    <dxf>
      <fill>
        <patternFill>
          <bgColor rgb="FF00B050"/>
        </patternFill>
      </fill>
    </dxf>
    <dxf>
      <fill>
        <patternFill>
          <bgColor rgb="FFFF0000"/>
        </patternFill>
      </fill>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2" formatCode="0.00"/>
    </dxf>
    <dxf>
      <numFmt numFmtId="2" formatCode="0.00"/>
    </dxf>
    <dxf>
      <alignment horizontal="center"/>
    </dxf>
    <dxf>
      <alignment horizontal="center"/>
    </dxf>
    <dxf>
      <alignment horizontal="center"/>
    </dxf>
    <dxf>
      <alignment horizontal="center"/>
    </dxf>
    <dxf>
      <numFmt numFmtId="34" formatCode="_-* #,##0.00\ &quot;€&quot;_-;\-* #,##0.00\ &quot;€&quot;_-;_-* &quot;-&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[Portfolio_Profi_Analyse_B - Kheri.xlsx]Pivot!PivotTable6</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65"/>
        <c:spPr>
          <a:solidFill>
            <a:schemeClr val="accent1"/>
          </a:solidFill>
          <a:ln w="19050">
            <a:solidFill>
              <a:schemeClr val="lt1"/>
            </a:solidFill>
          </a:ln>
          <a:effectLst/>
        </c:spPr>
        <c:dLbl>
          <c:idx val="0"/>
          <c:layout>
            <c:manualLayout>
              <c:x val="-0.10300257345880551"/>
              <c:y val="-9.71098265895953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dLbl>
          <c:idx val="0"/>
          <c:layout>
            <c:manualLayout>
              <c:x val="-6.7799807950835456E-2"/>
              <c:y val="-0.181888246628131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dLbl>
          <c:idx val="0"/>
          <c:layout>
            <c:manualLayout>
              <c:x val="-5.7502080532616348E-4"/>
              <c:y val="-0.13564547206165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dLbl>
          <c:idx val="0"/>
          <c:layout>
            <c:manualLayout>
              <c:x val="2.4113180974329334E-2"/>
              <c:y val="-0.175722543352601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dLbl>
          <c:idx val="0"/>
          <c:layout>
            <c:manualLayout>
              <c:x val="0.20305906151974906"/>
              <c:y val="-0.19421965317919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dLbl>
          <c:idx val="0"/>
          <c:layout>
            <c:manualLayout>
              <c:x val="0.27393780167722936"/>
              <c:y val="-0.160308285163776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dLbl>
          <c:idx val="0"/>
          <c:layout>
            <c:manualLayout>
              <c:x val="3.1404493950451313E-2"/>
              <c:y val="-0.221965317919075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dLbl>
          <c:idx val="0"/>
          <c:layout>
            <c:manualLayout>
              <c:x val="-0.23953590679213885"/>
              <c:y val="-0.172639691714836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dLbl>
          <c:idx val="0"/>
          <c:layout>
            <c:manualLayout>
              <c:x val="0.24328347737020678"/>
              <c:y val="-0.126396917148362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4"/>
        <c:spPr>
          <a:solidFill>
            <a:schemeClr val="accent1"/>
          </a:solidFill>
          <a:ln w="19050">
            <a:solidFill>
              <a:schemeClr val="lt1"/>
            </a:solidFill>
          </a:ln>
          <a:effectLst/>
        </c:spPr>
        <c:dLbl>
          <c:idx val="0"/>
          <c:layout>
            <c:manualLayout>
              <c:x val="0.15850959605659048"/>
              <c:y val="-9.55684007707129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dLbl>
          <c:idx val="0"/>
          <c:layout>
            <c:manualLayout>
              <c:x val="0.13892058126880472"/>
              <c:y val="-2.46544384264105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dLbl>
          <c:idx val="0"/>
          <c:layout>
            <c:manualLayout>
              <c:x val="0.12588817617310022"/>
              <c:y val="9.66866020360171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7"/>
        <c:spPr>
          <a:solidFill>
            <a:schemeClr val="accent1"/>
          </a:solidFill>
          <a:ln w="19050">
            <a:solidFill>
              <a:schemeClr val="lt1"/>
            </a:solidFill>
          </a:ln>
          <a:effectLst/>
        </c:spPr>
        <c:dLbl>
          <c:idx val="0"/>
          <c:layout>
            <c:manualLayout>
              <c:x val="0.19569185834246064"/>
              <c:y val="5.46448087431693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8"/>
        <c:spPr>
          <a:solidFill>
            <a:schemeClr val="accent1"/>
          </a:solidFill>
          <a:ln w="19050">
            <a:solidFill>
              <a:schemeClr val="lt1"/>
            </a:solidFill>
          </a:ln>
          <a:effectLst/>
        </c:spPr>
        <c:dLbl>
          <c:idx val="0"/>
          <c:layout>
            <c:manualLayout>
              <c:x val="0.15480102227090178"/>
              <c:y val="7.46812386156647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dLbl>
          <c:idx val="0"/>
          <c:layout>
            <c:manualLayout>
              <c:x val="3.2128514056224897E-2"/>
              <c:y val="0.116575591985428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0"/>
        <c:spPr>
          <a:solidFill>
            <a:schemeClr val="accent1"/>
          </a:solidFill>
          <a:ln w="19050">
            <a:solidFill>
              <a:schemeClr val="lt1"/>
            </a:solidFill>
          </a:ln>
          <a:effectLst/>
        </c:spPr>
        <c:dLbl>
          <c:idx val="0"/>
          <c:layout>
            <c:manualLayout>
              <c:x val="-3.5049288061336309E-2"/>
              <c:y val="0.136612021857923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dLbl>
          <c:idx val="0"/>
          <c:layout>
            <c:manualLayout>
              <c:x val="-0.19102777030919915"/>
              <c:y val="0.133952452475232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2"/>
        <c:spPr>
          <a:solidFill>
            <a:schemeClr val="accent1"/>
          </a:solidFill>
          <a:ln w="19050">
            <a:solidFill>
              <a:schemeClr val="lt1"/>
            </a:solidFill>
          </a:ln>
          <a:effectLst/>
        </c:spPr>
        <c:dLbl>
          <c:idx val="0"/>
          <c:layout>
            <c:manualLayout>
              <c:x val="-0.20818016772293707"/>
              <c:y val="0.123865823130489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3"/>
        <c:spPr>
          <a:solidFill>
            <a:schemeClr val="accent1"/>
          </a:solidFill>
          <a:ln w="19050">
            <a:solidFill>
              <a:schemeClr val="lt1"/>
            </a:solidFill>
          </a:ln>
          <a:effectLst/>
        </c:spPr>
        <c:dLbl>
          <c:idx val="0"/>
          <c:layout>
            <c:manualLayout>
              <c:x val="-0.20005254465143077"/>
              <c:y val="8.65977879932638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4"/>
        <c:spPr>
          <a:solidFill>
            <a:schemeClr val="accent1"/>
          </a:solidFill>
          <a:ln w="19050">
            <a:solidFill>
              <a:schemeClr val="lt1"/>
            </a:solidFill>
          </a:ln>
          <a:effectLst/>
        </c:spPr>
        <c:dLbl>
          <c:idx val="0"/>
          <c:layout>
            <c:manualLayout>
              <c:x val="-0.16762716855515011"/>
              <c:y val="5.39499036608862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dLbl>
          <c:idx val="0"/>
          <c:layout>
            <c:manualLayout>
              <c:x val="-0.1497248063504257"/>
              <c:y val="1.07899807321772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6"/>
        <c:spPr>
          <a:solidFill>
            <a:schemeClr val="accent1"/>
          </a:solidFill>
          <a:ln w="19050">
            <a:solidFill>
              <a:schemeClr val="lt1"/>
            </a:solidFill>
          </a:ln>
          <a:effectLst/>
        </c:spPr>
        <c:dLbl>
          <c:idx val="0"/>
          <c:layout>
            <c:manualLayout>
              <c:x val="-0.14078674948240166"/>
              <c:y val="-3.85356454720616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7"/>
        <c:spPr>
          <a:solidFill>
            <a:schemeClr val="accent1"/>
          </a:solidFill>
          <a:ln w="19050">
            <a:solidFill>
              <a:schemeClr val="lt1"/>
            </a:solidFill>
          </a:ln>
          <a:effectLst/>
        </c:spPr>
        <c:dLbl>
          <c:idx val="0"/>
          <c:layout>
            <c:manualLayout>
              <c:x val="-0.13526566221475836"/>
              <c:y val="-0.11714836223506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8"/>
        <c:spPr>
          <a:solidFill>
            <a:schemeClr val="accent1"/>
          </a:solidFill>
          <a:ln w="19050">
            <a:solidFill>
              <a:schemeClr val="lt1"/>
            </a:solidFill>
          </a:ln>
          <a:effectLst/>
        </c:spPr>
        <c:dLbl>
          <c:idx val="0"/>
          <c:layout>
            <c:manualLayout>
              <c:x val="-0.13526570048309183"/>
              <c:y val="-0.160308285163776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dLbl>
          <c:idx val="0"/>
          <c:layout>
            <c:manualLayout>
              <c:x val="-0.14492753623188409"/>
              <c:y val="-6.01156069364162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0"/>
        <c:spPr>
          <a:solidFill>
            <a:schemeClr val="accent1"/>
          </a:solidFill>
          <a:ln w="19050">
            <a:solidFill>
              <a:schemeClr val="lt1"/>
            </a:solidFill>
          </a:ln>
          <a:effectLst/>
        </c:spPr>
        <c:dLbl>
          <c:idx val="0"/>
          <c:layout>
            <c:manualLayout>
              <c:x val="-4.2788129744651481E-2"/>
              <c:y val="-0.180346820809248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1"/>
        <c:spPr>
          <a:solidFill>
            <a:schemeClr val="accent1"/>
          </a:solidFill>
          <a:ln w="19050">
            <a:solidFill>
              <a:schemeClr val="lt1"/>
            </a:solidFill>
          </a:ln>
          <a:effectLst/>
        </c:spPr>
        <c:dLbl>
          <c:idx val="0"/>
          <c:layout>
            <c:manualLayout>
              <c:x val="9.7998619737750176E-2"/>
              <c:y val="-0.184971098265895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2"/>
        <c:spPr>
          <a:solidFill>
            <a:schemeClr val="accent1"/>
          </a:solidFill>
          <a:ln w="19050">
            <a:solidFill>
              <a:schemeClr val="lt1"/>
            </a:solidFill>
          </a:ln>
          <a:effectLst/>
        </c:spPr>
        <c:dLbl>
          <c:idx val="0"/>
          <c:layout>
            <c:manualLayout>
              <c:x val="-0.42097998619737759"/>
              <c:y val="-0.138728323699421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3"/>
        <c:spPr>
          <a:solidFill>
            <a:schemeClr val="accent1"/>
          </a:solidFill>
          <a:ln w="19050">
            <a:solidFill>
              <a:schemeClr val="lt1"/>
            </a:solidFill>
          </a:ln>
          <a:effectLst/>
        </c:spPr>
        <c:dLbl>
          <c:idx val="0"/>
          <c:layout>
            <c:manualLayout>
              <c:x val="-0.13813241654652322"/>
              <c:y val="-3.08285163776498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4"/>
        <c:spPr>
          <a:solidFill>
            <a:schemeClr val="accent1"/>
          </a:solidFill>
          <a:ln w="19050">
            <a:solidFill>
              <a:schemeClr val="lt1"/>
            </a:solidFill>
          </a:ln>
          <a:effectLst/>
        </c:spPr>
        <c:dLbl>
          <c:idx val="0"/>
          <c:layout>
            <c:manualLayout>
              <c:x val="-0.45548654244306419"/>
              <c:y val="-5.24084778420038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5"/>
        <c:spPr>
          <a:solidFill>
            <a:schemeClr val="accent1"/>
          </a:solidFill>
          <a:ln w="19050">
            <a:solidFill>
              <a:schemeClr val="lt1"/>
            </a:solidFill>
          </a:ln>
          <a:effectLst/>
        </c:spPr>
        <c:dLbl>
          <c:idx val="0"/>
          <c:layout>
            <c:manualLayout>
              <c:x val="-0.15971771333461365"/>
              <c:y val="-0.189595375722543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6"/>
        <c:spPr>
          <a:solidFill>
            <a:schemeClr val="accent1"/>
          </a:solidFill>
          <a:ln w="19050">
            <a:solidFill>
              <a:schemeClr val="lt1"/>
            </a:solidFill>
          </a:ln>
          <a:effectLst/>
        </c:spPr>
        <c:dLbl>
          <c:idx val="0"/>
          <c:layout>
            <c:manualLayout>
              <c:x val="-0.16517231931374432"/>
              <c:y val="-0.209633911368015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7"/>
        <c:spPr>
          <a:solidFill>
            <a:schemeClr val="accent1"/>
          </a:solidFill>
          <a:ln w="19050">
            <a:solidFill>
              <a:schemeClr val="lt1"/>
            </a:solidFill>
          </a:ln>
          <a:effectLst/>
        </c:spPr>
        <c:dLbl>
          <c:idx val="0"/>
          <c:layout>
            <c:manualLayout>
              <c:x val="3.036576949620428E-2"/>
              <c:y val="0.163391136801541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8"/>
        <c:spPr>
          <a:solidFill>
            <a:schemeClr val="accent1"/>
          </a:solidFill>
          <a:ln w="19050">
            <a:solidFill>
              <a:schemeClr val="lt1"/>
            </a:solidFill>
          </a:ln>
          <a:effectLst/>
        </c:spPr>
        <c:dLbl>
          <c:idx val="0"/>
          <c:layout>
            <c:manualLayout>
              <c:x val="9.1097308488612833E-2"/>
              <c:y val="7.39884393063583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9"/>
        <c:spPr>
          <a:solidFill>
            <a:schemeClr val="accent1"/>
          </a:solidFill>
          <a:ln w="19050">
            <a:solidFill>
              <a:schemeClr val="lt1"/>
            </a:solidFill>
          </a:ln>
          <a:effectLst/>
        </c:spPr>
        <c:dLbl>
          <c:idx val="0"/>
          <c:layout>
            <c:manualLayout>
              <c:x val="7.7294685990338161E-2"/>
              <c:y val="0.117148362235067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0"/>
        <c:spPr>
          <a:solidFill>
            <a:schemeClr val="accent1"/>
          </a:solidFill>
          <a:ln w="19050">
            <a:solidFill>
              <a:schemeClr val="lt1"/>
            </a:solidFill>
          </a:ln>
          <a:effectLst/>
        </c:spPr>
        <c:dLbl>
          <c:idx val="0"/>
          <c:layout>
            <c:manualLayout>
              <c:x val="0.22222222222222213"/>
              <c:y val="0.178805394990365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1"/>
        <c:spPr>
          <a:solidFill>
            <a:schemeClr val="accent1"/>
          </a:solidFill>
          <a:ln w="19050">
            <a:solidFill>
              <a:schemeClr val="lt1"/>
            </a:solidFill>
          </a:ln>
          <a:effectLst/>
        </c:spPr>
        <c:dLbl>
          <c:idx val="0"/>
          <c:layout>
            <c:manualLayout>
              <c:x val="-0.13502910185007361"/>
              <c:y val="-9.71098265895953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dLbl>
          <c:idx val="0"/>
          <c:layout>
            <c:manualLayout>
              <c:x val="-0.11180124223602485"/>
              <c:y val="8.32369942196531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dLbl>
          <c:idx val="0"/>
          <c:layout>
            <c:manualLayout>
              <c:x val="-0.30232594584213557"/>
              <c:y val="-0.191136801541425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4"/>
        <c:spPr>
          <a:solidFill>
            <a:schemeClr val="accent1"/>
          </a:solidFill>
          <a:ln w="19050">
            <a:solidFill>
              <a:schemeClr val="lt1"/>
            </a:solidFill>
          </a:ln>
          <a:effectLst/>
        </c:spPr>
        <c:dLbl>
          <c:idx val="0"/>
          <c:layout>
            <c:manualLayout>
              <c:x val="-0.14078674948240166"/>
              <c:y val="-7.86127167630057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dLbl>
          <c:idx val="0"/>
          <c:layout>
            <c:manualLayout>
              <c:x val="-0.15596963423050381"/>
              <c:y val="-0.35761078998073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6"/>
        <c:spPr>
          <a:solidFill>
            <a:schemeClr val="accent1"/>
          </a:solidFill>
          <a:ln w="19050">
            <a:solidFill>
              <a:schemeClr val="lt1"/>
            </a:solidFill>
          </a:ln>
          <a:effectLst/>
        </c:spPr>
        <c:dLbl>
          <c:idx val="0"/>
          <c:layout>
            <c:manualLayout>
              <c:x val="-0.14216701173222912"/>
              <c:y val="-0.31290944123314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7"/>
        <c:spPr>
          <a:solidFill>
            <a:schemeClr val="accent1"/>
          </a:solidFill>
          <a:ln w="19050">
            <a:solidFill>
              <a:schemeClr val="lt1"/>
            </a:solidFill>
          </a:ln>
          <a:effectLst/>
        </c:spPr>
        <c:dLbl>
          <c:idx val="0"/>
          <c:layout>
            <c:manualLayout>
              <c:x val="-0.14354727398205658"/>
              <c:y val="-0.243545279383429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8"/>
        <c:spPr>
          <a:solidFill>
            <a:schemeClr val="accent1"/>
          </a:solidFill>
          <a:ln w="19050">
            <a:solidFill>
              <a:schemeClr val="lt1"/>
            </a:solidFill>
          </a:ln>
          <a:effectLst/>
        </c:spPr>
        <c:dLbl>
          <c:idx val="0"/>
          <c:layout>
            <c:manualLayout>
              <c:x val="-0.15734989648033126"/>
              <c:y val="-0.195761078998073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9"/>
        <c:spPr>
          <a:solidFill>
            <a:schemeClr val="accent1"/>
          </a:solidFill>
          <a:ln w="19050">
            <a:solidFill>
              <a:schemeClr val="lt1"/>
            </a:solidFill>
          </a:ln>
          <a:effectLst/>
        </c:spPr>
        <c:dLbl>
          <c:idx val="0"/>
          <c:layout>
            <c:manualLayout>
              <c:x val="-0.13664596273291929"/>
              <c:y val="-0.161849710982659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0"/>
        <c:spPr>
          <a:solidFill>
            <a:schemeClr val="accent1"/>
          </a:solidFill>
          <a:ln w="19050">
            <a:solidFill>
              <a:schemeClr val="lt1"/>
            </a:solidFill>
          </a:ln>
          <a:effectLst/>
        </c:spPr>
        <c:dLbl>
          <c:idx val="0"/>
          <c:layout>
            <c:manualLayout>
              <c:x val="-0.12008281573498965"/>
              <c:y val="-0.1310211946050096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dLbl>
          <c:idx val="0"/>
          <c:layout>
            <c:manualLayout>
              <c:x val="-0.13664596273291926"/>
              <c:y val="-7.39884393063583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dLbl>
          <c:idx val="0"/>
          <c:layout>
            <c:manualLayout>
              <c:x val="-0.15734989648033126"/>
              <c:y val="-6.165703275529865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dLbl>
          <c:idx val="0"/>
          <c:layout>
            <c:manualLayout>
              <c:x val="-0.16149068322981369"/>
              <c:y val="5.08670520231213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4"/>
        <c:spPr>
          <a:solidFill>
            <a:schemeClr val="accent1"/>
          </a:solidFill>
          <a:ln w="19050">
            <a:solidFill>
              <a:schemeClr val="lt1"/>
            </a:solidFill>
          </a:ln>
          <a:effectLst/>
        </c:spPr>
        <c:dLbl>
          <c:idx val="0"/>
          <c:layout>
            <c:manualLayout>
              <c:x val="-0.14078674948240166"/>
              <c:y val="-2.77456647398844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5"/>
        <c:spPr>
          <a:solidFill>
            <a:schemeClr val="accent1"/>
          </a:solidFill>
          <a:ln w="19050">
            <a:solidFill>
              <a:schemeClr val="lt1"/>
            </a:solidFill>
          </a:ln>
          <a:effectLst/>
        </c:spPr>
        <c:dLbl>
          <c:idx val="0"/>
          <c:layout>
            <c:manualLayout>
              <c:x val="-8.9717046238785375E-2"/>
              <c:y val="7.70712909441233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6"/>
        <c:spPr>
          <a:solidFill>
            <a:schemeClr val="accent1"/>
          </a:solidFill>
          <a:ln w="19050">
            <a:solidFill>
              <a:schemeClr val="lt1"/>
            </a:solidFill>
          </a:ln>
          <a:effectLst/>
        </c:spPr>
        <c:dLbl>
          <c:idx val="0"/>
          <c:layout>
            <c:manualLayout>
              <c:x val="-0.12836438923395446"/>
              <c:y val="-4.77842003853564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7"/>
        <c:spPr>
          <a:solidFill>
            <a:schemeClr val="accent1"/>
          </a:solidFill>
          <a:ln w="19050">
            <a:solidFill>
              <a:schemeClr val="lt1"/>
            </a:solidFill>
          </a:ln>
          <a:effectLst/>
        </c:spPr>
        <c:dLbl>
          <c:idx val="0"/>
          <c:layout>
            <c:manualLayout>
              <c:x val="-0.12284334023464458"/>
              <c:y val="-0.10019267822736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8"/>
        <c:spPr>
          <a:solidFill>
            <a:schemeClr val="accent1"/>
          </a:solidFill>
          <a:ln w="19050">
            <a:solidFill>
              <a:schemeClr val="lt1"/>
            </a:solidFill>
          </a:ln>
          <a:effectLst/>
        </c:spPr>
        <c:dLbl>
          <c:idx val="0"/>
          <c:layout>
            <c:manualLayout>
              <c:x val="-0.16011042097998621"/>
              <c:y val="2.6204238921001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9"/>
        <c:spPr>
          <a:solidFill>
            <a:schemeClr val="accent1"/>
          </a:solidFill>
          <a:ln w="19050">
            <a:solidFill>
              <a:schemeClr val="lt1"/>
            </a:solidFill>
          </a:ln>
          <a:effectLst/>
        </c:spPr>
        <c:dLbl>
          <c:idx val="0"/>
          <c:layout>
            <c:manualLayout>
              <c:x val="-0.23269742013955572"/>
              <c:y val="-0.172293659824313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0"/>
        <c:spPr>
          <a:solidFill>
            <a:schemeClr val="accent1"/>
          </a:solidFill>
          <a:ln w="19050">
            <a:solidFill>
              <a:schemeClr val="lt1"/>
            </a:solidFill>
          </a:ln>
          <a:effectLst/>
        </c:spPr>
        <c:dLbl>
          <c:idx val="0"/>
          <c:layout>
            <c:manualLayout>
              <c:x val="0.19047619047619047"/>
              <c:y val="-0.163391136801541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dLbl>
          <c:idx val="0"/>
          <c:layout>
            <c:manualLayout>
              <c:x val="0.2705314009661835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2"/>
        <c:spPr>
          <a:solidFill>
            <a:schemeClr val="accent1"/>
          </a:solidFill>
          <a:ln w="19050">
            <a:solidFill>
              <a:schemeClr val="lt1"/>
            </a:solidFill>
          </a:ln>
          <a:effectLst/>
        </c:spPr>
        <c:dLbl>
          <c:idx val="0"/>
          <c:layout>
            <c:manualLayout>
              <c:x val="0.21532091097308489"/>
              <c:y val="-3.2369942196531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3"/>
        <c:spPr>
          <a:solidFill>
            <a:schemeClr val="accent1"/>
          </a:solidFill>
          <a:ln w="19050">
            <a:solidFill>
              <a:schemeClr val="lt1"/>
            </a:solidFill>
          </a:ln>
          <a:effectLst/>
        </c:spPr>
        <c:dLbl>
          <c:idx val="0"/>
          <c:layout>
            <c:manualLayout>
              <c:x val="0.18909592822636301"/>
              <c:y val="-0.121772639691714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dLbl>
          <c:idx val="0"/>
          <c:layout>
            <c:manualLayout>
              <c:x val="0.19875776397515527"/>
              <c:y val="-7.55298651252408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5"/>
        <c:spPr>
          <a:solidFill>
            <a:schemeClr val="accent1"/>
          </a:solidFill>
          <a:ln w="19050">
            <a:solidFill>
              <a:schemeClr val="lt1"/>
            </a:solidFill>
          </a:ln>
          <a:effectLst/>
        </c:spPr>
        <c:dLbl>
          <c:idx val="0"/>
          <c:layout>
            <c:manualLayout>
              <c:x val="-0.14768806073153901"/>
              <c:y val="-0.120231213872832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s>
    <c:plotArea>
      <c:layout>
        <c:manualLayout>
          <c:layoutTarget val="inner"/>
          <c:xMode val="edge"/>
          <c:yMode val="edge"/>
          <c:x val="0.21032271941617053"/>
          <c:y val="0.16062009011879294"/>
          <c:w val="0.61885497609622453"/>
          <c:h val="0.77187785952985388"/>
        </c:manualLayout>
      </c:layout>
      <c:doughnutChart>
        <c:varyColors val="1"/>
        <c:ser>
          <c:idx val="0"/>
          <c:order val="0"/>
          <c:tx>
            <c:strRef>
              <c:f>Pivot!$B$13</c:f>
              <c:strCache>
                <c:ptCount val="1"/>
                <c:pt idx="0">
                  <c:v>Ergebnis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06-4142-BE23-5B37F030CE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06-4142-BE23-5B37F030CE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06-4142-BE23-5B37F030CE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106-4142-BE23-5B37F030CEB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106-4142-BE23-5B37F030CEB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106-4142-BE23-5B37F030CEB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106-4142-BE23-5B37F030CEB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106-4142-BE23-5B37F030CEB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106-4142-BE23-5B37F030CEB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106-4142-BE23-5B37F030CEB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106-4142-BE23-5B37F030CEB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106-4142-BE23-5B37F030CEB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106-4142-BE23-5B37F030CEB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106-4142-BE23-5B37F030CEBC}"/>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106-4142-BE23-5B37F030CEBC}"/>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106-4142-BE23-5B37F030CEB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106-4142-BE23-5B37F030CEBC}"/>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B106-4142-BE23-5B37F030CEB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B106-4142-BE23-5B37F030CEBC}"/>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B106-4142-BE23-5B37F030CEBC}"/>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B106-4142-BE23-5B37F030CEBC}"/>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B106-4142-BE23-5B37F030CEBC}"/>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B106-4142-BE23-5B37F030CEBC}"/>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B106-4142-BE23-5B37F030CEBC}"/>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B106-4142-BE23-5B37F030CEBC}"/>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B106-4142-BE23-5B37F030CEBC}"/>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B106-4142-BE23-5B37F030CEBC}"/>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B106-4142-BE23-5B37F030CEBC}"/>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B106-4142-BE23-5B37F030CEBC}"/>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B106-4142-BE23-5B37F030CEBC}"/>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B106-4142-BE23-5B37F030CEBC}"/>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B106-4142-BE23-5B37F030CEBC}"/>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B106-4142-BE23-5B37F030CEBC}"/>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B106-4142-BE23-5B37F030CEBC}"/>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B106-4142-BE23-5B37F030CEBC}"/>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B106-4142-BE23-5B37F030CEBC}"/>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B106-4142-BE23-5B37F030CEBC}"/>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B106-4142-BE23-5B37F030CEBC}"/>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B106-4142-BE23-5B37F030CEBC}"/>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B106-4142-BE23-5B37F030CEBC}"/>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B106-4142-BE23-5B37F030CEBC}"/>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B106-4142-BE23-5B37F030CEBC}"/>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B106-4142-BE23-5B37F030CEBC}"/>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B106-4142-BE23-5B37F030CEBC}"/>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B106-4142-BE23-5B37F030CEBC}"/>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B106-4142-BE23-5B37F030CEBC}"/>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B106-4142-BE23-5B37F030CEBC}"/>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B106-4142-BE23-5B37F030CEBC}"/>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B106-4142-BE23-5B37F030CEBC}"/>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B106-4142-BE23-5B37F030CEBC}"/>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B106-4142-BE23-5B37F030CEBC}"/>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B106-4142-BE23-5B37F030CEBC}"/>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B106-4142-BE23-5B37F030CEBC}"/>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B106-4142-BE23-5B37F030CEBC}"/>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B106-4142-BE23-5B37F030CEBC}"/>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B106-4142-BE23-5B37F030CEBC}"/>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B106-4142-BE23-5B37F030CEBC}"/>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B106-4142-BE23-5B37F030CEBC}"/>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B106-4142-BE23-5B37F030CEBC}"/>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B106-4142-BE23-5B37F030CEBC}"/>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B106-4142-BE23-5B37F030CEBC}"/>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B106-4142-BE23-5B37F030CEB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Pivot!$A$14:$A$18</c:f>
              <c:multiLvlStrCache>
                <c:ptCount val="2"/>
                <c:lvl>
                  <c:pt idx="0">
                    <c:v>FTSE All-World USD (Acc)</c:v>
                  </c:pt>
                  <c:pt idx="1">
                    <c:v>DroneShield</c:v>
                  </c:pt>
                </c:lvl>
                <c:lvl>
                  <c:pt idx="0">
                    <c:v>FUND</c:v>
                  </c:pt>
                  <c:pt idx="1">
                    <c:v>STOCK</c:v>
                  </c:pt>
                </c:lvl>
              </c:multiLvlStrCache>
            </c:multiLvlStrRef>
          </c:cat>
          <c:val>
            <c:numRef>
              <c:f>Pivot!$B$14:$B$18</c:f>
              <c:numCache>
                <c:formatCode>_("€"* #,##0.00_);_("€"* \(#,##0.00\);_("€"* "-"??_);_(@_)</c:formatCode>
                <c:ptCount val="2"/>
                <c:pt idx="0">
                  <c:v>500.62810068000016</c:v>
                </c:pt>
                <c:pt idx="1">
                  <c:v>49.708968773700008</c:v>
                </c:pt>
              </c:numCache>
            </c:numRef>
          </c:val>
          <c:extLst>
            <c:ext xmlns:c16="http://schemas.microsoft.com/office/drawing/2014/chart" uri="{C3380CC4-5D6E-409C-BE32-E72D297353CC}">
              <c16:uniqueId val="{0000007C-B106-4142-BE23-5B37F030CEBC}"/>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[Portfolio_Profi_Analyse_B - Kheri.xlsx]Pivot!PivotTable5</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c:f>
              <c:strCache>
                <c:ptCount val="1"/>
                <c:pt idx="0">
                  <c:v>Einkaufswert</c:v>
                </c:pt>
              </c:strCache>
            </c:strRef>
          </c:tx>
          <c:spPr>
            <a:solidFill>
              <a:schemeClr val="accent1"/>
            </a:solidFill>
            <a:ln>
              <a:noFill/>
            </a:ln>
            <a:effectLst/>
            <a:sp3d/>
          </c:spPr>
          <c:invertIfNegative val="0"/>
          <c:cat>
            <c:strRef>
              <c:f>Pivot!$A$4:$A$6</c:f>
              <c:strCache>
                <c:ptCount val="2"/>
                <c:pt idx="0">
                  <c:v>FUND</c:v>
                </c:pt>
                <c:pt idx="1">
                  <c:v>STOCK</c:v>
                </c:pt>
              </c:strCache>
            </c:strRef>
          </c:cat>
          <c:val>
            <c:numRef>
              <c:f>Pivot!$B$4:$B$6</c:f>
              <c:numCache>
                <c:formatCode>_("€"* #,##0.00_);_("€"* \(#,##0.00\);_("€"* "-"??_);_(@_)</c:formatCode>
                <c:ptCount val="2"/>
                <c:pt idx="0">
                  <c:v>465.02905994000008</c:v>
                </c:pt>
                <c:pt idx="1">
                  <c:v>51.001907686999999</c:v>
                </c:pt>
              </c:numCache>
            </c:numRef>
          </c:val>
          <c:extLst>
            <c:ext xmlns:c16="http://schemas.microsoft.com/office/drawing/2014/chart" uri="{C3380CC4-5D6E-409C-BE32-E72D297353CC}">
              <c16:uniqueId val="{00000000-4563-4BB0-988F-946FB36922EA}"/>
            </c:ext>
          </c:extLst>
        </c:ser>
        <c:ser>
          <c:idx val="1"/>
          <c:order val="1"/>
          <c:tx>
            <c:strRef>
              <c:f>Pivot!$C$3</c:f>
              <c:strCache>
                <c:ptCount val="1"/>
                <c:pt idx="0">
                  <c:v>Aktueller Wert</c:v>
                </c:pt>
              </c:strCache>
            </c:strRef>
          </c:tx>
          <c:spPr>
            <a:solidFill>
              <a:schemeClr val="accent2"/>
            </a:solidFill>
            <a:ln>
              <a:noFill/>
            </a:ln>
            <a:effectLst/>
            <a:sp3d/>
          </c:spPr>
          <c:invertIfNegative val="0"/>
          <c:cat>
            <c:strRef>
              <c:f>Pivot!$A$4:$A$6</c:f>
              <c:strCache>
                <c:ptCount val="2"/>
                <c:pt idx="0">
                  <c:v>FUND</c:v>
                </c:pt>
                <c:pt idx="1">
                  <c:v>STOCK</c:v>
                </c:pt>
              </c:strCache>
            </c:strRef>
          </c:cat>
          <c:val>
            <c:numRef>
              <c:f>Pivot!$C$4:$C$6</c:f>
              <c:numCache>
                <c:formatCode>_("€"* #,##0.00_);_("€"* \(#,##0.00\);_("€"* "-"??_);_(@_)</c:formatCode>
                <c:ptCount val="2"/>
                <c:pt idx="0">
                  <c:v>500.62810068000016</c:v>
                </c:pt>
                <c:pt idx="1">
                  <c:v>49.708968773700008</c:v>
                </c:pt>
              </c:numCache>
            </c:numRef>
          </c:val>
          <c:extLst>
            <c:ext xmlns:c16="http://schemas.microsoft.com/office/drawing/2014/chart" uri="{C3380CC4-5D6E-409C-BE32-E72D297353CC}">
              <c16:uniqueId val="{00000001-4563-4BB0-988F-946FB36922EA}"/>
            </c:ext>
          </c:extLst>
        </c:ser>
        <c:dLbls>
          <c:showLegendKey val="0"/>
          <c:showVal val="0"/>
          <c:showCatName val="0"/>
          <c:showSerName val="0"/>
          <c:showPercent val="0"/>
          <c:showBubbleSize val="0"/>
        </c:dLbls>
        <c:gapWidth val="150"/>
        <c:shape val="box"/>
        <c:axId val="1802496351"/>
        <c:axId val="1954608"/>
        <c:axId val="0"/>
      </c:bar3DChart>
      <c:catAx>
        <c:axId val="1802496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54608"/>
        <c:crosses val="autoZero"/>
        <c:auto val="1"/>
        <c:lblAlgn val="ctr"/>
        <c:lblOffset val="100"/>
        <c:noMultiLvlLbl val="0"/>
      </c:catAx>
      <c:valAx>
        <c:axId val="19546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024963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[Portfolio_Profi_Analyse_B - Kheri.xlsx]Pivot!PivotTable10</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Pivot!$F$13</c:f>
              <c:strCache>
                <c:ptCount val="1"/>
                <c:pt idx="0">
                  <c:v>Ergebnis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D5-4739-B812-0A23089317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D5-4739-B812-0A23089317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D5-4739-B812-0A23089317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D5-4739-B812-0A230893178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e-DE"/>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Pivot!$E$14:$E$16</c:f>
              <c:strCache>
                <c:ptCount val="2"/>
                <c:pt idx="0">
                  <c:v>FUND</c:v>
                </c:pt>
                <c:pt idx="1">
                  <c:v>STOCK</c:v>
                </c:pt>
              </c:strCache>
            </c:strRef>
          </c:cat>
          <c:val>
            <c:numRef>
              <c:f>Pivot!$F$14:$F$16</c:f>
              <c:numCache>
                <c:formatCode>_("€"* #,##0.00_);_("€"* \(#,##0.00\);_("€"* "-"??_);_(@_)</c:formatCode>
                <c:ptCount val="2"/>
                <c:pt idx="0">
                  <c:v>500.62810068000016</c:v>
                </c:pt>
                <c:pt idx="1">
                  <c:v>49.708968773700008</c:v>
                </c:pt>
              </c:numCache>
            </c:numRef>
          </c:val>
          <c:extLst>
            <c:ext xmlns:c16="http://schemas.microsoft.com/office/drawing/2014/chart" uri="{C3380CC4-5D6E-409C-BE32-E72D297353CC}">
              <c16:uniqueId val="{00000008-91D5-4739-B812-0A230893178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171449</xdr:colOff>
      <xdr:row>7</xdr:row>
      <xdr:rowOff>9525</xdr:rowOff>
    </xdr:to>
    <xdr:sp macro="" textlink="">
      <xdr:nvSpPr>
        <xdr:cNvPr id="5" name="Rechteck 4">
          <a:extLst>
            <a:ext uri="{FF2B5EF4-FFF2-40B4-BE49-F238E27FC236}">
              <a16:creationId xmlns:a16="http://schemas.microsoft.com/office/drawing/2014/main" id="{5BA5FD27-17C5-3F05-7659-081C53BF9FA6}"/>
            </a:ext>
          </a:extLst>
        </xdr:cNvPr>
        <xdr:cNvSpPr/>
      </xdr:nvSpPr>
      <xdr:spPr>
        <a:xfrm>
          <a:off x="0" y="0"/>
          <a:ext cx="24545924" cy="1343025"/>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de-DE" sz="4800" b="1">
              <a:ln>
                <a:noFill/>
              </a:ln>
              <a:solidFill>
                <a:schemeClr val="bg2"/>
              </a:solidFill>
              <a:latin typeface="Times New Roman" panose="02020603050405020304" pitchFamily="18" charset="0"/>
              <a:cs typeface="Times New Roman" panose="02020603050405020304" pitchFamily="18" charset="0"/>
            </a:rPr>
            <a:t>Aktien-Portfolio</a:t>
          </a:r>
        </a:p>
      </xdr:txBody>
    </xdr:sp>
    <xdr:clientData/>
  </xdr:twoCellAnchor>
  <xdr:twoCellAnchor>
    <xdr:from>
      <xdr:col>5</xdr:col>
      <xdr:colOff>733425</xdr:colOff>
      <xdr:row>8</xdr:row>
      <xdr:rowOff>19049</xdr:rowOff>
    </xdr:from>
    <xdr:to>
      <xdr:col>18</xdr:col>
      <xdr:colOff>590550</xdr:colOff>
      <xdr:row>51</xdr:row>
      <xdr:rowOff>66674</xdr:rowOff>
    </xdr:to>
    <xdr:graphicFrame macro="">
      <xdr:nvGraphicFramePr>
        <xdr:cNvPr id="6" name="Diagramm 5">
          <a:extLst>
            <a:ext uri="{FF2B5EF4-FFF2-40B4-BE49-F238E27FC236}">
              <a16:creationId xmlns:a16="http://schemas.microsoft.com/office/drawing/2014/main" id="{F4A05941-4F01-48CF-8A2C-F06ECD34D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361950</xdr:colOff>
      <xdr:row>52</xdr:row>
      <xdr:rowOff>9524</xdr:rowOff>
    </xdr:from>
    <xdr:to>
      <xdr:col>18</xdr:col>
      <xdr:colOff>457200</xdr:colOff>
      <xdr:row>79</xdr:row>
      <xdr:rowOff>57149</xdr:rowOff>
    </xdr:to>
    <xdr:graphicFrame macro="">
      <xdr:nvGraphicFramePr>
        <xdr:cNvPr id="7" name="Diagramm 6">
          <a:extLst>
            <a:ext uri="{FF2B5EF4-FFF2-40B4-BE49-F238E27FC236}">
              <a16:creationId xmlns:a16="http://schemas.microsoft.com/office/drawing/2014/main" id="{D0EAAE2A-B877-473A-9204-4E68F9407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628649</xdr:colOff>
      <xdr:row>8</xdr:row>
      <xdr:rowOff>57150</xdr:rowOff>
    </xdr:from>
    <xdr:to>
      <xdr:col>27</xdr:col>
      <xdr:colOff>390524</xdr:colOff>
      <xdr:row>47</xdr:row>
      <xdr:rowOff>171450</xdr:rowOff>
    </xdr:to>
    <xdr:graphicFrame macro="">
      <xdr:nvGraphicFramePr>
        <xdr:cNvPr id="10" name="Diagramm 9">
          <a:extLst>
            <a:ext uri="{FF2B5EF4-FFF2-40B4-BE49-F238E27FC236}">
              <a16:creationId xmlns:a16="http://schemas.microsoft.com/office/drawing/2014/main" id="{DBFF8660-4E9B-449D-849C-E34D3C9EA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1085850</xdr:colOff>
      <xdr:row>0</xdr:row>
      <xdr:rowOff>161925</xdr:rowOff>
    </xdr:from>
    <xdr:to>
      <xdr:col>5</xdr:col>
      <xdr:colOff>409575</xdr:colOff>
      <xdr:row>3</xdr:row>
      <xdr:rowOff>95250</xdr:rowOff>
    </xdr:to>
    <xdr:sp macro="" textlink="">
      <xdr:nvSpPr>
        <xdr:cNvPr id="11" name="Rechteck 10">
          <a:extLst>
            <a:ext uri="{FF2B5EF4-FFF2-40B4-BE49-F238E27FC236}">
              <a16:creationId xmlns:a16="http://schemas.microsoft.com/office/drawing/2014/main" id="{A2452A51-EC96-45F0-B6F2-3EAE46BC1636}"/>
            </a:ext>
          </a:extLst>
        </xdr:cNvPr>
        <xdr:cNvSpPr/>
      </xdr:nvSpPr>
      <xdr:spPr>
        <a:xfrm>
          <a:off x="5238750" y="161925"/>
          <a:ext cx="2781300" cy="504825"/>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Einkaufswert</a:t>
          </a:r>
        </a:p>
      </xdr:txBody>
    </xdr:sp>
    <xdr:clientData/>
  </xdr:twoCellAnchor>
  <xdr:twoCellAnchor>
    <xdr:from>
      <xdr:col>5</xdr:col>
      <xdr:colOff>152400</xdr:colOff>
      <xdr:row>0</xdr:row>
      <xdr:rowOff>161925</xdr:rowOff>
    </xdr:from>
    <xdr:to>
      <xdr:col>8</xdr:col>
      <xdr:colOff>647700</xdr:colOff>
      <xdr:row>3</xdr:row>
      <xdr:rowOff>47625</xdr:rowOff>
    </xdr:to>
    <xdr:sp macro="" textlink="">
      <xdr:nvSpPr>
        <xdr:cNvPr id="12" name="Rechteck 11">
          <a:extLst>
            <a:ext uri="{FF2B5EF4-FFF2-40B4-BE49-F238E27FC236}">
              <a16:creationId xmlns:a16="http://schemas.microsoft.com/office/drawing/2014/main" id="{D1654ECB-D746-47C9-A9FC-5DD38F9CCA37}"/>
            </a:ext>
          </a:extLst>
        </xdr:cNvPr>
        <xdr:cNvSpPr/>
      </xdr:nvSpPr>
      <xdr:spPr>
        <a:xfrm>
          <a:off x="7762875" y="161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Aktueller Wert</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390525</xdr:colOff>
      <xdr:row>0</xdr:row>
      <xdr:rowOff>161925</xdr:rowOff>
    </xdr:from>
    <xdr:to>
      <xdr:col>12</xdr:col>
      <xdr:colOff>123825</xdr:colOff>
      <xdr:row>3</xdr:row>
      <xdr:rowOff>47625</xdr:rowOff>
    </xdr:to>
    <xdr:sp macro="" textlink="">
      <xdr:nvSpPr>
        <xdr:cNvPr id="13" name="Rechteck 12">
          <a:extLst>
            <a:ext uri="{FF2B5EF4-FFF2-40B4-BE49-F238E27FC236}">
              <a16:creationId xmlns:a16="http://schemas.microsoft.com/office/drawing/2014/main" id="{FDC5B0AB-AC01-4FDE-A8BC-B02985D9754B}"/>
            </a:ext>
          </a:extLst>
        </xdr:cNvPr>
        <xdr:cNvSpPr/>
      </xdr:nvSpPr>
      <xdr:spPr>
        <a:xfrm>
          <a:off x="10287000" y="161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Gewinn/Verlust</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1038225</xdr:colOff>
      <xdr:row>2</xdr:row>
      <xdr:rowOff>161925</xdr:rowOff>
    </xdr:from>
    <xdr:to>
      <xdr:col>5</xdr:col>
      <xdr:colOff>361950</xdr:colOff>
      <xdr:row>5</xdr:row>
      <xdr:rowOff>95250</xdr:rowOff>
    </xdr:to>
    <xdr:sp macro="" textlink="Pivot!J6">
      <xdr:nvSpPr>
        <xdr:cNvPr id="21" name="Rechteck 20">
          <a:extLst>
            <a:ext uri="{FF2B5EF4-FFF2-40B4-BE49-F238E27FC236}">
              <a16:creationId xmlns:a16="http://schemas.microsoft.com/office/drawing/2014/main" id="{4E737B0B-42A4-41E2-869A-C55CC9C88075}"/>
            </a:ext>
          </a:extLst>
        </xdr:cNvPr>
        <xdr:cNvSpPr/>
      </xdr:nvSpPr>
      <xdr:spPr>
        <a:xfrm>
          <a:off x="5191125" y="542925"/>
          <a:ext cx="2781300" cy="504825"/>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6EA67862-88BB-405B-B71B-B57BE74D3CF1}" type="TxLink">
            <a:rPr lang="en-US" sz="1800" b="0" i="0" u="none" strike="noStrike">
              <a:ln>
                <a:noFill/>
              </a:ln>
              <a:solidFill>
                <a:schemeClr val="bg1"/>
              </a:solidFill>
              <a:latin typeface="Calibri"/>
              <a:ea typeface="Calibri"/>
              <a:cs typeface="Calibri"/>
            </a:rPr>
            <a:pPr algn="ctr"/>
            <a:t> 516,03 € </a:t>
          </a:fld>
          <a:endParaRPr lang="de-DE" sz="2800" b="1">
            <a:ln>
              <a:noFill/>
            </a:ln>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101600</xdr:colOff>
      <xdr:row>2</xdr:row>
      <xdr:rowOff>161925</xdr:rowOff>
    </xdr:from>
    <xdr:to>
      <xdr:col>8</xdr:col>
      <xdr:colOff>596900</xdr:colOff>
      <xdr:row>5</xdr:row>
      <xdr:rowOff>47625</xdr:rowOff>
    </xdr:to>
    <xdr:sp macro="" textlink="Pivot!G6">
      <xdr:nvSpPr>
        <xdr:cNvPr id="22" name="Rechteck 21">
          <a:extLst>
            <a:ext uri="{FF2B5EF4-FFF2-40B4-BE49-F238E27FC236}">
              <a16:creationId xmlns:a16="http://schemas.microsoft.com/office/drawing/2014/main" id="{4F40A7D9-3142-4EA0-9F59-1BB20506CB32}"/>
            </a:ext>
          </a:extLst>
        </xdr:cNvPr>
        <xdr:cNvSpPr/>
      </xdr:nvSpPr>
      <xdr:spPr>
        <a:xfrm>
          <a:off x="771207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A19CB3FF-4B09-4008-B0D9-B8EA99EA513D}" type="TxLink">
            <a:rPr lang="en-US" sz="1800" b="0" i="0" u="none" strike="noStrike">
              <a:ln>
                <a:noFill/>
              </a:ln>
              <a:solidFill>
                <a:schemeClr val="bg1"/>
              </a:solidFill>
              <a:latin typeface="Calibri"/>
              <a:ea typeface="Calibri"/>
              <a:cs typeface="Calibri"/>
            </a:rPr>
            <a:pPr algn="ctr"/>
            <a:t> 550,34 € </a:t>
          </a:fld>
          <a:endParaRPr lang="de-DE" sz="2800" b="1">
            <a:ln>
              <a:noFill/>
            </a:ln>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336550</xdr:colOff>
      <xdr:row>2</xdr:row>
      <xdr:rowOff>161925</xdr:rowOff>
    </xdr:from>
    <xdr:to>
      <xdr:col>12</xdr:col>
      <xdr:colOff>69850</xdr:colOff>
      <xdr:row>5</xdr:row>
      <xdr:rowOff>47625</xdr:rowOff>
    </xdr:to>
    <xdr:sp macro="" textlink="Pivot!I6">
      <xdr:nvSpPr>
        <xdr:cNvPr id="24" name="Rechteck 23">
          <a:extLst>
            <a:ext uri="{FF2B5EF4-FFF2-40B4-BE49-F238E27FC236}">
              <a16:creationId xmlns:a16="http://schemas.microsoft.com/office/drawing/2014/main" id="{C7B07C71-80E5-4CF1-B074-7DB9A2C8D131}"/>
            </a:ext>
          </a:extLst>
        </xdr:cNvPr>
        <xdr:cNvSpPr/>
      </xdr:nvSpPr>
      <xdr:spPr>
        <a:xfrm>
          <a:off x="1023302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88856ACA-3FC3-4CD5-80A7-986A097C7E32}" type="TxLink">
            <a:rPr lang="en-US" sz="1800" b="0" i="0" u="none" strike="noStrike">
              <a:ln>
                <a:noFill/>
              </a:ln>
              <a:solidFill>
                <a:schemeClr val="bg1"/>
              </a:solidFill>
              <a:latin typeface="Calibri"/>
              <a:ea typeface="Calibri"/>
              <a:cs typeface="Calibri"/>
            </a:rPr>
            <a:pPr algn="ctr"/>
            <a:t> 34,31 € </a:t>
          </a:fld>
          <a:endParaRPr lang="de-DE" sz="2800" b="1">
            <a:ln>
              <a:noFill/>
            </a:ln>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628650</xdr:colOff>
      <xdr:row>0</xdr:row>
      <xdr:rowOff>161925</xdr:rowOff>
    </xdr:from>
    <xdr:to>
      <xdr:col>15</xdr:col>
      <xdr:colOff>361950</xdr:colOff>
      <xdr:row>3</xdr:row>
      <xdr:rowOff>47625</xdr:rowOff>
    </xdr:to>
    <xdr:sp macro="" textlink="">
      <xdr:nvSpPr>
        <xdr:cNvPr id="3" name="Rechteck 2">
          <a:extLst>
            <a:ext uri="{FF2B5EF4-FFF2-40B4-BE49-F238E27FC236}">
              <a16:creationId xmlns:a16="http://schemas.microsoft.com/office/drawing/2014/main" id="{C914F4BD-5783-477C-A83C-AFAB7527EE0C}"/>
            </a:ext>
          </a:extLst>
        </xdr:cNvPr>
        <xdr:cNvSpPr/>
      </xdr:nvSpPr>
      <xdr:spPr>
        <a:xfrm>
          <a:off x="12811125" y="161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Verkaufserlöse</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104775</xdr:colOff>
      <xdr:row>0</xdr:row>
      <xdr:rowOff>133350</xdr:rowOff>
    </xdr:from>
    <xdr:to>
      <xdr:col>18</xdr:col>
      <xdr:colOff>600075</xdr:colOff>
      <xdr:row>3</xdr:row>
      <xdr:rowOff>19050</xdr:rowOff>
    </xdr:to>
    <xdr:sp macro="" textlink="">
      <xdr:nvSpPr>
        <xdr:cNvPr id="14" name="Rechteck 13">
          <a:extLst>
            <a:ext uri="{FF2B5EF4-FFF2-40B4-BE49-F238E27FC236}">
              <a16:creationId xmlns:a16="http://schemas.microsoft.com/office/drawing/2014/main" id="{BDA1536F-575C-4C9E-83EE-7C05DBD199B2}"/>
            </a:ext>
          </a:extLst>
        </xdr:cNvPr>
        <xdr:cNvSpPr/>
      </xdr:nvSpPr>
      <xdr:spPr>
        <a:xfrm>
          <a:off x="15335250" y="133350"/>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Performance</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342900</xdr:colOff>
      <xdr:row>0</xdr:row>
      <xdr:rowOff>123825</xdr:rowOff>
    </xdr:from>
    <xdr:to>
      <xdr:col>22</xdr:col>
      <xdr:colOff>76200</xdr:colOff>
      <xdr:row>3</xdr:row>
      <xdr:rowOff>9525</xdr:rowOff>
    </xdr:to>
    <xdr:sp macro="" textlink="">
      <xdr:nvSpPr>
        <xdr:cNvPr id="15" name="Rechteck 14">
          <a:extLst>
            <a:ext uri="{FF2B5EF4-FFF2-40B4-BE49-F238E27FC236}">
              <a16:creationId xmlns:a16="http://schemas.microsoft.com/office/drawing/2014/main" id="{E5D4F733-FDAD-420B-95CB-92DBAF5CB56D}"/>
            </a:ext>
          </a:extLst>
        </xdr:cNvPr>
        <xdr:cNvSpPr/>
      </xdr:nvSpPr>
      <xdr:spPr>
        <a:xfrm>
          <a:off x="17859375" y="1238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Performance StocksFunds</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581025</xdr:colOff>
      <xdr:row>0</xdr:row>
      <xdr:rowOff>114300</xdr:rowOff>
    </xdr:from>
    <xdr:to>
      <xdr:col>25</xdr:col>
      <xdr:colOff>314325</xdr:colOff>
      <xdr:row>3</xdr:row>
      <xdr:rowOff>0</xdr:rowOff>
    </xdr:to>
    <xdr:sp macro="" textlink="">
      <xdr:nvSpPr>
        <xdr:cNvPr id="16" name="Rechteck 15">
          <a:extLst>
            <a:ext uri="{FF2B5EF4-FFF2-40B4-BE49-F238E27FC236}">
              <a16:creationId xmlns:a16="http://schemas.microsoft.com/office/drawing/2014/main" id="{1828B63B-0128-4904-90F1-260D3AE4B5D5}"/>
            </a:ext>
          </a:extLst>
        </xdr:cNvPr>
        <xdr:cNvSpPr/>
      </xdr:nvSpPr>
      <xdr:spPr>
        <a:xfrm>
          <a:off x="20383500" y="114300"/>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Performance Crypto</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571500</xdr:colOff>
      <xdr:row>2</xdr:row>
      <xdr:rowOff>161925</xdr:rowOff>
    </xdr:from>
    <xdr:to>
      <xdr:col>15</xdr:col>
      <xdr:colOff>304800</xdr:colOff>
      <xdr:row>5</xdr:row>
      <xdr:rowOff>47625</xdr:rowOff>
    </xdr:to>
    <xdr:sp macro="" textlink="Pivot!L6">
      <xdr:nvSpPr>
        <xdr:cNvPr id="17" name="Rechteck 16">
          <a:extLst>
            <a:ext uri="{FF2B5EF4-FFF2-40B4-BE49-F238E27FC236}">
              <a16:creationId xmlns:a16="http://schemas.microsoft.com/office/drawing/2014/main" id="{BCF4DC8A-BD68-4FF1-A756-88D4B9FAB4EB}"/>
            </a:ext>
          </a:extLst>
        </xdr:cNvPr>
        <xdr:cNvSpPr/>
      </xdr:nvSpPr>
      <xdr:spPr>
        <a:xfrm>
          <a:off x="1275397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940C09A8-7F84-463D-B24C-707475E4B71D}" type="TxLink">
            <a:rPr lang="en-US" sz="1800" b="0" i="0" u="none" strike="noStrike">
              <a:ln>
                <a:noFill/>
              </a:ln>
              <a:solidFill>
                <a:schemeClr val="bg2"/>
              </a:solidFill>
              <a:latin typeface="Calibri"/>
              <a:ea typeface="Calibri"/>
              <a:cs typeface="Calibri"/>
            </a:rPr>
            <a:pPr algn="ctr"/>
            <a:t> -   € </a:t>
          </a:fld>
          <a:endParaRPr lang="de-DE" sz="18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44450</xdr:colOff>
      <xdr:row>2</xdr:row>
      <xdr:rowOff>161925</xdr:rowOff>
    </xdr:from>
    <xdr:to>
      <xdr:col>18</xdr:col>
      <xdr:colOff>539750</xdr:colOff>
      <xdr:row>5</xdr:row>
      <xdr:rowOff>47625</xdr:rowOff>
    </xdr:to>
    <xdr:sp macro="" textlink="Dashboard!B134">
      <xdr:nvSpPr>
        <xdr:cNvPr id="18" name="Rechteck 17">
          <a:extLst>
            <a:ext uri="{FF2B5EF4-FFF2-40B4-BE49-F238E27FC236}">
              <a16:creationId xmlns:a16="http://schemas.microsoft.com/office/drawing/2014/main" id="{4929AE2B-018C-4171-9D9C-A3E43D3A6AF8}"/>
            </a:ext>
          </a:extLst>
        </xdr:cNvPr>
        <xdr:cNvSpPr/>
      </xdr:nvSpPr>
      <xdr:spPr>
        <a:xfrm>
          <a:off x="1527492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FAB576F4-7559-4837-825F-BE07BAE89CF2}" type="TxLink">
            <a:rPr lang="en-US" sz="1800" b="0" i="0" u="none" strike="noStrike">
              <a:ln>
                <a:noFill/>
              </a:ln>
              <a:solidFill>
                <a:schemeClr val="bg2"/>
              </a:solidFill>
              <a:latin typeface="Times New Roman"/>
              <a:ea typeface="Calibri"/>
              <a:cs typeface="Times New Roman"/>
            </a:rPr>
            <a:pPr algn="ctr"/>
            <a:t>34,31 €</a:t>
          </a:fld>
          <a:endParaRPr lang="de-DE" sz="18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279400</xdr:colOff>
      <xdr:row>2</xdr:row>
      <xdr:rowOff>161925</xdr:rowOff>
    </xdr:from>
    <xdr:to>
      <xdr:col>22</xdr:col>
      <xdr:colOff>12700</xdr:colOff>
      <xdr:row>5</xdr:row>
      <xdr:rowOff>47625</xdr:rowOff>
    </xdr:to>
    <xdr:sp macro="" textlink="Dashboard!B135">
      <xdr:nvSpPr>
        <xdr:cNvPr id="19" name="Rechteck 18">
          <a:extLst>
            <a:ext uri="{FF2B5EF4-FFF2-40B4-BE49-F238E27FC236}">
              <a16:creationId xmlns:a16="http://schemas.microsoft.com/office/drawing/2014/main" id="{F988B82A-4110-4568-A4FF-BAF0C9500495}"/>
            </a:ext>
          </a:extLst>
        </xdr:cNvPr>
        <xdr:cNvSpPr/>
      </xdr:nvSpPr>
      <xdr:spPr>
        <a:xfrm>
          <a:off x="1779587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6EABED75-83A3-47A1-8BF2-105157BCCE53}" type="TxLink">
            <a:rPr lang="en-US" sz="1800" b="0" i="0" u="none" strike="noStrike">
              <a:ln>
                <a:noFill/>
              </a:ln>
              <a:solidFill>
                <a:schemeClr val="bg2"/>
              </a:solidFill>
              <a:latin typeface="Times New Roman"/>
              <a:ea typeface="Calibri"/>
              <a:cs typeface="Times New Roman"/>
            </a:rPr>
            <a:pPr algn="ctr"/>
            <a:t>34,31 €</a:t>
          </a:fld>
          <a:endParaRPr lang="de-DE" sz="18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514350</xdr:colOff>
      <xdr:row>2</xdr:row>
      <xdr:rowOff>161925</xdr:rowOff>
    </xdr:from>
    <xdr:to>
      <xdr:col>25</xdr:col>
      <xdr:colOff>247650</xdr:colOff>
      <xdr:row>5</xdr:row>
      <xdr:rowOff>47625</xdr:rowOff>
    </xdr:to>
    <xdr:sp macro="" textlink="Dashboard!B136">
      <xdr:nvSpPr>
        <xdr:cNvPr id="20" name="Rechteck 19">
          <a:extLst>
            <a:ext uri="{FF2B5EF4-FFF2-40B4-BE49-F238E27FC236}">
              <a16:creationId xmlns:a16="http://schemas.microsoft.com/office/drawing/2014/main" id="{10D2E417-E9C6-4159-9286-33F114C393CA}"/>
            </a:ext>
          </a:extLst>
        </xdr:cNvPr>
        <xdr:cNvSpPr/>
      </xdr:nvSpPr>
      <xdr:spPr>
        <a:xfrm>
          <a:off x="2031682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D3C6D288-7C96-482B-AE1A-AC3CFCD0A655}" type="TxLink">
            <a:rPr lang="en-US" sz="1800" b="0" i="0" u="none" strike="noStrike">
              <a:ln>
                <a:noFill/>
              </a:ln>
              <a:solidFill>
                <a:schemeClr val="bg2"/>
              </a:solidFill>
              <a:latin typeface="Times New Roman"/>
              <a:ea typeface="Calibri"/>
              <a:cs typeface="Times New Roman"/>
            </a:rPr>
            <a:pPr algn="ctr"/>
            <a:t>0,00 €</a:t>
          </a:fld>
          <a:endParaRPr lang="de-DE" sz="18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editAs="oneCell">
    <xdr:from>
      <xdr:col>21</xdr:col>
      <xdr:colOff>285750</xdr:colOff>
      <xdr:row>53</xdr:row>
      <xdr:rowOff>95250</xdr:rowOff>
    </xdr:from>
    <xdr:to>
      <xdr:col>23</xdr:col>
      <xdr:colOff>590550</xdr:colOff>
      <xdr:row>66</xdr:row>
      <xdr:rowOff>142875</xdr:rowOff>
    </xdr:to>
    <mc:AlternateContent xmlns:mc="http://schemas.openxmlformats.org/markup-compatibility/2006" xmlns:a14="http://schemas.microsoft.com/office/drawing/2010/main">
      <mc:Choice Requires="a14">
        <xdr:graphicFrame macro="">
          <xdr:nvGraphicFramePr>
            <xdr:cNvPr id="23" name="Asset">
              <a:extLst>
                <a:ext uri="{FF2B5EF4-FFF2-40B4-BE49-F238E27FC236}">
                  <a16:creationId xmlns:a16="http://schemas.microsoft.com/office/drawing/2014/main" id="{0A072449-4084-BE34-4863-6A1B5663FB2D}"/>
                </a:ext>
              </a:extLst>
            </xdr:cNvPr>
            <xdr:cNvGraphicFramePr/>
          </xdr:nvGraphicFramePr>
          <xdr:xfrm>
            <a:off x="0" y="0"/>
            <a:ext cx="0" cy="0"/>
          </xdr:xfrm>
          <a:graphic>
            <a:graphicData uri="http://schemas.microsoft.com/office/drawing/2010/slicer">
              <sle:slicer xmlns:sle="http://schemas.microsoft.com/office/drawing/2010/slicer" name="Asset"/>
            </a:graphicData>
          </a:graphic>
        </xdr:graphicFrame>
      </mc:Choice>
      <mc:Fallback xmlns="">
        <xdr:sp macro="" textlink="">
          <xdr:nvSpPr>
            <xdr:cNvPr id="0" name=""/>
            <xdr:cNvSpPr>
              <a:spLocks noTextEdit="1"/>
            </xdr:cNvSpPr>
          </xdr:nvSpPr>
          <xdr:spPr>
            <a:xfrm>
              <a:off x="20088225" y="10191750"/>
              <a:ext cx="1828800" cy="252412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24</xdr:col>
      <xdr:colOff>447675</xdr:colOff>
      <xdr:row>53</xdr:row>
      <xdr:rowOff>47625</xdr:rowOff>
    </xdr:from>
    <xdr:to>
      <xdr:col>26</xdr:col>
      <xdr:colOff>752475</xdr:colOff>
      <xdr:row>66</xdr:row>
      <xdr:rowOff>95250</xdr:rowOff>
    </xdr:to>
    <mc:AlternateContent xmlns:mc="http://schemas.openxmlformats.org/markup-compatibility/2006" xmlns:a14="http://schemas.microsoft.com/office/drawing/2010/main">
      <mc:Choice Requires="a14">
        <xdr:graphicFrame macro="">
          <xdr:nvGraphicFramePr>
            <xdr:cNvPr id="25" name="Klasse">
              <a:extLst>
                <a:ext uri="{FF2B5EF4-FFF2-40B4-BE49-F238E27FC236}">
                  <a16:creationId xmlns:a16="http://schemas.microsoft.com/office/drawing/2014/main" id="{CDFD2130-B411-DDA4-AE65-125ED94CD3D6}"/>
                </a:ext>
              </a:extLst>
            </xdr:cNvPr>
            <xdr:cNvGraphicFramePr/>
          </xdr:nvGraphicFramePr>
          <xdr:xfrm>
            <a:off x="0" y="0"/>
            <a:ext cx="0" cy="0"/>
          </xdr:xfrm>
          <a:graphic>
            <a:graphicData uri="http://schemas.microsoft.com/office/drawing/2010/slicer">
              <sle:slicer xmlns:sle="http://schemas.microsoft.com/office/drawing/2010/slicer" name="Klasse"/>
            </a:graphicData>
          </a:graphic>
        </xdr:graphicFrame>
      </mc:Choice>
      <mc:Fallback xmlns="">
        <xdr:sp macro="" textlink="">
          <xdr:nvSpPr>
            <xdr:cNvPr id="0" name=""/>
            <xdr:cNvSpPr>
              <a:spLocks noTextEdit="1"/>
            </xdr:cNvSpPr>
          </xdr:nvSpPr>
          <xdr:spPr>
            <a:xfrm>
              <a:off x="22536150" y="10144125"/>
              <a:ext cx="1828800" cy="252412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0.30408</cdr:x>
      <cdr:y>0.49158</cdr:y>
    </cdr:from>
    <cdr:to>
      <cdr:x>0.72422</cdr:x>
      <cdr:y>0.55219</cdr:y>
    </cdr:to>
    <cdr:sp macro="" textlink="Pivot!$E$6">
      <cdr:nvSpPr>
        <cdr:cNvPr id="2" name="Rechteck 1">
          <a:extLst xmlns:a="http://schemas.openxmlformats.org/drawingml/2006/main">
            <a:ext uri="{FF2B5EF4-FFF2-40B4-BE49-F238E27FC236}">
              <a16:creationId xmlns:a16="http://schemas.microsoft.com/office/drawing/2014/main" id="{4F40A7D9-3142-4EA0-9F59-1BB20506CB32}"/>
            </a:ext>
          </a:extLst>
        </cdr:cNvPr>
        <cdr:cNvSpPr/>
      </cdr:nvSpPr>
      <cdr:spPr>
        <a:xfrm xmlns:a="http://schemas.openxmlformats.org/drawingml/2006/main">
          <a:off x="2012950" y="3708400"/>
          <a:ext cx="2781300" cy="457200"/>
        </a:xfrm>
        <a:prstGeom xmlns:a="http://schemas.openxmlformats.org/drawingml/2006/main" prst="rect">
          <a:avLst/>
        </a:prstGeom>
        <a:solidFill xmlns:a="http://schemas.openxmlformats.org/drawingml/2006/main">
          <a:schemeClr val="tx1"/>
        </a:solidFill>
        <a:ln xmlns:a="http://schemas.openxmlformats.org/drawingml/2006/main">
          <a:noFill/>
        </a:ln>
      </cdr:spPr>
      <cdr:style>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26646A7A-48A9-4F2D-A85E-1CFE6EBBD509}" type="TxLink">
            <a:rPr lang="en-US" sz="1100" b="0" i="0" u="none" strike="noStrike">
              <a:ln>
                <a:noFill/>
              </a:ln>
              <a:solidFill>
                <a:schemeClr val="bg2"/>
              </a:solidFill>
              <a:latin typeface="Calibri"/>
              <a:ea typeface="Calibri"/>
              <a:cs typeface="Calibri"/>
            </a:rPr>
            <a:pPr algn="ctr"/>
            <a:t> 550,34 € </a:t>
          </a:fld>
          <a:endParaRPr lang="de-DE" sz="2800" b="1">
            <a:ln>
              <a:noFill/>
            </a:ln>
            <a:solidFill>
              <a:schemeClr val="bg2"/>
            </a:solidFill>
            <a:latin typeface="Times New Roman" panose="02020603050405020304" pitchFamily="18" charset="0"/>
            <a:cs typeface="Times New Roman" panose="02020603050405020304" pitchFamily="18"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lla Fotsing Roméo" refreshedDate="46295.677474074073" missingItemsLimit="0" createdVersion="8" refreshedVersion="8" minRefreshableVersion="3" recordCount="62" xr:uid="{AECC3722-4F33-446B-9A76-E2824C46E9CC}">
  <cacheSource type="worksheet">
    <worksheetSource ref="A1:X1048576" sheet="Auswertung"/>
  </cacheSource>
  <cacheFields count="23">
    <cacheField name="Asset" numFmtId="0">
      <sharedItems containsBlank="1" count="3">
        <s v="DroneShield"/>
        <s v="FTSE All-World USD (Acc)"/>
        <m/>
      </sharedItems>
    </cacheField>
    <cacheField name="Klasse" numFmtId="0">
      <sharedItems containsBlank="1" count="3">
        <s v="STOCK"/>
        <s v="FUND"/>
        <m/>
      </sharedItems>
    </cacheField>
    <cacheField name="Symbol" numFmtId="0">
      <sharedItems containsBlank="1"/>
    </cacheField>
    <cacheField name="Käufe Stück" numFmtId="0">
      <sharedItems containsString="0" containsBlank="1" containsNumber="1" minValue="2.9493820000000008" maxValue="47.709923000000003"/>
    </cacheField>
    <cacheField name="Verkäufe Stück" numFmtId="0">
      <sharedItems containsString="0" containsBlank="1" containsNumber="1" containsInteger="1" minValue="0" maxValue="0"/>
    </cacheField>
    <cacheField name="Bestand" numFmtId="0">
      <sharedItems containsString="0" containsBlank="1" containsNumber="1" minValue="2.9493820000000008" maxValue="47.709923000000003"/>
    </cacheField>
    <cacheField name="Investiert €" numFmtId="164">
      <sharedItems containsString="0" containsBlank="1" containsNumber="1" minValue="50" maxValue="459.28"/>
    </cacheField>
    <cacheField name="Verkauft €" numFmtId="164">
      <sharedItems containsString="0" containsBlank="1" containsNumber="1" containsInteger="1" minValue="0" maxValue="0"/>
    </cacheField>
    <cacheField name="Gebühren €" numFmtId="164">
      <sharedItems containsString="0" containsBlank="1" containsNumber="1" containsInteger="1" minValue="1" maxValue="6"/>
    </cacheField>
    <cacheField name="Netto P&amp;L €" numFmtId="164">
      <sharedItems containsString="0" containsBlank="1" containsNumber="1" minValue="-465.28" maxValue="-51"/>
    </cacheField>
    <cacheField name="Status" numFmtId="0">
      <sharedItems containsBlank="1"/>
    </cacheField>
    <cacheField name="Einstandskurs €" numFmtId="0">
      <sharedItems containsString="0" containsBlank="1" containsNumber="1" minValue="1.069" maxValue="157.66999999999999"/>
    </cacheField>
    <cacheField name="Aktueller Kurs €" numFmtId="0">
      <sharedItems containsString="0" containsBlank="1" containsNumber="1" minValue="1.0419" maxValue="169.74"/>
    </cacheField>
    <cacheField name="Aktuell nicht realisierte P&amp;L €" numFmtId="166">
      <sharedItems containsString="0" containsBlank="1" containsNumber="1" minValue="-1.2929389132999916" maxValue="35.599040740000078"/>
    </cacheField>
    <cacheField name="Aktuelle Position €" numFmtId="164">
      <sharedItems containsString="0" containsBlank="1" containsNumber="1" minValue="49.708968773700008" maxValue="500.62810068000016"/>
    </cacheField>
    <cacheField name="Aktuell Investiert €" numFmtId="164">
      <sharedItems containsString="0" containsBlank="1" containsNumber="1" minValue="51.001907686999999" maxValue="465.02905994000008"/>
    </cacheField>
    <cacheField name="Aktuelle Rendite" numFmtId="10">
      <sharedItems containsString="0" containsBlank="1" containsNumber="1" minValue="-2.5350795135640619E-2" maxValue="7.6552292763366683E-2"/>
    </cacheField>
    <cacheField name="Realisierte P&amp;L Verkäufe €" numFmtId="164">
      <sharedItems containsString="0" containsBlank="1" containsNumber="1" containsInteger="1" minValue="0" maxValue="0"/>
    </cacheField>
    <cacheField name="Investiertes Kapital Verkäufe €" numFmtId="164">
      <sharedItems containsString="0" containsBlank="1" containsNumber="1" containsInteger="1" minValue="0" maxValue="0"/>
    </cacheField>
    <cacheField name="Anzahl Kauforders" numFmtId="4">
      <sharedItems containsString="0" containsBlank="1" containsNumber="1" containsInteger="1" minValue="1" maxValue="6"/>
    </cacheField>
    <cacheField name="Anzahl Verkaufsorders" numFmtId="4">
      <sharedItems containsString="0" containsBlank="1" containsNumber="1" containsInteger="1" minValue="0" maxValue="0"/>
    </cacheField>
    <cacheField name="Rendite Verkäufe" numFmtId="10">
      <sharedItems containsString="0" containsBlank="1" containsNumber="1" containsInteger="1" minValue="0" maxValue="0"/>
    </cacheField>
    <cacheField name="Gesamte Rendite" numFmtId="10">
      <sharedItems containsString="0" containsBlank="1" containsNumber="1" minValue="-2.5820624525999848E-2" maxValue="7.6964162776520184E-2"/>
    </cacheField>
  </cacheFields>
  <extLst>
    <ext xmlns:x14="http://schemas.microsoft.com/office/spreadsheetml/2009/9/main" uri="{725AE2AE-9491-48be-B2B4-4EB974FC3084}">
      <x14:pivotCacheDefinition pivotCacheId="7265418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x v="0"/>
    <x v="0"/>
    <s v="AU000000DRO2"/>
    <n v="47.709923000000003"/>
    <n v="0"/>
    <n v="47.709923000000003"/>
    <n v="50"/>
    <n v="0"/>
    <n v="1"/>
    <n v="-51"/>
    <s v="OFFEN"/>
    <n v="1.069"/>
    <n v="1.0419"/>
    <n v="-1.2929389132999916"/>
    <n v="49.708968773700008"/>
    <n v="51.001907686999999"/>
    <n v="-2.5350795135640619E-2"/>
    <n v="0"/>
    <n v="0"/>
    <n v="1"/>
    <n v="0"/>
    <n v="0"/>
    <n v="-2.5820624525999848E-2"/>
  </r>
  <r>
    <x v="1"/>
    <x v="1"/>
    <s v="IE00BK5BQT80"/>
    <n v="2.9493820000000008"/>
    <n v="0"/>
    <n v="2.9493820000000008"/>
    <n v="459.28"/>
    <n v="0"/>
    <n v="6"/>
    <n v="-465.28"/>
    <s v="OFFEN"/>
    <n v="157.66999999999999"/>
    <n v="169.74"/>
    <n v="35.599040740000078"/>
    <n v="500.62810068000016"/>
    <n v="465.02905994000008"/>
    <n v="7.6552292763366683E-2"/>
    <n v="0"/>
    <n v="0"/>
    <n v="6"/>
    <n v="0"/>
    <n v="0"/>
    <n v="7.6964162776520184E-2"/>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r>
    <x v="2"/>
    <x v="2"/>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3F31EA-6894-49F2-AD85-69A514AE323F}" name="PivotTable1" cacheId="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rowHeaderCaption="Assets">
  <location ref="L3:L4" firstHeaderRow="1" firstDataRow="1" firstDataCol="0"/>
  <pivotFields count="23">
    <pivotField showAll="0"/>
    <pivotField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Verkaufserlöse Gewinn/Verlust" fld="17"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326F01-EA15-4A93-82D4-848E4D2615C7}" name="PivotTable9" cacheId="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rowHeaderCaption="Assets">
  <location ref="J3:J4"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Einkaufswert" fld="15"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A41211-FADE-4A81-A35B-B4ED20E62223}" name="PivotTable10" cacheId="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5" rowHeaderCaption="Assets">
  <location ref="E13:F16" firstHeaderRow="1" firstDataRow="1" firstDataCol="1"/>
  <pivotFields count="23">
    <pivotField showAll="0">
      <items count="4">
        <item x="0"/>
        <item x="1"/>
        <item x="2"/>
        <item t="default"/>
      </items>
    </pivotField>
    <pivotField axis="axisRow" showAll="0">
      <items count="4">
        <item x="1"/>
        <item h="1"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3">
    <i>
      <x/>
    </i>
    <i>
      <x v="2"/>
    </i>
    <i t="grand">
      <x/>
    </i>
  </rowItems>
  <colItems count="1">
    <i/>
  </colItems>
  <dataFields count="1">
    <dataField name="Aktueller Wert" fld="14" baseField="0" baseItem="0"/>
  </dataFields>
  <formats count="1">
    <format dxfId="9">
      <pivotArea outline="0" collapsedLevelsAreSubtotals="1" fieldPosition="0"/>
    </format>
  </formats>
  <chartFormats count="4">
    <chartFormat chart="3" format="6"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46C2F3-32F0-4399-B83F-C10E1649A49F}" name="PivotTable6" cacheId="1" applyNumberFormats="0" applyBorderFormats="0" applyFontFormats="0" applyPatternFormats="0" applyAlignmentFormats="0" applyWidthHeightFormats="1" dataCaption="Werte" updatedVersion="8" minRefreshableVersion="3" preserveFormatting="0" useAutoFormatting="1" itemPrintTitles="1" createdVersion="8" indent="0" outline="1" outlineData="1" multipleFieldFilters="0" chartFormat="11" rowHeaderCaption="Assets">
  <location ref="A13:B18" firstHeaderRow="1" firstDataRow="1" firstDataCol="1"/>
  <pivotFields count="23">
    <pivotField axis="axisRow" showAll="0">
      <items count="4">
        <item x="2"/>
        <item x="1"/>
        <item x="0"/>
        <item t="default"/>
      </items>
    </pivotField>
    <pivotField axis="axisRow" showAll="0">
      <items count="4">
        <item x="1"/>
        <item h="1" x="2"/>
        <item x="0"/>
        <item t="default"/>
      </items>
    </pivotField>
    <pivotField showAll="0"/>
    <pivotField showAll="0"/>
    <pivotField showAll="0"/>
    <pivotField showAll="0" measureFilter="1"/>
    <pivotField showAll="0"/>
    <pivotField showAll="0"/>
    <pivotField showAll="0"/>
    <pivotField showAll="0"/>
    <pivotField showAll="0"/>
    <pivotField showAll="0"/>
    <pivotField showAll="0"/>
    <pivotField showAll="0"/>
    <pivotField dataField="1" showAll="0" measureFilter="1"/>
    <pivotField showAll="0"/>
    <pivotField showAll="0"/>
    <pivotField showAll="0"/>
    <pivotField showAll="0"/>
    <pivotField showAll="0"/>
    <pivotField showAll="0"/>
    <pivotField showAll="0"/>
    <pivotField showAll="0"/>
  </pivotFields>
  <rowFields count="2">
    <field x="1"/>
    <field x="0"/>
  </rowFields>
  <rowItems count="5">
    <i>
      <x/>
    </i>
    <i r="1">
      <x v="1"/>
    </i>
    <i>
      <x v="2"/>
    </i>
    <i r="1">
      <x v="2"/>
    </i>
    <i t="grand">
      <x/>
    </i>
  </rowItems>
  <colItems count="1">
    <i/>
  </colItems>
  <dataFields count="1">
    <dataField name="Aktueller Wert" fld="14" baseField="0" baseItem="0" numFmtId="44"/>
  </dataFields>
  <chartFormats count="4">
    <chartFormat chart="5" format="64" series="1">
      <pivotArea type="data" outline="0" fieldPosition="0">
        <references count="1">
          <reference field="4294967294" count="1" selected="0">
            <x v="0"/>
          </reference>
        </references>
      </pivotArea>
    </chartFormat>
    <chartFormat chart="5" format="126">
      <pivotArea type="data" outline="0" fieldPosition="0">
        <references count="3">
          <reference field="4294967294" count="1" selected="0">
            <x v="0"/>
          </reference>
          <reference field="0" count="1" selected="0">
            <x v="0"/>
          </reference>
          <reference field="1" count="1" selected="0">
            <x v="1"/>
          </reference>
        </references>
      </pivotArea>
    </chartFormat>
    <chartFormat chart="5" format="128">
      <pivotArea type="data" outline="0" fieldPosition="0">
        <references count="3">
          <reference field="4294967294" count="1" selected="0">
            <x v="0"/>
          </reference>
          <reference field="0" count="1" selected="0">
            <x v="1"/>
          </reference>
          <reference field="1" count="1" selected="0">
            <x v="0"/>
          </reference>
        </references>
      </pivotArea>
    </chartFormat>
    <chartFormat chart="5" format="129">
      <pivotArea type="data" outline="0" fieldPosition="0">
        <references count="3">
          <reference field="4294967294" count="1" selected="0">
            <x v="0"/>
          </reference>
          <reference field="0" count="1" selected="0">
            <x v="2"/>
          </reference>
          <reference field="1" count="1" selected="0">
            <x v="2"/>
          </reference>
        </references>
      </pivotArea>
    </chartFormat>
  </chartFormats>
  <pivotTableStyleInfo name="PivotStyleLight16" showRowHeaders="1" showColHeaders="1" showRowStripes="0" showColStripes="0" showLastColumn="1"/>
  <filters count="2">
    <filter fld="14" type="valueGreaterThan" evalOrder="-1" id="6" iMeasureFld="0">
      <autoFilter ref="A1">
        <filterColumn colId="0">
          <customFilters>
            <customFilter operator="greaterThan" val="0"/>
          </customFilters>
        </filterColumn>
      </autoFilter>
    </filter>
    <filter fld="5" type="valueGreaterThan" evalOrder="-1" id="7"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769888-D3D4-498F-9981-49DFC80F5D0F}" name="PivotTable8" cacheId="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rowHeaderCaption="Assets">
  <location ref="G3:G4"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ktueller Wert" fld="14" baseField="0" baseItem="0" numFmtId="4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691FC7-B584-44C9-8056-E4ED1D6024DD}" name="PivotTable11" cacheId="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rowHeaderCaption="Assets">
  <location ref="E3:E4" firstHeaderRow="1" firstDataRow="1" firstDataCol="0"/>
  <pivotFields count="23">
    <pivotField showAll="0"/>
    <pivotField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ktueller Wert" fld="14" baseField="0" baseItem="0" numFmtId="4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3E5646-EA4E-4DBC-8347-0CFCE76D5F19}" name="PivotTable5" cacheId="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4" rowHeaderCaption="Assets">
  <location ref="A3:C6" firstHeaderRow="0" firstDataRow="1" firstDataCol="1"/>
  <pivotFields count="23">
    <pivotField showAll="0">
      <items count="4">
        <item x="0"/>
        <item x="1"/>
        <item x="2"/>
        <item t="default"/>
      </items>
    </pivotField>
    <pivotField axis="axisRow" showAll="0">
      <items count="4">
        <item x="1"/>
        <item h="1"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s>
  <rowFields count="1">
    <field x="1"/>
  </rowFields>
  <rowItems count="3">
    <i>
      <x/>
    </i>
    <i>
      <x v="2"/>
    </i>
    <i t="grand">
      <x/>
    </i>
  </rowItems>
  <colFields count="1">
    <field x="-2"/>
  </colFields>
  <colItems count="2">
    <i>
      <x/>
    </i>
    <i i="1">
      <x v="1"/>
    </i>
  </colItems>
  <dataFields count="2">
    <dataField name="Einkaufswert" fld="15" baseField="0" baseItem="0"/>
    <dataField name="Aktueller Wert" fld="14" baseField="0" baseItem="0"/>
  </dataFields>
  <formats count="1">
    <format dxfId="12">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5C1A6C-3C9D-40E8-BB3C-38468AC3798B}" name="PivotTable12" cacheId="1" applyNumberFormats="0" applyBorderFormats="0" applyFontFormats="0" applyPatternFormats="0" applyAlignmentFormats="0" applyWidthHeightFormats="1" dataCaption="Werte" updatedVersion="8" minRefreshableVersion="3" itemPrintTitles="1" createdVersion="8" indent="0" outline="1" outlineData="1" multipleFieldFilters="0" rowHeaderCaption="Assets">
  <location ref="A8:D17" firstHeaderRow="0" firstDataRow="1" firstDataCol="1"/>
  <pivotFields count="23">
    <pivotField axis="axisRow" subtotalTop="0" showAll="0" insertBlankRow="1">
      <items count="4">
        <item x="2"/>
        <item x="1"/>
        <item x="0"/>
        <item t="default"/>
      </items>
    </pivotField>
    <pivotField axis="axisRow" subtotalTop="0" showAll="0" insertBlankRow="1">
      <items count="4">
        <item x="1"/>
        <item h="1" x="2"/>
        <item x="0"/>
        <item t="default"/>
      </items>
    </pivotField>
    <pivotField subtotalTop="0" showAll="0" insertBlankRow="1"/>
    <pivotField subtotalTop="0" showAll="0" insertBlankRow="1"/>
    <pivotField subtotalTop="0" showAll="0" insertBlankRow="1"/>
    <pivotField dataField="1"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dataField="1" subtotalTop="0" showAll="0" insertBlankRow="1"/>
    <pivotField subtotalTop="0" showAll="0" insertBlankRow="1"/>
    <pivotField dataField="1"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s>
  <rowFields count="2">
    <field x="1"/>
    <field x="0"/>
  </rowFields>
  <rowItems count="9">
    <i>
      <x/>
    </i>
    <i r="1">
      <x v="1"/>
    </i>
    <i t="default">
      <x/>
    </i>
    <i t="blank">
      <x/>
    </i>
    <i>
      <x v="2"/>
    </i>
    <i r="1">
      <x v="2"/>
    </i>
    <i t="default">
      <x v="2"/>
    </i>
    <i t="blank">
      <x v="2"/>
    </i>
    <i t="grand">
      <x/>
    </i>
  </rowItems>
  <colFields count="1">
    <field x="-2"/>
  </colFields>
  <colItems count="3">
    <i>
      <x/>
    </i>
    <i i="1">
      <x v="1"/>
    </i>
    <i i="2">
      <x v="2"/>
    </i>
  </colItems>
  <dataFields count="3">
    <dataField name="Bestand " fld="5" baseField="0" baseItem="0" numFmtId="2"/>
    <dataField name="Kurswert" fld="12" baseField="0" baseItem="0"/>
    <dataField name="Aktueller Wert" fld="14" baseField="0" baseItem="0"/>
  </dataFields>
  <formats count="7">
    <format dxfId="19">
      <pivotArea outline="0" collapsedLevelsAreSubtotals="1" fieldPosition="0"/>
    </format>
    <format dxfId="18">
      <pivotArea outline="0" collapsedLevelsAreSubtotals="1" fieldPosition="0">
        <references count="1">
          <reference field="4294967294" count="1" selected="0">
            <x v="1"/>
          </reference>
        </references>
      </pivotArea>
    </format>
    <format dxfId="17">
      <pivotArea dataOnly="0" labelOnly="1" outline="0" fieldPosition="0">
        <references count="1">
          <reference field="4294967294" count="1">
            <x v="1"/>
          </reference>
        </references>
      </pivotArea>
    </format>
    <format dxfId="16">
      <pivotArea outline="0" collapsedLevelsAreSubtotals="1" fieldPosition="0">
        <references count="1">
          <reference field="4294967294" count="1" selected="0">
            <x v="2"/>
          </reference>
        </references>
      </pivotArea>
    </format>
    <format dxfId="15">
      <pivotArea dataOnly="0" labelOnly="1" outline="0" fieldPosition="0">
        <references count="1">
          <reference field="4294967294" count="1">
            <x v="2"/>
          </reference>
        </references>
      </pivotArea>
    </format>
    <format dxfId="14">
      <pivotArea outline="0" collapsedLevelsAreSubtotals="1" fieldPosition="0">
        <references count="1">
          <reference field="4294967294" count="1" selected="0">
            <x v="0"/>
          </reference>
        </references>
      </pivotArea>
    </format>
    <format dxfId="13">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Asset" xr10:uid="{74E156CA-DA76-412E-AE06-FC2351C68BC2}" sourceName="Asset">
  <pivotTables>
    <pivotTable tabId="8" name="PivotTable12"/>
    <pivotTable tabId="7" name="PivotTable10"/>
    <pivotTable tabId="7" name="PivotTable5"/>
    <pivotTable tabId="7" name="PivotTable6"/>
  </pivotTables>
  <data>
    <tabular pivotCacheId="726541802">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Klasse" xr10:uid="{591CCDBB-D5D5-4EC0-ADA2-FB7118E7423C}" sourceName="Klasse">
  <pivotTables>
    <pivotTable tabId="7" name="PivotTable5"/>
    <pivotTable tabId="7" name="PivotTable1"/>
    <pivotTable tabId="7" name="PivotTable10"/>
    <pivotTable tabId="7" name="PivotTable11"/>
    <pivotTable tabId="7" name="PivotTable6"/>
    <pivotTable tabId="8" name="PivotTable12"/>
  </pivotTables>
  <data>
    <tabular pivotCacheId="726541802">
      <items count="3">
        <i x="1" s="1"/>
        <i x="0"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et" xr10:uid="{304860F4-B23C-4986-96EA-2911B7D9DE0D}" cache="Datenschnitt_Asset" caption="Asset" rowHeight="241300"/>
  <slicer name="Klasse" xr10:uid="{61444723-A5DC-4B44-ABDB-0D61DD82B789}" cache="Datenschnitt_Klasse" caption="Klass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69"/>
  <sheetViews>
    <sheetView workbookViewId="0">
      <pane ySplit="1" topLeftCell="A2" activePane="bottomLeft" state="frozen"/>
      <selection pane="bottomLeft" activeCell="H32" sqref="H32"/>
    </sheetView>
  </sheetViews>
  <sheetFormatPr baseColWidth="10" defaultColWidth="9.140625" defaultRowHeight="15" x14ac:dyDescent="0.25"/>
  <cols>
    <col min="1" max="1" width="21.85546875" style="33" bestFit="1" customWidth="1"/>
    <col min="2" max="2" width="18.140625" style="1" bestFit="1" customWidth="1"/>
    <col min="3" max="3" width="14" customWidth="1"/>
    <col min="4" max="4" width="18" customWidth="1"/>
    <col min="5" max="5" width="48" customWidth="1"/>
    <col min="6" max="6" width="13" customWidth="1"/>
    <col min="7" max="7" width="50" customWidth="1"/>
    <col min="8" max="8" width="14" customWidth="1"/>
    <col min="9" max="9" width="13" customWidth="1"/>
    <col min="10" max="10" width="10" customWidth="1"/>
    <col min="11" max="11" width="9" customWidth="1"/>
    <col min="12" max="12" width="8.7109375" style="28" customWidth="1"/>
    <col min="13" max="13" width="8" customWidth="1"/>
    <col min="14" max="14" width="10" customWidth="1"/>
    <col min="15" max="15" width="17" customWidth="1"/>
    <col min="16" max="16" width="19" customWidth="1"/>
    <col min="17" max="17" width="10" customWidth="1"/>
    <col min="18" max="18" width="118" bestFit="1" customWidth="1"/>
    <col min="19" max="19" width="38" customWidth="1"/>
    <col min="20" max="20" width="50" customWidth="1"/>
    <col min="21" max="21" width="24" customWidth="1"/>
    <col min="22" max="22" width="19" customWidth="1"/>
    <col min="23" max="23" width="10" customWidth="1"/>
  </cols>
  <sheetData>
    <row r="1" spans="1:23" x14ac:dyDescent="0.25">
      <c r="A1" s="32" t="s">
        <v>0</v>
      </c>
      <c r="B1" s="31" t="s">
        <v>1</v>
      </c>
      <c r="C1" s="24" t="s">
        <v>2</v>
      </c>
      <c r="D1" s="24" t="s">
        <v>3</v>
      </c>
      <c r="E1" s="24" t="s">
        <v>4</v>
      </c>
      <c r="F1" s="24" t="s">
        <v>5</v>
      </c>
      <c r="G1" s="24" t="s">
        <v>6</v>
      </c>
      <c r="H1" s="24" t="s">
        <v>7</v>
      </c>
      <c r="I1" s="24" t="s">
        <v>8</v>
      </c>
      <c r="J1" s="24" t="s">
        <v>9</v>
      </c>
      <c r="K1" s="24" t="s">
        <v>10</v>
      </c>
      <c r="L1" s="27" t="s">
        <v>11</v>
      </c>
      <c r="M1" s="24" t="s">
        <v>12</v>
      </c>
      <c r="N1" s="24" t="s">
        <v>13</v>
      </c>
      <c r="O1" s="24" t="s">
        <v>14</v>
      </c>
      <c r="P1" s="24" t="s">
        <v>15</v>
      </c>
      <c r="Q1" s="24" t="s">
        <v>16</v>
      </c>
      <c r="R1" s="24" t="s">
        <v>17</v>
      </c>
      <c r="S1" s="24" t="s">
        <v>18</v>
      </c>
      <c r="T1" s="24" t="s">
        <v>19</v>
      </c>
      <c r="U1" s="24" t="s">
        <v>20</v>
      </c>
      <c r="V1" s="24" t="s">
        <v>21</v>
      </c>
      <c r="W1" s="24" t="s">
        <v>22</v>
      </c>
    </row>
    <row r="2" spans="1:23" x14ac:dyDescent="0.25">
      <c r="A2" s="40">
        <v>46127.386362210702</v>
      </c>
      <c r="B2" s="41">
        <v>46127</v>
      </c>
      <c r="C2" t="s">
        <v>205</v>
      </c>
      <c r="D2" t="s">
        <v>23</v>
      </c>
      <c r="E2" t="s">
        <v>32</v>
      </c>
      <c r="F2" t="s">
        <v>206</v>
      </c>
      <c r="G2" t="s">
        <v>206</v>
      </c>
      <c r="H2" t="s">
        <v>206</v>
      </c>
      <c r="I2">
        <v>0</v>
      </c>
      <c r="J2">
        <v>0</v>
      </c>
      <c r="K2">
        <v>10</v>
      </c>
      <c r="L2">
        <v>0</v>
      </c>
      <c r="M2">
        <v>0</v>
      </c>
      <c r="N2" t="s">
        <v>25</v>
      </c>
      <c r="O2">
        <v>0</v>
      </c>
      <c r="P2" t="s">
        <v>206</v>
      </c>
      <c r="Q2">
        <v>0</v>
      </c>
      <c r="R2" t="s">
        <v>207</v>
      </c>
      <c r="S2" t="s">
        <v>208</v>
      </c>
      <c r="T2" t="s">
        <v>206</v>
      </c>
      <c r="U2" t="s">
        <v>206</v>
      </c>
      <c r="V2" t="s">
        <v>206</v>
      </c>
      <c r="W2" t="s">
        <v>206</v>
      </c>
    </row>
    <row r="3" spans="1:23" x14ac:dyDescent="0.25">
      <c r="A3" s="40">
        <v>46127.740981805597</v>
      </c>
      <c r="B3" s="41">
        <v>46127</v>
      </c>
      <c r="C3" t="s">
        <v>205</v>
      </c>
      <c r="D3" t="s">
        <v>23</v>
      </c>
      <c r="E3" t="s">
        <v>31</v>
      </c>
      <c r="F3" t="s">
        <v>206</v>
      </c>
      <c r="G3" t="s">
        <v>206</v>
      </c>
      <c r="H3" t="s">
        <v>206</v>
      </c>
      <c r="I3">
        <v>0</v>
      </c>
      <c r="J3">
        <v>0</v>
      </c>
      <c r="K3">
        <v>-10</v>
      </c>
      <c r="L3">
        <v>0</v>
      </c>
      <c r="M3">
        <v>0</v>
      </c>
      <c r="N3" t="s">
        <v>25</v>
      </c>
      <c r="O3">
        <v>0</v>
      </c>
      <c r="P3" t="s">
        <v>206</v>
      </c>
      <c r="Q3">
        <v>0</v>
      </c>
      <c r="R3" t="s">
        <v>209</v>
      </c>
      <c r="S3" t="s">
        <v>210</v>
      </c>
      <c r="T3" t="s">
        <v>206</v>
      </c>
      <c r="U3" t="s">
        <v>206</v>
      </c>
      <c r="V3" t="s">
        <v>206</v>
      </c>
      <c r="W3" t="s">
        <v>206</v>
      </c>
    </row>
    <row r="4" spans="1:23" x14ac:dyDescent="0.25">
      <c r="A4" s="40">
        <v>46128.442399884298</v>
      </c>
      <c r="B4" s="41">
        <v>46128</v>
      </c>
      <c r="C4" t="s">
        <v>205</v>
      </c>
      <c r="D4" t="s">
        <v>23</v>
      </c>
      <c r="E4" t="s">
        <v>24</v>
      </c>
      <c r="F4" t="s">
        <v>206</v>
      </c>
      <c r="G4" t="s">
        <v>206</v>
      </c>
      <c r="H4" t="s">
        <v>206</v>
      </c>
      <c r="I4">
        <v>0</v>
      </c>
      <c r="J4">
        <v>0</v>
      </c>
      <c r="K4">
        <v>1</v>
      </c>
      <c r="L4">
        <v>0</v>
      </c>
      <c r="M4">
        <v>0</v>
      </c>
      <c r="N4" t="s">
        <v>25</v>
      </c>
      <c r="O4">
        <v>0</v>
      </c>
      <c r="P4" t="s">
        <v>206</v>
      </c>
      <c r="Q4">
        <v>0</v>
      </c>
      <c r="R4" t="s">
        <v>30</v>
      </c>
      <c r="S4" t="s">
        <v>211</v>
      </c>
      <c r="T4" t="s">
        <v>206</v>
      </c>
      <c r="U4" t="s">
        <v>206</v>
      </c>
      <c r="V4" t="s">
        <v>206</v>
      </c>
      <c r="W4" t="s">
        <v>206</v>
      </c>
    </row>
    <row r="5" spans="1:23" x14ac:dyDescent="0.25">
      <c r="A5" s="40">
        <v>46128.488275972202</v>
      </c>
      <c r="B5" s="41">
        <v>46128</v>
      </c>
      <c r="C5" t="s">
        <v>205</v>
      </c>
      <c r="D5" t="s">
        <v>23</v>
      </c>
      <c r="E5" t="s">
        <v>24</v>
      </c>
      <c r="F5" t="s">
        <v>206</v>
      </c>
      <c r="G5" t="s">
        <v>206</v>
      </c>
      <c r="H5" t="s">
        <v>206</v>
      </c>
      <c r="I5">
        <v>0</v>
      </c>
      <c r="J5">
        <v>0</v>
      </c>
      <c r="K5">
        <v>200</v>
      </c>
      <c r="L5">
        <v>0</v>
      </c>
      <c r="M5">
        <v>0</v>
      </c>
      <c r="N5" t="s">
        <v>25</v>
      </c>
      <c r="O5">
        <v>0</v>
      </c>
      <c r="P5" t="s">
        <v>206</v>
      </c>
      <c r="Q5">
        <v>0</v>
      </c>
      <c r="R5" t="s">
        <v>30</v>
      </c>
      <c r="S5" t="s">
        <v>212</v>
      </c>
      <c r="T5" t="s">
        <v>206</v>
      </c>
      <c r="U5" t="s">
        <v>206</v>
      </c>
      <c r="V5" t="s">
        <v>206</v>
      </c>
      <c r="W5" t="s">
        <v>206</v>
      </c>
    </row>
    <row r="6" spans="1:23" x14ac:dyDescent="0.25">
      <c r="A6" s="40">
        <v>46128.5084626389</v>
      </c>
      <c r="B6" s="41">
        <v>46128</v>
      </c>
      <c r="C6" t="s">
        <v>205</v>
      </c>
      <c r="D6" t="s">
        <v>26</v>
      </c>
      <c r="E6" t="s">
        <v>27</v>
      </c>
      <c r="F6" t="s">
        <v>29</v>
      </c>
      <c r="G6" t="s">
        <v>213</v>
      </c>
      <c r="H6" t="s">
        <v>214</v>
      </c>
      <c r="I6">
        <v>1</v>
      </c>
      <c r="J6">
        <v>151.78</v>
      </c>
      <c r="K6">
        <v>-151.78</v>
      </c>
      <c r="L6">
        <v>-1</v>
      </c>
      <c r="M6">
        <v>0</v>
      </c>
      <c r="N6" t="s">
        <v>25</v>
      </c>
      <c r="O6">
        <v>0</v>
      </c>
      <c r="P6" t="s">
        <v>206</v>
      </c>
      <c r="Q6">
        <v>0</v>
      </c>
      <c r="R6" t="s">
        <v>215</v>
      </c>
      <c r="S6" t="s">
        <v>216</v>
      </c>
      <c r="T6" t="s">
        <v>206</v>
      </c>
      <c r="U6" t="s">
        <v>206</v>
      </c>
      <c r="V6" t="s">
        <v>206</v>
      </c>
      <c r="W6" t="s">
        <v>206</v>
      </c>
    </row>
    <row r="7" spans="1:23" x14ac:dyDescent="0.25">
      <c r="A7" s="40">
        <v>46128.508462673599</v>
      </c>
      <c r="B7" s="41">
        <v>46128</v>
      </c>
      <c r="C7" t="s">
        <v>205</v>
      </c>
      <c r="D7" t="s">
        <v>26</v>
      </c>
      <c r="E7" t="s">
        <v>27</v>
      </c>
      <c r="F7" t="s">
        <v>29</v>
      </c>
      <c r="G7" t="s">
        <v>213</v>
      </c>
      <c r="H7" t="s">
        <v>214</v>
      </c>
      <c r="I7">
        <v>0.31786999999999999</v>
      </c>
      <c r="J7">
        <v>151.78</v>
      </c>
      <c r="K7">
        <v>-48.25</v>
      </c>
      <c r="L7">
        <v>0</v>
      </c>
      <c r="M7">
        <v>0</v>
      </c>
      <c r="N7" t="s">
        <v>25</v>
      </c>
      <c r="O7">
        <v>0</v>
      </c>
      <c r="P7" t="s">
        <v>206</v>
      </c>
      <c r="Q7">
        <v>0</v>
      </c>
      <c r="R7" t="s">
        <v>217</v>
      </c>
      <c r="S7" t="s">
        <v>218</v>
      </c>
      <c r="T7" t="s">
        <v>206</v>
      </c>
      <c r="U7" t="s">
        <v>206</v>
      </c>
      <c r="V7" t="s">
        <v>206</v>
      </c>
      <c r="W7" t="s">
        <v>206</v>
      </c>
    </row>
    <row r="8" spans="1:23" x14ac:dyDescent="0.25">
      <c r="A8" s="40">
        <v>46128.835702789402</v>
      </c>
      <c r="B8" s="41">
        <v>46128</v>
      </c>
      <c r="C8" t="s">
        <v>205</v>
      </c>
      <c r="D8" t="s">
        <v>23</v>
      </c>
      <c r="E8" t="s">
        <v>24</v>
      </c>
      <c r="F8" t="s">
        <v>206</v>
      </c>
      <c r="G8" t="s">
        <v>206</v>
      </c>
      <c r="H8" t="s">
        <v>206</v>
      </c>
      <c r="I8">
        <v>0</v>
      </c>
      <c r="J8">
        <v>0</v>
      </c>
      <c r="K8">
        <v>60</v>
      </c>
      <c r="L8">
        <v>0</v>
      </c>
      <c r="M8">
        <v>0</v>
      </c>
      <c r="N8" t="s">
        <v>25</v>
      </c>
      <c r="O8">
        <v>0</v>
      </c>
      <c r="P8" t="s">
        <v>206</v>
      </c>
      <c r="Q8">
        <v>0</v>
      </c>
      <c r="R8" t="s">
        <v>28</v>
      </c>
      <c r="S8" t="s">
        <v>219</v>
      </c>
      <c r="T8" t="s">
        <v>206</v>
      </c>
      <c r="U8" t="s">
        <v>206</v>
      </c>
      <c r="V8" t="s">
        <v>206</v>
      </c>
      <c r="W8" t="s">
        <v>206</v>
      </c>
    </row>
    <row r="9" spans="1:23" x14ac:dyDescent="0.25">
      <c r="A9" s="40">
        <v>46128.839218669003</v>
      </c>
      <c r="B9" s="41">
        <v>46128</v>
      </c>
      <c r="C9" t="s">
        <v>205</v>
      </c>
      <c r="D9" t="s">
        <v>26</v>
      </c>
      <c r="E9" t="s">
        <v>27</v>
      </c>
      <c r="F9" t="s">
        <v>29</v>
      </c>
      <c r="G9" t="s">
        <v>213</v>
      </c>
      <c r="H9" t="s">
        <v>214</v>
      </c>
      <c r="I9">
        <v>0.38933600000000002</v>
      </c>
      <c r="J9">
        <v>151.54</v>
      </c>
      <c r="K9">
        <v>-59</v>
      </c>
      <c r="L9">
        <v>-1</v>
      </c>
      <c r="M9">
        <v>0</v>
      </c>
      <c r="N9" t="s">
        <v>25</v>
      </c>
      <c r="O9">
        <v>0</v>
      </c>
      <c r="P9" t="s">
        <v>206</v>
      </c>
      <c r="Q9">
        <v>0</v>
      </c>
      <c r="R9" t="s">
        <v>220</v>
      </c>
      <c r="S9" t="s">
        <v>221</v>
      </c>
      <c r="T9" t="s">
        <v>206</v>
      </c>
      <c r="U9" t="s">
        <v>206</v>
      </c>
      <c r="V9" t="s">
        <v>206</v>
      </c>
      <c r="W9" t="s">
        <v>206</v>
      </c>
    </row>
    <row r="10" spans="1:23" x14ac:dyDescent="0.25">
      <c r="A10" s="40">
        <v>46128.839542997703</v>
      </c>
      <c r="B10" s="41">
        <v>46128</v>
      </c>
      <c r="C10" t="s">
        <v>205</v>
      </c>
      <c r="D10" t="s">
        <v>23</v>
      </c>
      <c r="E10" t="s">
        <v>31</v>
      </c>
      <c r="F10" t="s">
        <v>206</v>
      </c>
      <c r="G10" t="s">
        <v>206</v>
      </c>
      <c r="H10" t="s">
        <v>206</v>
      </c>
      <c r="I10">
        <v>0</v>
      </c>
      <c r="J10">
        <v>0</v>
      </c>
      <c r="K10">
        <v>-0.27</v>
      </c>
      <c r="L10">
        <v>0</v>
      </c>
      <c r="M10">
        <v>0</v>
      </c>
      <c r="N10" t="s">
        <v>25</v>
      </c>
      <c r="O10">
        <v>0</v>
      </c>
      <c r="P10" t="s">
        <v>206</v>
      </c>
      <c r="Q10">
        <v>0</v>
      </c>
      <c r="R10" t="s">
        <v>209</v>
      </c>
      <c r="S10" t="s">
        <v>222</v>
      </c>
      <c r="T10" t="s">
        <v>206</v>
      </c>
      <c r="U10" t="s">
        <v>206</v>
      </c>
      <c r="V10" t="s">
        <v>206</v>
      </c>
      <c r="W10" t="s">
        <v>206</v>
      </c>
    </row>
    <row r="11" spans="1:23" x14ac:dyDescent="0.25">
      <c r="A11" s="40">
        <v>46128.838097048603</v>
      </c>
      <c r="B11" s="41">
        <v>46128</v>
      </c>
      <c r="C11" t="s">
        <v>205</v>
      </c>
      <c r="D11" t="s">
        <v>23</v>
      </c>
      <c r="E11" t="s">
        <v>24</v>
      </c>
      <c r="F11" t="s">
        <v>206</v>
      </c>
      <c r="G11" t="s">
        <v>206</v>
      </c>
      <c r="H11" t="s">
        <v>206</v>
      </c>
      <c r="I11">
        <v>0</v>
      </c>
      <c r="J11">
        <v>0</v>
      </c>
      <c r="K11">
        <v>0.3</v>
      </c>
      <c r="L11">
        <v>0</v>
      </c>
      <c r="M11">
        <v>0</v>
      </c>
      <c r="N11" t="s">
        <v>25</v>
      </c>
      <c r="O11">
        <v>0</v>
      </c>
      <c r="P11" t="s">
        <v>206</v>
      </c>
      <c r="Q11">
        <v>0</v>
      </c>
      <c r="R11" t="s">
        <v>28</v>
      </c>
      <c r="S11" t="s">
        <v>223</v>
      </c>
      <c r="T11" t="s">
        <v>206</v>
      </c>
      <c r="U11" t="s">
        <v>206</v>
      </c>
      <c r="V11" t="s">
        <v>206</v>
      </c>
      <c r="W11" t="s">
        <v>206</v>
      </c>
    </row>
    <row r="12" spans="1:23" x14ac:dyDescent="0.25">
      <c r="A12" s="40">
        <v>46143.135445439802</v>
      </c>
      <c r="B12" s="41">
        <v>46143</v>
      </c>
      <c r="C12" t="s">
        <v>205</v>
      </c>
      <c r="D12" t="s">
        <v>23</v>
      </c>
      <c r="E12" t="s">
        <v>206</v>
      </c>
      <c r="F12" t="s">
        <v>206</v>
      </c>
      <c r="G12" t="s">
        <v>206</v>
      </c>
      <c r="H12" t="s">
        <v>206</v>
      </c>
      <c r="I12">
        <v>0</v>
      </c>
      <c r="J12">
        <v>0</v>
      </c>
      <c r="K12">
        <v>0.02</v>
      </c>
      <c r="L12">
        <v>0</v>
      </c>
      <c r="M12">
        <v>0</v>
      </c>
      <c r="N12" t="s">
        <v>25</v>
      </c>
      <c r="O12">
        <v>0</v>
      </c>
      <c r="P12" t="s">
        <v>206</v>
      </c>
      <c r="Q12">
        <v>0</v>
      </c>
      <c r="R12" t="s">
        <v>224</v>
      </c>
      <c r="S12" t="s">
        <v>225</v>
      </c>
      <c r="T12" t="s">
        <v>206</v>
      </c>
      <c r="U12" t="s">
        <v>206</v>
      </c>
      <c r="V12" t="s">
        <v>206</v>
      </c>
      <c r="W12" t="s">
        <v>206</v>
      </c>
    </row>
    <row r="13" spans="1:23" x14ac:dyDescent="0.25">
      <c r="A13" s="40">
        <v>46146.779916330997</v>
      </c>
      <c r="B13" s="41">
        <v>46146</v>
      </c>
      <c r="C13" t="s">
        <v>205</v>
      </c>
      <c r="D13" t="s">
        <v>26</v>
      </c>
      <c r="E13" t="s">
        <v>27</v>
      </c>
      <c r="F13" t="s">
        <v>29</v>
      </c>
      <c r="G13" t="s">
        <v>213</v>
      </c>
      <c r="H13" t="s">
        <v>214</v>
      </c>
      <c r="I13">
        <v>1.2799999999999999E-4</v>
      </c>
      <c r="J13">
        <v>155.46</v>
      </c>
      <c r="K13">
        <v>-0.02</v>
      </c>
      <c r="L13">
        <v>0</v>
      </c>
      <c r="M13">
        <v>0</v>
      </c>
      <c r="N13" t="s">
        <v>25</v>
      </c>
      <c r="O13">
        <v>0</v>
      </c>
      <c r="P13" t="s">
        <v>206</v>
      </c>
      <c r="Q13">
        <v>0</v>
      </c>
      <c r="R13" t="s">
        <v>226</v>
      </c>
      <c r="S13" t="s">
        <v>227</v>
      </c>
      <c r="T13" t="s">
        <v>206</v>
      </c>
      <c r="U13" t="s">
        <v>206</v>
      </c>
      <c r="V13" t="s">
        <v>206</v>
      </c>
      <c r="W13" t="s">
        <v>206</v>
      </c>
    </row>
    <row r="14" spans="1:23" x14ac:dyDescent="0.25">
      <c r="A14" s="40">
        <v>46149.469870173598</v>
      </c>
      <c r="B14" s="41">
        <v>46149</v>
      </c>
      <c r="C14" t="s">
        <v>205</v>
      </c>
      <c r="D14" t="s">
        <v>26</v>
      </c>
      <c r="E14" t="s">
        <v>27</v>
      </c>
      <c r="F14" t="s">
        <v>29</v>
      </c>
      <c r="G14" t="s">
        <v>213</v>
      </c>
      <c r="H14" t="s">
        <v>214</v>
      </c>
      <c r="I14">
        <v>0.31573600000000002</v>
      </c>
      <c r="J14">
        <v>158.36000000000001</v>
      </c>
      <c r="K14">
        <v>-50</v>
      </c>
      <c r="L14">
        <v>-1</v>
      </c>
      <c r="M14">
        <v>0</v>
      </c>
      <c r="N14" t="s">
        <v>25</v>
      </c>
      <c r="O14">
        <v>0</v>
      </c>
      <c r="P14" t="s">
        <v>206</v>
      </c>
      <c r="Q14">
        <v>0</v>
      </c>
      <c r="R14" t="s">
        <v>228</v>
      </c>
      <c r="S14" t="s">
        <v>229</v>
      </c>
      <c r="T14" t="s">
        <v>206</v>
      </c>
      <c r="U14" t="s">
        <v>206</v>
      </c>
      <c r="V14" t="s">
        <v>206</v>
      </c>
      <c r="W14" t="s">
        <v>206</v>
      </c>
    </row>
    <row r="15" spans="1:23" x14ac:dyDescent="0.25">
      <c r="A15" s="40">
        <v>46149.469877731499</v>
      </c>
      <c r="B15" s="41">
        <v>46149</v>
      </c>
      <c r="C15" t="s">
        <v>205</v>
      </c>
      <c r="D15" t="s">
        <v>23</v>
      </c>
      <c r="E15" t="s">
        <v>32</v>
      </c>
      <c r="F15" t="s">
        <v>206</v>
      </c>
      <c r="G15" t="s">
        <v>33</v>
      </c>
      <c r="H15" t="s">
        <v>206</v>
      </c>
      <c r="I15">
        <v>0</v>
      </c>
      <c r="J15">
        <v>0</v>
      </c>
      <c r="K15">
        <v>51</v>
      </c>
      <c r="L15">
        <v>0</v>
      </c>
      <c r="M15">
        <v>0</v>
      </c>
      <c r="N15" t="s">
        <v>25</v>
      </c>
      <c r="O15">
        <v>0</v>
      </c>
      <c r="P15" t="s">
        <v>206</v>
      </c>
      <c r="Q15">
        <v>0</v>
      </c>
      <c r="R15" t="s">
        <v>207</v>
      </c>
      <c r="S15" t="s">
        <v>230</v>
      </c>
      <c r="T15" t="s">
        <v>33</v>
      </c>
      <c r="U15" t="s">
        <v>231</v>
      </c>
      <c r="V15" t="s">
        <v>206</v>
      </c>
      <c r="W15" t="s">
        <v>206</v>
      </c>
    </row>
    <row r="16" spans="1:23" x14ac:dyDescent="0.25">
      <c r="A16" s="40">
        <v>46169.942381330999</v>
      </c>
      <c r="B16" s="41">
        <v>46169</v>
      </c>
      <c r="C16" t="s">
        <v>205</v>
      </c>
      <c r="D16" t="s">
        <v>23</v>
      </c>
      <c r="E16" t="s">
        <v>32</v>
      </c>
      <c r="F16" t="s">
        <v>206</v>
      </c>
      <c r="G16" t="s">
        <v>33</v>
      </c>
      <c r="H16" t="s">
        <v>206</v>
      </c>
      <c r="I16">
        <v>0</v>
      </c>
      <c r="J16">
        <v>0</v>
      </c>
      <c r="K16">
        <v>51</v>
      </c>
      <c r="L16">
        <v>0</v>
      </c>
      <c r="M16">
        <v>0</v>
      </c>
      <c r="N16" t="s">
        <v>25</v>
      </c>
      <c r="O16">
        <v>0</v>
      </c>
      <c r="P16" t="s">
        <v>206</v>
      </c>
      <c r="Q16">
        <v>0</v>
      </c>
      <c r="R16" t="s">
        <v>207</v>
      </c>
      <c r="S16" t="s">
        <v>232</v>
      </c>
      <c r="T16" t="s">
        <v>33</v>
      </c>
      <c r="U16" t="s">
        <v>231</v>
      </c>
      <c r="V16" t="s">
        <v>206</v>
      </c>
      <c r="W16" t="s">
        <v>206</v>
      </c>
    </row>
    <row r="17" spans="1:23" x14ac:dyDescent="0.25">
      <c r="A17" s="40">
        <v>46169.942381388901</v>
      </c>
      <c r="B17" s="41">
        <v>46169</v>
      </c>
      <c r="C17" t="s">
        <v>205</v>
      </c>
      <c r="D17" t="s">
        <v>26</v>
      </c>
      <c r="E17" t="s">
        <v>27</v>
      </c>
      <c r="F17" t="s">
        <v>29</v>
      </c>
      <c r="G17" t="s">
        <v>213</v>
      </c>
      <c r="H17" t="s">
        <v>214</v>
      </c>
      <c r="I17">
        <v>0.30704900000000002</v>
      </c>
      <c r="J17">
        <v>162.80000000000001</v>
      </c>
      <c r="K17">
        <v>-49.99</v>
      </c>
      <c r="L17">
        <v>-1</v>
      </c>
      <c r="M17">
        <v>0</v>
      </c>
      <c r="N17" t="s">
        <v>25</v>
      </c>
      <c r="O17">
        <v>0</v>
      </c>
      <c r="P17" t="s">
        <v>206</v>
      </c>
      <c r="Q17">
        <v>0</v>
      </c>
      <c r="R17" t="s">
        <v>233</v>
      </c>
      <c r="S17" t="s">
        <v>234</v>
      </c>
      <c r="T17" t="s">
        <v>206</v>
      </c>
      <c r="U17" t="s">
        <v>206</v>
      </c>
      <c r="V17" t="s">
        <v>206</v>
      </c>
      <c r="W17" t="s">
        <v>206</v>
      </c>
    </row>
    <row r="18" spans="1:23" x14ac:dyDescent="0.25">
      <c r="A18" s="40">
        <v>46174.251175810197</v>
      </c>
      <c r="B18" s="41">
        <v>46174</v>
      </c>
      <c r="C18" t="s">
        <v>205</v>
      </c>
      <c r="D18" t="s">
        <v>23</v>
      </c>
      <c r="E18" t="s">
        <v>206</v>
      </c>
      <c r="F18" t="s">
        <v>206</v>
      </c>
      <c r="G18" t="s">
        <v>206</v>
      </c>
      <c r="H18" t="s">
        <v>206</v>
      </c>
      <c r="I18">
        <v>0</v>
      </c>
      <c r="J18">
        <v>0</v>
      </c>
      <c r="K18">
        <v>0.05</v>
      </c>
      <c r="L18">
        <v>0</v>
      </c>
      <c r="M18">
        <v>0</v>
      </c>
      <c r="N18" t="s">
        <v>25</v>
      </c>
      <c r="O18">
        <v>0</v>
      </c>
      <c r="P18" t="s">
        <v>206</v>
      </c>
      <c r="Q18">
        <v>0</v>
      </c>
      <c r="R18" t="s">
        <v>235</v>
      </c>
      <c r="S18" t="s">
        <v>236</v>
      </c>
      <c r="T18" t="s">
        <v>206</v>
      </c>
      <c r="U18" t="s">
        <v>206</v>
      </c>
      <c r="V18" t="s">
        <v>206</v>
      </c>
      <c r="W18" t="s">
        <v>206</v>
      </c>
    </row>
    <row r="19" spans="1:23" x14ac:dyDescent="0.25">
      <c r="A19" s="40">
        <v>46175.836385324103</v>
      </c>
      <c r="B19" s="41">
        <v>46175</v>
      </c>
      <c r="C19" t="s">
        <v>205</v>
      </c>
      <c r="D19" t="s">
        <v>26</v>
      </c>
      <c r="E19" t="s">
        <v>27</v>
      </c>
      <c r="F19" t="s">
        <v>29</v>
      </c>
      <c r="G19" t="s">
        <v>213</v>
      </c>
      <c r="H19" t="s">
        <v>214</v>
      </c>
      <c r="I19">
        <v>3.0299999999999999E-4</v>
      </c>
      <c r="J19">
        <v>164.7</v>
      </c>
      <c r="K19">
        <v>-0.05</v>
      </c>
      <c r="L19">
        <v>0</v>
      </c>
      <c r="M19">
        <v>0</v>
      </c>
      <c r="N19" t="s">
        <v>25</v>
      </c>
      <c r="O19">
        <v>0</v>
      </c>
      <c r="P19" t="s">
        <v>206</v>
      </c>
      <c r="Q19">
        <v>0</v>
      </c>
      <c r="R19" t="s">
        <v>237</v>
      </c>
      <c r="S19" t="s">
        <v>238</v>
      </c>
      <c r="T19" t="s">
        <v>206</v>
      </c>
      <c r="U19" t="s">
        <v>206</v>
      </c>
      <c r="V19" t="s">
        <v>206</v>
      </c>
      <c r="W19" t="s">
        <v>206</v>
      </c>
    </row>
    <row r="20" spans="1:23" x14ac:dyDescent="0.25">
      <c r="A20" s="40">
        <v>46199.677636226901</v>
      </c>
      <c r="B20" s="41">
        <v>46199</v>
      </c>
      <c r="C20" t="s">
        <v>205</v>
      </c>
      <c r="D20" t="s">
        <v>26</v>
      </c>
      <c r="E20" t="s">
        <v>27</v>
      </c>
      <c r="F20" t="s">
        <v>29</v>
      </c>
      <c r="G20" t="s">
        <v>213</v>
      </c>
      <c r="H20" t="s">
        <v>214</v>
      </c>
      <c r="I20">
        <v>0.30652200000000002</v>
      </c>
      <c r="J20">
        <v>163.12</v>
      </c>
      <c r="K20">
        <v>-50</v>
      </c>
      <c r="L20">
        <v>-1</v>
      </c>
      <c r="M20">
        <v>0</v>
      </c>
      <c r="N20" t="s">
        <v>25</v>
      </c>
      <c r="O20">
        <v>0</v>
      </c>
      <c r="P20" t="s">
        <v>206</v>
      </c>
      <c r="Q20">
        <v>0</v>
      </c>
      <c r="R20" t="s">
        <v>239</v>
      </c>
      <c r="S20" t="s">
        <v>240</v>
      </c>
      <c r="T20" t="s">
        <v>206</v>
      </c>
      <c r="U20" t="s">
        <v>206</v>
      </c>
      <c r="V20" t="s">
        <v>206</v>
      </c>
      <c r="W20" t="s">
        <v>206</v>
      </c>
    </row>
    <row r="21" spans="1:23" x14ac:dyDescent="0.25">
      <c r="A21" s="40">
        <v>46199.6777919097</v>
      </c>
      <c r="B21" s="41">
        <v>46199</v>
      </c>
      <c r="C21" t="s">
        <v>205</v>
      </c>
      <c r="D21" t="s">
        <v>23</v>
      </c>
      <c r="E21" t="s">
        <v>32</v>
      </c>
      <c r="F21" t="s">
        <v>206</v>
      </c>
      <c r="G21" t="s">
        <v>33</v>
      </c>
      <c r="H21" t="s">
        <v>206</v>
      </c>
      <c r="I21">
        <v>0</v>
      </c>
      <c r="J21">
        <v>0</v>
      </c>
      <c r="K21">
        <v>51</v>
      </c>
      <c r="L21">
        <v>0</v>
      </c>
      <c r="M21">
        <v>0</v>
      </c>
      <c r="N21" t="s">
        <v>25</v>
      </c>
      <c r="O21">
        <v>0</v>
      </c>
      <c r="P21" t="s">
        <v>206</v>
      </c>
      <c r="Q21">
        <v>0</v>
      </c>
      <c r="R21" t="s">
        <v>207</v>
      </c>
      <c r="S21" t="s">
        <v>241</v>
      </c>
      <c r="T21" t="s">
        <v>33</v>
      </c>
      <c r="U21" t="s">
        <v>231</v>
      </c>
      <c r="V21" t="s">
        <v>206</v>
      </c>
      <c r="W21" t="s">
        <v>206</v>
      </c>
    </row>
    <row r="22" spans="1:23" x14ac:dyDescent="0.25">
      <c r="A22" s="40">
        <v>46204.207941759298</v>
      </c>
      <c r="B22" s="41">
        <v>46204</v>
      </c>
      <c r="C22" t="s">
        <v>205</v>
      </c>
      <c r="D22" t="s">
        <v>23</v>
      </c>
      <c r="E22" t="s">
        <v>206</v>
      </c>
      <c r="F22" t="s">
        <v>206</v>
      </c>
      <c r="G22" t="s">
        <v>206</v>
      </c>
      <c r="H22" t="s">
        <v>206</v>
      </c>
      <c r="I22">
        <v>0</v>
      </c>
      <c r="J22">
        <v>0</v>
      </c>
      <c r="K22">
        <v>0.06</v>
      </c>
      <c r="L22">
        <v>0</v>
      </c>
      <c r="M22">
        <v>0</v>
      </c>
      <c r="N22" t="s">
        <v>25</v>
      </c>
      <c r="O22">
        <v>0</v>
      </c>
      <c r="P22" t="s">
        <v>206</v>
      </c>
      <c r="Q22">
        <v>0</v>
      </c>
      <c r="R22" t="s">
        <v>242</v>
      </c>
      <c r="S22" t="s">
        <v>243</v>
      </c>
      <c r="T22" t="s">
        <v>206</v>
      </c>
      <c r="U22" t="s">
        <v>206</v>
      </c>
      <c r="V22" t="s">
        <v>206</v>
      </c>
      <c r="W22" t="s">
        <v>206</v>
      </c>
    </row>
    <row r="23" spans="1:23" x14ac:dyDescent="0.25">
      <c r="A23" s="40">
        <v>46205.733943171297</v>
      </c>
      <c r="B23" s="41">
        <v>46205</v>
      </c>
      <c r="C23" t="s">
        <v>205</v>
      </c>
      <c r="D23" t="s">
        <v>26</v>
      </c>
      <c r="E23" t="s">
        <v>27</v>
      </c>
      <c r="F23" t="s">
        <v>29</v>
      </c>
      <c r="G23" t="s">
        <v>213</v>
      </c>
      <c r="H23" t="s">
        <v>214</v>
      </c>
      <c r="I23">
        <v>3.6200000000000002E-4</v>
      </c>
      <c r="J23">
        <v>165.44</v>
      </c>
      <c r="K23">
        <v>-0.06</v>
      </c>
      <c r="L23">
        <v>0</v>
      </c>
      <c r="M23">
        <v>0</v>
      </c>
      <c r="N23" t="s">
        <v>25</v>
      </c>
      <c r="O23">
        <v>0</v>
      </c>
      <c r="P23" t="s">
        <v>206</v>
      </c>
      <c r="Q23">
        <v>0</v>
      </c>
      <c r="R23" t="s">
        <v>244</v>
      </c>
      <c r="S23" t="s">
        <v>245</v>
      </c>
      <c r="T23" t="s">
        <v>206</v>
      </c>
      <c r="U23" t="s">
        <v>206</v>
      </c>
      <c r="V23" t="s">
        <v>206</v>
      </c>
      <c r="W23" t="s">
        <v>206</v>
      </c>
    </row>
    <row r="24" spans="1:23" x14ac:dyDescent="0.25">
      <c r="A24" s="40">
        <v>46232.952613865702</v>
      </c>
      <c r="B24" s="41">
        <v>46232</v>
      </c>
      <c r="C24" t="s">
        <v>205</v>
      </c>
      <c r="D24" t="s">
        <v>23</v>
      </c>
      <c r="E24" t="s">
        <v>32</v>
      </c>
      <c r="F24" t="s">
        <v>206</v>
      </c>
      <c r="G24" t="s">
        <v>33</v>
      </c>
      <c r="H24" t="s">
        <v>206</v>
      </c>
      <c r="I24">
        <v>0</v>
      </c>
      <c r="J24">
        <v>0</v>
      </c>
      <c r="K24">
        <v>51</v>
      </c>
      <c r="L24">
        <v>0</v>
      </c>
      <c r="M24">
        <v>0</v>
      </c>
      <c r="N24" t="s">
        <v>25</v>
      </c>
      <c r="O24">
        <v>0</v>
      </c>
      <c r="P24" t="s">
        <v>206</v>
      </c>
      <c r="Q24">
        <v>0</v>
      </c>
      <c r="R24" t="s">
        <v>207</v>
      </c>
      <c r="S24" t="s">
        <v>246</v>
      </c>
      <c r="T24" t="s">
        <v>33</v>
      </c>
      <c r="U24" t="s">
        <v>231</v>
      </c>
      <c r="V24" t="s">
        <v>206</v>
      </c>
      <c r="W24" t="s">
        <v>206</v>
      </c>
    </row>
    <row r="25" spans="1:23" x14ac:dyDescent="0.25">
      <c r="A25" s="40">
        <v>46232.952660532399</v>
      </c>
      <c r="B25" s="41">
        <v>46232</v>
      </c>
      <c r="C25" t="s">
        <v>205</v>
      </c>
      <c r="D25" t="s">
        <v>26</v>
      </c>
      <c r="E25" t="s">
        <v>27</v>
      </c>
      <c r="F25" t="s">
        <v>29</v>
      </c>
      <c r="G25" t="s">
        <v>213</v>
      </c>
      <c r="H25" t="s">
        <v>214</v>
      </c>
      <c r="I25">
        <v>0.31129299999999999</v>
      </c>
      <c r="J25">
        <v>160.62</v>
      </c>
      <c r="K25">
        <v>-50</v>
      </c>
      <c r="L25">
        <v>-1</v>
      </c>
      <c r="M25">
        <v>0</v>
      </c>
      <c r="N25" t="s">
        <v>25</v>
      </c>
      <c r="O25">
        <v>0</v>
      </c>
      <c r="P25" t="s">
        <v>206</v>
      </c>
      <c r="Q25">
        <v>0</v>
      </c>
      <c r="R25" t="s">
        <v>247</v>
      </c>
      <c r="S25" t="s">
        <v>248</v>
      </c>
      <c r="T25" t="s">
        <v>206</v>
      </c>
      <c r="U25" t="s">
        <v>206</v>
      </c>
      <c r="V25" t="s">
        <v>206</v>
      </c>
      <c r="W25" t="s">
        <v>206</v>
      </c>
    </row>
    <row r="26" spans="1:23" x14ac:dyDescent="0.25">
      <c r="A26" s="40">
        <v>46237.161182291697</v>
      </c>
      <c r="B26" s="41">
        <v>46237</v>
      </c>
      <c r="C26" t="s">
        <v>205</v>
      </c>
      <c r="D26" t="s">
        <v>23</v>
      </c>
      <c r="E26" t="s">
        <v>206</v>
      </c>
      <c r="F26" t="s">
        <v>206</v>
      </c>
      <c r="G26" t="s">
        <v>206</v>
      </c>
      <c r="H26" t="s">
        <v>206</v>
      </c>
      <c r="I26">
        <v>0</v>
      </c>
      <c r="J26">
        <v>0</v>
      </c>
      <c r="K26">
        <v>7.0000000000000007E-2</v>
      </c>
      <c r="L26">
        <v>0</v>
      </c>
      <c r="M26">
        <v>0</v>
      </c>
      <c r="N26" t="s">
        <v>25</v>
      </c>
      <c r="O26">
        <v>0</v>
      </c>
      <c r="P26" t="s">
        <v>206</v>
      </c>
      <c r="Q26">
        <v>0</v>
      </c>
      <c r="R26" t="s">
        <v>249</v>
      </c>
      <c r="S26" t="s">
        <v>250</v>
      </c>
      <c r="T26" t="s">
        <v>206</v>
      </c>
      <c r="U26" t="s">
        <v>206</v>
      </c>
      <c r="V26" t="s">
        <v>206</v>
      </c>
      <c r="W26" t="s">
        <v>206</v>
      </c>
    </row>
    <row r="27" spans="1:23" x14ac:dyDescent="0.25">
      <c r="A27" s="40">
        <v>46237.779821990698</v>
      </c>
      <c r="B27" s="41">
        <v>46237</v>
      </c>
      <c r="C27" t="s">
        <v>205</v>
      </c>
      <c r="D27" t="s">
        <v>26</v>
      </c>
      <c r="E27" t="s">
        <v>27</v>
      </c>
      <c r="F27" t="s">
        <v>29</v>
      </c>
      <c r="G27" t="s">
        <v>213</v>
      </c>
      <c r="H27" t="s">
        <v>214</v>
      </c>
      <c r="I27">
        <v>4.2400000000000001E-4</v>
      </c>
      <c r="J27">
        <v>164.9401</v>
      </c>
      <c r="K27">
        <v>-7.0000000000000007E-2</v>
      </c>
      <c r="L27">
        <v>0</v>
      </c>
      <c r="M27">
        <v>0</v>
      </c>
      <c r="N27" t="s">
        <v>25</v>
      </c>
      <c r="O27">
        <v>0</v>
      </c>
      <c r="P27" t="s">
        <v>206</v>
      </c>
      <c r="Q27">
        <v>0</v>
      </c>
      <c r="R27" t="s">
        <v>251</v>
      </c>
      <c r="S27" t="s">
        <v>252</v>
      </c>
      <c r="T27" t="s">
        <v>206</v>
      </c>
      <c r="U27" t="s">
        <v>206</v>
      </c>
      <c r="V27" t="s">
        <v>206</v>
      </c>
      <c r="W27" t="s">
        <v>206</v>
      </c>
    </row>
    <row r="28" spans="1:23" x14ac:dyDescent="0.25">
      <c r="A28" s="40">
        <v>46266.178781701397</v>
      </c>
      <c r="B28" s="41">
        <v>46266</v>
      </c>
      <c r="C28" t="s">
        <v>205</v>
      </c>
      <c r="D28" t="s">
        <v>23</v>
      </c>
      <c r="E28" t="s">
        <v>206</v>
      </c>
      <c r="F28" t="s">
        <v>206</v>
      </c>
      <c r="G28" t="s">
        <v>206</v>
      </c>
      <c r="H28" t="s">
        <v>206</v>
      </c>
      <c r="I28">
        <v>0</v>
      </c>
      <c r="J28">
        <v>0</v>
      </c>
      <c r="K28">
        <v>0.06</v>
      </c>
      <c r="L28">
        <v>0</v>
      </c>
      <c r="M28">
        <v>0</v>
      </c>
      <c r="N28" t="s">
        <v>25</v>
      </c>
      <c r="O28">
        <v>0</v>
      </c>
      <c r="P28" t="s">
        <v>206</v>
      </c>
      <c r="Q28">
        <v>0</v>
      </c>
      <c r="R28" t="s">
        <v>253</v>
      </c>
      <c r="S28" t="s">
        <v>254</v>
      </c>
      <c r="T28" t="s">
        <v>206</v>
      </c>
      <c r="U28" t="s">
        <v>206</v>
      </c>
      <c r="V28" t="s">
        <v>206</v>
      </c>
      <c r="W28" t="s">
        <v>206</v>
      </c>
    </row>
    <row r="29" spans="1:23" x14ac:dyDescent="0.25">
      <c r="A29" s="40">
        <v>46267.738729849501</v>
      </c>
      <c r="B29" s="41">
        <v>46267</v>
      </c>
      <c r="C29" t="s">
        <v>205</v>
      </c>
      <c r="D29" t="s">
        <v>26</v>
      </c>
      <c r="E29" t="s">
        <v>27</v>
      </c>
      <c r="F29" t="s">
        <v>29</v>
      </c>
      <c r="G29" t="s">
        <v>213</v>
      </c>
      <c r="H29" t="s">
        <v>214</v>
      </c>
      <c r="I29">
        <v>3.59E-4</v>
      </c>
      <c r="J29">
        <v>166.9</v>
      </c>
      <c r="K29">
        <v>-0.06</v>
      </c>
      <c r="L29">
        <v>0</v>
      </c>
      <c r="M29">
        <v>0</v>
      </c>
      <c r="N29" t="s">
        <v>25</v>
      </c>
      <c r="O29">
        <v>0</v>
      </c>
      <c r="P29" t="s">
        <v>206</v>
      </c>
      <c r="Q29">
        <v>0</v>
      </c>
      <c r="R29" t="s">
        <v>255</v>
      </c>
      <c r="S29" t="s">
        <v>256</v>
      </c>
      <c r="T29" t="s">
        <v>206</v>
      </c>
      <c r="U29" t="s">
        <v>206</v>
      </c>
      <c r="V29" t="s">
        <v>206</v>
      </c>
      <c r="W29" t="s">
        <v>206</v>
      </c>
    </row>
    <row r="30" spans="1:23" x14ac:dyDescent="0.25">
      <c r="A30" s="40">
        <v>46295.5302910764</v>
      </c>
      <c r="B30" s="41">
        <v>46295</v>
      </c>
      <c r="C30" t="s">
        <v>205</v>
      </c>
      <c r="D30" t="s">
        <v>23</v>
      </c>
      <c r="E30" t="s">
        <v>24</v>
      </c>
      <c r="F30" t="s">
        <v>206</v>
      </c>
      <c r="G30" t="s">
        <v>257</v>
      </c>
      <c r="H30" t="s">
        <v>206</v>
      </c>
      <c r="I30">
        <v>0</v>
      </c>
      <c r="J30">
        <v>0</v>
      </c>
      <c r="K30">
        <v>51</v>
      </c>
      <c r="L30">
        <v>0</v>
      </c>
      <c r="M30">
        <v>0</v>
      </c>
      <c r="N30" t="s">
        <v>25</v>
      </c>
      <c r="O30">
        <v>0</v>
      </c>
      <c r="P30" t="s">
        <v>206</v>
      </c>
      <c r="Q30">
        <v>0</v>
      </c>
      <c r="R30" t="s">
        <v>28</v>
      </c>
      <c r="S30" t="s">
        <v>258</v>
      </c>
      <c r="T30" t="s">
        <v>257</v>
      </c>
      <c r="U30" t="s">
        <v>259</v>
      </c>
      <c r="V30" t="s">
        <v>206</v>
      </c>
      <c r="W30" t="s">
        <v>206</v>
      </c>
    </row>
    <row r="31" spans="1:23" x14ac:dyDescent="0.25">
      <c r="A31" s="40">
        <v>46295.632429618097</v>
      </c>
      <c r="B31" s="41">
        <v>46295</v>
      </c>
      <c r="C31" t="s">
        <v>205</v>
      </c>
      <c r="D31" t="s">
        <v>26</v>
      </c>
      <c r="E31" t="s">
        <v>27</v>
      </c>
      <c r="F31" t="s">
        <v>260</v>
      </c>
      <c r="G31" t="s">
        <v>261</v>
      </c>
      <c r="H31" t="s">
        <v>262</v>
      </c>
      <c r="I31">
        <v>47.709923000000003</v>
      </c>
      <c r="J31">
        <v>1.048</v>
      </c>
      <c r="K31">
        <v>-50</v>
      </c>
      <c r="L31">
        <v>-1</v>
      </c>
      <c r="M31">
        <v>0</v>
      </c>
      <c r="N31" t="s">
        <v>25</v>
      </c>
      <c r="O31">
        <v>0</v>
      </c>
      <c r="P31" t="s">
        <v>206</v>
      </c>
      <c r="Q31">
        <v>0</v>
      </c>
      <c r="R31" t="s">
        <v>263</v>
      </c>
      <c r="S31" t="s">
        <v>264</v>
      </c>
      <c r="T31" t="s">
        <v>206</v>
      </c>
      <c r="U31" t="s">
        <v>206</v>
      </c>
      <c r="V31" t="s">
        <v>206</v>
      </c>
      <c r="W31" t="s">
        <v>206</v>
      </c>
    </row>
    <row r="656" spans="12:12" x14ac:dyDescent="0.25">
      <c r="L656"/>
    </row>
    <row r="657" spans="9:12" x14ac:dyDescent="0.25">
      <c r="L657"/>
    </row>
    <row r="658" spans="9:12" x14ac:dyDescent="0.25">
      <c r="L658"/>
    </row>
    <row r="659" spans="9:12" x14ac:dyDescent="0.25">
      <c r="L659"/>
    </row>
    <row r="660" spans="9:12" x14ac:dyDescent="0.25">
      <c r="L660"/>
    </row>
    <row r="661" spans="9:12" x14ac:dyDescent="0.25">
      <c r="L661"/>
    </row>
    <row r="662" spans="9:12" x14ac:dyDescent="0.25">
      <c r="L662"/>
    </row>
    <row r="663" spans="9:12" x14ac:dyDescent="0.25">
      <c r="L663"/>
    </row>
    <row r="664" spans="9:12" x14ac:dyDescent="0.25">
      <c r="I664" s="30"/>
      <c r="J664" s="30"/>
      <c r="K664" s="28"/>
    </row>
    <row r="665" spans="9:12" x14ac:dyDescent="0.25">
      <c r="I665" s="30"/>
      <c r="J665" s="30"/>
      <c r="K665" s="28"/>
    </row>
    <row r="666" spans="9:12" x14ac:dyDescent="0.25">
      <c r="I666" s="30"/>
      <c r="J666" s="30"/>
      <c r="K666" s="28"/>
    </row>
    <row r="667" spans="9:12" x14ac:dyDescent="0.25">
      <c r="I667" s="30"/>
      <c r="J667" s="30"/>
      <c r="K667" s="28"/>
    </row>
    <row r="668" spans="9:12" x14ac:dyDescent="0.25">
      <c r="I668" s="30"/>
      <c r="J668" s="30"/>
      <c r="K668" s="28"/>
    </row>
    <row r="669" spans="9:12" x14ac:dyDescent="0.25">
      <c r="I669" s="30"/>
      <c r="J669" s="30"/>
      <c r="K669" s="28"/>
    </row>
  </sheetData>
  <autoFilter ref="A1:W669" xr:uid="{00000000-0009-0000-0000-000000000000}"/>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86"/>
  <sheetViews>
    <sheetView zoomScale="90" zoomScaleNormal="90" workbookViewId="0">
      <pane xSplit="1" topLeftCell="B1" activePane="topRight" state="frozen"/>
      <selection pane="topRight" activeCell="K3" sqref="K3"/>
    </sheetView>
  </sheetViews>
  <sheetFormatPr baseColWidth="10" defaultColWidth="9.140625" defaultRowHeight="15" x14ac:dyDescent="0.25"/>
  <cols>
    <col min="1" max="1" width="49" style="9" bestFit="1" customWidth="1"/>
    <col min="2" max="6" width="20" style="5" customWidth="1"/>
    <col min="7" max="11" width="20" style="6" customWidth="1"/>
    <col min="12" max="12" width="20" style="5" customWidth="1"/>
    <col min="13" max="14" width="20" style="21" customWidth="1"/>
    <col min="15" max="15" width="33.7109375" style="21" bestFit="1" customWidth="1"/>
    <col min="16" max="16" width="22.42578125" style="6" bestFit="1" customWidth="1"/>
    <col min="17" max="17" width="22.42578125" style="6" customWidth="1"/>
    <col min="18" max="18" width="22.42578125" style="7" customWidth="1"/>
    <col min="19" max="19" width="29.42578125" style="6" bestFit="1" customWidth="1"/>
    <col min="20" max="20" width="34.85546875" style="6" bestFit="1" customWidth="1"/>
    <col min="21" max="22" width="34.85546875" style="26" customWidth="1"/>
    <col min="23" max="23" width="22.42578125" style="7" bestFit="1" customWidth="1"/>
    <col min="24" max="24" width="22.28515625" style="7" bestFit="1" customWidth="1"/>
    <col min="28" max="28" width="17.42578125" bestFit="1" customWidth="1"/>
    <col min="29" max="29" width="11.28515625" bestFit="1" customWidth="1"/>
    <col min="30" max="30" width="11" bestFit="1" customWidth="1"/>
  </cols>
  <sheetData>
    <row r="1" spans="1:24" x14ac:dyDescent="0.25">
      <c r="A1" s="8" t="s">
        <v>34</v>
      </c>
      <c r="B1" s="4" t="s">
        <v>35</v>
      </c>
      <c r="C1" s="4" t="s">
        <v>183</v>
      </c>
      <c r="D1" s="4" t="s">
        <v>36</v>
      </c>
      <c r="E1" s="4" t="s">
        <v>37</v>
      </c>
      <c r="F1" s="4" t="s">
        <v>38</v>
      </c>
      <c r="G1" s="16" t="s">
        <v>39</v>
      </c>
      <c r="H1" s="16" t="s">
        <v>40</v>
      </c>
      <c r="I1" s="16" t="s">
        <v>41</v>
      </c>
      <c r="J1" s="16" t="s">
        <v>266</v>
      </c>
      <c r="K1" s="16" t="s">
        <v>42</v>
      </c>
      <c r="L1" s="4" t="s">
        <v>43</v>
      </c>
      <c r="M1" s="20" t="s">
        <v>70</v>
      </c>
      <c r="N1" s="20" t="s">
        <v>47</v>
      </c>
      <c r="O1" s="20" t="s">
        <v>138</v>
      </c>
      <c r="P1" s="16" t="s">
        <v>48</v>
      </c>
      <c r="Q1" s="16" t="s">
        <v>111</v>
      </c>
      <c r="R1" s="18" t="s">
        <v>104</v>
      </c>
      <c r="S1" s="16" t="s">
        <v>128</v>
      </c>
      <c r="T1" s="16" t="s">
        <v>139</v>
      </c>
      <c r="U1" s="25" t="s">
        <v>194</v>
      </c>
      <c r="V1" s="25" t="s">
        <v>195</v>
      </c>
      <c r="W1" s="18" t="s">
        <v>152</v>
      </c>
      <c r="X1" s="17" t="s">
        <v>153</v>
      </c>
    </row>
    <row r="2" spans="1:24" x14ac:dyDescent="0.25">
      <c r="A2" s="9" t="s">
        <v>261</v>
      </c>
      <c r="B2" s="5" t="s">
        <v>260</v>
      </c>
      <c r="C2" s="5" t="s">
        <v>262</v>
      </c>
      <c r="D2" s="5">
        <f>SUMIFS(Daten!I:I,Daten!H:H,C2,Daten!E:E,"BUY")</f>
        <v>47.709923000000003</v>
      </c>
      <c r="E2" s="5">
        <f>-SUMIFS(Daten!I:I,Daten!H:H,C2,Daten!E:E,"SELL")</f>
        <v>0</v>
      </c>
      <c r="F2" s="5">
        <f>D2-E2</f>
        <v>47.709923000000003</v>
      </c>
      <c r="G2" s="6">
        <f>-SUMIFS(Daten!K:K,Daten!H:H,C2,Daten!E:E,"BUY")</f>
        <v>50</v>
      </c>
      <c r="H2" s="6">
        <f>SUMIFS(Daten!K:K,Daten!H:H,C2,Daten!E:E,"SELL")</f>
        <v>0</v>
      </c>
      <c r="I2" s="6">
        <f>SUMIFS(Daten!L:L,Daten!H:H,C2)*-1</f>
        <v>1</v>
      </c>
      <c r="J2" s="6">
        <f>-SUMIFS(Daten!M:M,Daten!E:E,"SELL",Daten!H:H,C2)</f>
        <v>0</v>
      </c>
      <c r="K2" s="6">
        <f>H2-G2-I2-J2</f>
        <v>-51</v>
      </c>
      <c r="L2" s="5" t="str">
        <f>IF(F2&gt;0,"OFFEN","GESCHLOSSEN")</f>
        <v>OFFEN</v>
      </c>
      <c r="M2">
        <v>1.069</v>
      </c>
      <c r="N2">
        <v>1.0419</v>
      </c>
      <c r="O2" s="21">
        <f>IF(L2="GESCHLOSSEN",
0,
IF(L2="OFFEN",
((N2*F2)-(M2*F2)),
""))</f>
        <v>-1.2929389132999916</v>
      </c>
      <c r="P2" s="6">
        <f>IF(F2&gt;0,F2*N2,0)</f>
        <v>49.708968773700008</v>
      </c>
      <c r="Q2" s="6">
        <f>IF(F2&gt;0,F2*M2,0)</f>
        <v>51.001907686999999</v>
      </c>
      <c r="R2" s="7">
        <f>IF(L2="GESCHLOSSEN",
0,
IF(L2="OFFEN",
(O2/(M2*F2))))</f>
        <v>-2.5350795135640619E-2</v>
      </c>
      <c r="S2" s="6">
        <f>IF(L2="GESCHLOSSEN",
H2-G2-I2 + SUMIFS(Daten!K:K,Daten!H:H,C2,Daten!E:E,"DIVIDEND"),
IF(L2="OFFEN",
IF(E2=0,
0,
H2+SUMIFS(Daten!K:K,Daten!H:H,C2,Daten!E:E,"DIVIDEND")-(G2-(F2*M2))-I2
),
""))</f>
        <v>0</v>
      </c>
      <c r="T2" s="6">
        <f>IF(E2=0,
0,
(G2-(F2*M2))+I2
)</f>
        <v>0</v>
      </c>
      <c r="U2" s="26">
        <f>COUNTIFS(Daten!H:H,C2,Daten!E:E,"BUY",Daten!L:L,"&lt;0")</f>
        <v>1</v>
      </c>
      <c r="V2" s="26">
        <f>COUNTIFS(Daten!H:H,C2,Daten!E:E,"SELL",Daten!L:L,"&lt;0")</f>
        <v>0</v>
      </c>
      <c r="W2" s="7">
        <f>IF(T2&gt;0,S2/T2,0)</f>
        <v>0</v>
      </c>
      <c r="X2" s="7">
        <f>IF(L2="GESCHLOSSEN",
K2/(G2+I2),
IF(L2="OFFEN",
((H2+N2*F2)-G2-I2)/G2,
""))</f>
        <v>-2.5820624525999848E-2</v>
      </c>
    </row>
    <row r="3" spans="1:24" x14ac:dyDescent="0.25">
      <c r="A3" t="s">
        <v>213</v>
      </c>
      <c r="B3" s="5" t="s">
        <v>29</v>
      </c>
      <c r="C3" s="5" t="s">
        <v>214</v>
      </c>
      <c r="D3" s="5">
        <f>SUMIFS(Daten!I:I,Daten!H:H,C3,Daten!E:E,"BUY")</f>
        <v>2.9493820000000008</v>
      </c>
      <c r="E3" s="5">
        <f>-SUMIFS(Daten!I:I,Daten!H:H,C3,Daten!E:E,"SELL")</f>
        <v>0</v>
      </c>
      <c r="F3" s="5">
        <f>D3-E3</f>
        <v>2.9493820000000008</v>
      </c>
      <c r="G3" s="6">
        <f>-SUMIFS(Daten!K:K,Daten!H:H,C3,Daten!E:E,"BUY")</f>
        <v>459.28</v>
      </c>
      <c r="H3" s="6">
        <f>SUMIFS(Daten!K:K,Daten!H:H,C3,Daten!E:E,"SELL")</f>
        <v>0</v>
      </c>
      <c r="I3" s="6">
        <f>SUMIFS(Daten!L:L,Daten!H:H,C3)*-1</f>
        <v>6</v>
      </c>
      <c r="J3" s="6">
        <f>-SUMIFS(Daten!M:M,Daten!E:E,"SELL",Daten!H:H,C3)</f>
        <v>0</v>
      </c>
      <c r="K3" s="6">
        <f>H3-G3-I3-J3</f>
        <v>-465.28</v>
      </c>
      <c r="L3" s="5" t="str">
        <f>IF(F3&gt;0,"OFFEN","GESCHLOSSEN")</f>
        <v>OFFEN</v>
      </c>
      <c r="M3">
        <v>157.66999999999999</v>
      </c>
      <c r="N3">
        <v>169.74</v>
      </c>
      <c r="O3" s="21">
        <f>IF(L3="GESCHLOSSEN",
0,
IF(L3="OFFEN",
((N3*F3)-(M3*F3)),
""))</f>
        <v>35.599040740000078</v>
      </c>
      <c r="P3" s="6">
        <f>IF(F3&gt;0,F3*N3,0)</f>
        <v>500.62810068000016</v>
      </c>
      <c r="Q3" s="6">
        <f>IF(F3&gt;0,F3*M3,0)</f>
        <v>465.02905994000008</v>
      </c>
      <c r="R3" s="7">
        <f>IF(L3="GESCHLOSSEN",
0,
IF(L3="OFFEN",
(O3/(M3*F3))))</f>
        <v>7.6552292763366683E-2</v>
      </c>
      <c r="S3" s="6">
        <f>IF(L3="GESCHLOSSEN",
H3-G3-I3 + SUMIFS(Daten!K:K,Daten!H:H,C3,Daten!E:E,"DIVIDEND"),
IF(L3="OFFEN",
IF(E3=0,
0,
H3+SUMIFS(Daten!K:K,Daten!H:H,C3,Daten!E:E,"DIVIDEND")-(G3-(F3*M3))-I3
),
""))</f>
        <v>0</v>
      </c>
      <c r="T3" s="6">
        <f>IF(E3=0,
0,
(G3-(F3*M3))+I3
)</f>
        <v>0</v>
      </c>
      <c r="U3" s="26">
        <f>COUNTIFS(Daten!H:H,C3,Daten!E:E,"BUY",Daten!L:L,"&lt;0")</f>
        <v>6</v>
      </c>
      <c r="V3" s="26">
        <f>COUNTIFS(Daten!H:H,C3,Daten!E:E,"SELL",Daten!L:L,"&lt;0")</f>
        <v>0</v>
      </c>
      <c r="W3" s="7">
        <f>IF(T3&gt;0,S3/T3,0)</f>
        <v>0</v>
      </c>
      <c r="X3" s="7">
        <f>IF(L3="GESCHLOSSEN",
K3/(G3+I3),
IF(L3="OFFEN",
((H3+N3*F3)-G3-I3)/G3,
""))</f>
        <v>7.6964162776520184E-2</v>
      </c>
    </row>
    <row r="4" spans="1:24" x14ac:dyDescent="0.25">
      <c r="M4"/>
      <c r="N4"/>
    </row>
    <row r="5" spans="1:24" x14ac:dyDescent="0.25">
      <c r="M5"/>
      <c r="N5"/>
    </row>
    <row r="6" spans="1:24" x14ac:dyDescent="0.25">
      <c r="M6"/>
      <c r="N6"/>
    </row>
    <row r="7" spans="1:24" x14ac:dyDescent="0.25">
      <c r="M7"/>
      <c r="N7"/>
    </row>
    <row r="8" spans="1:24" x14ac:dyDescent="0.25">
      <c r="M8"/>
      <c r="N8"/>
    </row>
    <row r="9" spans="1:24" x14ac:dyDescent="0.25">
      <c r="M9"/>
      <c r="N9"/>
    </row>
    <row r="10" spans="1:24" x14ac:dyDescent="0.25">
      <c r="M10"/>
      <c r="N10"/>
    </row>
    <row r="11" spans="1:24" x14ac:dyDescent="0.25">
      <c r="M11"/>
      <c r="N11"/>
    </row>
    <row r="12" spans="1:24" x14ac:dyDescent="0.25">
      <c r="M12"/>
      <c r="N12"/>
    </row>
    <row r="13" spans="1:24" x14ac:dyDescent="0.25">
      <c r="M13"/>
      <c r="N13"/>
    </row>
    <row r="14" spans="1:24" x14ac:dyDescent="0.25">
      <c r="M14"/>
      <c r="N14"/>
    </row>
    <row r="15" spans="1:24" x14ac:dyDescent="0.25">
      <c r="M15"/>
      <c r="N15"/>
    </row>
    <row r="16" spans="1:24" x14ac:dyDescent="0.25">
      <c r="M16"/>
      <c r="N16"/>
    </row>
    <row r="17" spans="13:14" x14ac:dyDescent="0.25">
      <c r="M17"/>
      <c r="N17"/>
    </row>
    <row r="18" spans="13:14" x14ac:dyDescent="0.25">
      <c r="M18"/>
      <c r="N18"/>
    </row>
    <row r="19" spans="13:14" x14ac:dyDescent="0.25">
      <c r="M19"/>
      <c r="N19"/>
    </row>
    <row r="20" spans="13:14" x14ac:dyDescent="0.25">
      <c r="M20"/>
      <c r="N20"/>
    </row>
    <row r="21" spans="13:14" x14ac:dyDescent="0.25">
      <c r="M21"/>
      <c r="N21"/>
    </row>
    <row r="22" spans="13:14" x14ac:dyDescent="0.25">
      <c r="M22"/>
      <c r="N22"/>
    </row>
    <row r="23" spans="13:14" x14ac:dyDescent="0.25">
      <c r="M23"/>
      <c r="N23"/>
    </row>
    <row r="24" spans="13:14" x14ac:dyDescent="0.25">
      <c r="M24"/>
      <c r="N24"/>
    </row>
    <row r="25" spans="13:14" x14ac:dyDescent="0.25">
      <c r="M25"/>
      <c r="N25"/>
    </row>
    <row r="26" spans="13:14" x14ac:dyDescent="0.25">
      <c r="M26"/>
      <c r="N26"/>
    </row>
    <row r="27" spans="13:14" x14ac:dyDescent="0.25">
      <c r="M27"/>
      <c r="N27"/>
    </row>
    <row r="28" spans="13:14" x14ac:dyDescent="0.25">
      <c r="M28"/>
      <c r="N28"/>
    </row>
    <row r="29" spans="13:14" x14ac:dyDescent="0.25">
      <c r="M29"/>
      <c r="N29"/>
    </row>
    <row r="30" spans="13:14" x14ac:dyDescent="0.25">
      <c r="M30"/>
      <c r="N30"/>
    </row>
    <row r="31" spans="13:14" x14ac:dyDescent="0.25">
      <c r="M31"/>
      <c r="N31"/>
    </row>
    <row r="32" spans="13:14" x14ac:dyDescent="0.25">
      <c r="M32"/>
      <c r="N32"/>
    </row>
    <row r="33" spans="13:14" x14ac:dyDescent="0.25">
      <c r="M33"/>
      <c r="N33"/>
    </row>
    <row r="34" spans="13:14" x14ac:dyDescent="0.25">
      <c r="M34"/>
      <c r="N34"/>
    </row>
    <row r="35" spans="13:14" x14ac:dyDescent="0.25">
      <c r="M35"/>
      <c r="N35"/>
    </row>
    <row r="36" spans="13:14" x14ac:dyDescent="0.25">
      <c r="M36"/>
      <c r="N36"/>
    </row>
    <row r="37" spans="13:14" x14ac:dyDescent="0.25">
      <c r="M37"/>
      <c r="N37"/>
    </row>
    <row r="38" spans="13:14" x14ac:dyDescent="0.25">
      <c r="M38"/>
      <c r="N38"/>
    </row>
    <row r="39" spans="13:14" x14ac:dyDescent="0.25">
      <c r="M39"/>
      <c r="N39"/>
    </row>
    <row r="40" spans="13:14" x14ac:dyDescent="0.25">
      <c r="M40"/>
      <c r="N40"/>
    </row>
    <row r="41" spans="13:14" x14ac:dyDescent="0.25">
      <c r="M41"/>
      <c r="N41"/>
    </row>
    <row r="42" spans="13:14" x14ac:dyDescent="0.25">
      <c r="M42"/>
      <c r="N42"/>
    </row>
    <row r="43" spans="13:14" x14ac:dyDescent="0.25">
      <c r="M43"/>
      <c r="N43"/>
    </row>
    <row r="44" spans="13:14" x14ac:dyDescent="0.25">
      <c r="M44"/>
      <c r="N44"/>
    </row>
    <row r="45" spans="13:14" x14ac:dyDescent="0.25">
      <c r="M45"/>
      <c r="N45"/>
    </row>
    <row r="46" spans="13:14" x14ac:dyDescent="0.25">
      <c r="M46"/>
      <c r="N46"/>
    </row>
    <row r="47" spans="13:14" x14ac:dyDescent="0.25">
      <c r="M47"/>
      <c r="N47"/>
    </row>
    <row r="48" spans="13:14" x14ac:dyDescent="0.25">
      <c r="M48"/>
      <c r="N48"/>
    </row>
    <row r="49" spans="13:14" x14ac:dyDescent="0.25">
      <c r="M49"/>
      <c r="N49"/>
    </row>
    <row r="50" spans="13:14" x14ac:dyDescent="0.25">
      <c r="M50"/>
      <c r="N50"/>
    </row>
    <row r="51" spans="13:14" x14ac:dyDescent="0.25">
      <c r="M51"/>
      <c r="N51"/>
    </row>
    <row r="52" spans="13:14" x14ac:dyDescent="0.25">
      <c r="M52"/>
      <c r="N52"/>
    </row>
    <row r="53" spans="13:14" x14ac:dyDescent="0.25">
      <c r="M53"/>
      <c r="N53"/>
    </row>
    <row r="54" spans="13:14" x14ac:dyDescent="0.25">
      <c r="M54"/>
      <c r="N54"/>
    </row>
    <row r="55" spans="13:14" x14ac:dyDescent="0.25">
      <c r="M55"/>
      <c r="N55"/>
    </row>
    <row r="56" spans="13:14" x14ac:dyDescent="0.25">
      <c r="M56"/>
      <c r="N56"/>
    </row>
    <row r="57" spans="13:14" x14ac:dyDescent="0.25">
      <c r="M57"/>
      <c r="N57"/>
    </row>
    <row r="58" spans="13:14" x14ac:dyDescent="0.25">
      <c r="M58"/>
      <c r="N58"/>
    </row>
    <row r="59" spans="13:14" x14ac:dyDescent="0.25">
      <c r="M59"/>
      <c r="N59"/>
    </row>
    <row r="60" spans="13:14" x14ac:dyDescent="0.25">
      <c r="M60"/>
      <c r="N60"/>
    </row>
    <row r="61" spans="13:14" x14ac:dyDescent="0.25">
      <c r="M61"/>
      <c r="N61"/>
    </row>
    <row r="62" spans="13:14" x14ac:dyDescent="0.25">
      <c r="M62"/>
      <c r="N62"/>
    </row>
    <row r="76" spans="29:30" x14ac:dyDescent="0.25">
      <c r="AC76" t="str">
        <f>IF(L9="GESCHLOSSEN",
0,
IF(L9="OFFEN",
IF(E2=0,
G9+I9,
H2+SUMIFS(Daten!K:K,Daten!G:G,A2,Daten!E:E,"DIVIDEND")-(G2-(F2*M2))-I2
),
""))</f>
        <v/>
      </c>
      <c r="AD76" t="str">
        <f>IF(L6="GESCHLOSSEN",
H6-G6-I6 + SUMIFS(Daten!K:K,Daten!G:G,A6,Daten!E:E,"DIVIDEND"),
IF(L6="OFFEN",
IF(E6=0,
-I6,
H6+SUMIFS(Daten!K:K,Daten!G:G,A6,Daten!E:E,"DIVIDEND")-(G6-(F6*M6))-I6
),
""))</f>
        <v/>
      </c>
    </row>
    <row r="77" spans="29:30" x14ac:dyDescent="0.25">
      <c r="AD77" s="19">
        <f>H2
-(G2-(F2*M2))
-I2</f>
        <v>1.9076869999992141E-3</v>
      </c>
    </row>
    <row r="78" spans="29:30" x14ac:dyDescent="0.25">
      <c r="AD78" s="19">
        <f>H4-G4-I4 + SUMIFS(Daten!K:K,Daten!G:G,A4,Daten!E:E,"DIVIDEND")</f>
        <v>0</v>
      </c>
    </row>
    <row r="83" spans="30:31" x14ac:dyDescent="0.25">
      <c r="AD83" s="1">
        <f>_xlfn.MAXIFS(Daten!B:B,Daten!G:G,A14,Daten!E:E,"SELL")</f>
        <v>0</v>
      </c>
      <c r="AE83" s="6">
        <f>SUMIFS(Daten!L:L,Daten!G:G,A14,Daten!E:E,"BUY",Daten!B:B,"&lt;"&amp;_xlfn.MAXIFS(Daten!B:B,Daten!G:G,A14,Daten!E:E,"SELL"))*-1</f>
        <v>0</v>
      </c>
    </row>
    <row r="84" spans="30:31" x14ac:dyDescent="0.25">
      <c r="AD84" s="6">
        <f>SUMIFS(Daten!L:L,Daten!G:G,A14,Daten!E:E,"BUY")*-1</f>
        <v>0</v>
      </c>
      <c r="AE84" s="6">
        <f>SUMIFS(Daten!L:L,Daten!G:G,A14,Daten!E:E,"BUY",Daten!B:B,"&lt;"&amp;AD83)*-1</f>
        <v>0</v>
      </c>
    </row>
    <row r="85" spans="30:31" x14ac:dyDescent="0.25">
      <c r="AD85" s="6">
        <f>SUMIFS(Daten!L:L,Daten!G:G,A14,Daten!E:E,"SELL")*-1</f>
        <v>0</v>
      </c>
      <c r="AE85" s="6"/>
    </row>
    <row r="86" spans="30:31" x14ac:dyDescent="0.25">
      <c r="AD86" s="6">
        <f>H14-(G14-(F14*M14))-SUMIFS(Daten!L:L,Daten!G:G,A14,Daten!E:E,"SELL")*-1</f>
        <v>0</v>
      </c>
      <c r="AE86" s="6">
        <f>H14-(G14-(F14*M14))-SUMIFS(Daten!L:L,Daten!G:G,A14,Daten!E:E,"SELL")*-1 - SUMIFS(Daten!L:L,Daten!G:G,A14,Daten!E:E,"BUY",Daten!B:B,"&lt;"&amp;_xlfn.MAXIFS(Daten!B:B,Daten!G:G,A14,Daten!E:E,"SELL"))*-1</f>
        <v>0</v>
      </c>
    </row>
  </sheetData>
  <autoFilter ref="A1:X62" xr:uid="{00000000-0001-0000-0100-000000000000}"/>
  <sortState xmlns:xlrd2="http://schemas.microsoft.com/office/spreadsheetml/2017/richdata2" ref="A2:AE86">
    <sortCondition ref="A2:A86"/>
  </sortState>
  <conditionalFormatting sqref="O2:O1048576">
    <cfRule type="cellIs" dxfId="6" priority="8" operator="lessThan">
      <formula>0</formula>
    </cfRule>
    <cfRule type="cellIs" dxfId="5" priority="9" operator="greaterThan">
      <formula>0</formula>
    </cfRule>
    <cfRule type="cellIs" dxfId="4" priority="11" operator="greaterThan">
      <formula>0</formula>
    </cfRule>
  </conditionalFormatting>
  <conditionalFormatting sqref="R2:S1048576">
    <cfRule type="cellIs" dxfId="3" priority="3" operator="lessThan">
      <formula>0</formula>
    </cfRule>
    <cfRule type="cellIs" dxfId="2" priority="4" operator="greaterThan">
      <formula>0</formula>
    </cfRule>
  </conditionalFormatting>
  <conditionalFormatting sqref="W2:X1048576">
    <cfRule type="cellIs" dxfId="1" priority="1" operator="lessThan">
      <formula>0</formula>
    </cfRule>
    <cfRule type="cellIs" dxfId="0" priority="2" operator="greaterThan">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262F8-DDEC-4765-A976-35CCA92C6851}">
  <dimension ref="A1:E150"/>
  <sheetViews>
    <sheetView tabSelected="1" topLeftCell="A114" zoomScale="115" zoomScaleNormal="115" workbookViewId="0">
      <selection activeCell="E127" sqref="E127"/>
    </sheetView>
  </sheetViews>
  <sheetFormatPr baseColWidth="10" defaultRowHeight="15" x14ac:dyDescent="0.25"/>
  <cols>
    <col min="1" max="1" width="56" bestFit="1" customWidth="1"/>
    <col min="2" max="2" width="12.7109375" style="5" bestFit="1" customWidth="1"/>
    <col min="3" max="3" width="11.42578125" style="5"/>
    <col min="4" max="4" width="12" bestFit="1" customWidth="1"/>
    <col min="5" max="5" width="12.7109375" bestFit="1" customWidth="1"/>
  </cols>
  <sheetData>
    <row r="1" spans="1:3" s="12" customFormat="1" ht="15.75" x14ac:dyDescent="0.25">
      <c r="A1" s="10" t="s">
        <v>44</v>
      </c>
      <c r="B1" s="11"/>
      <c r="C1" s="11"/>
    </row>
    <row r="2" spans="1:3" s="12" customFormat="1" ht="15.75" x14ac:dyDescent="0.25">
      <c r="A2" s="10"/>
      <c r="B2" s="11"/>
      <c r="C2" s="11"/>
    </row>
    <row r="3" spans="1:3" s="12" customFormat="1" ht="15.75" x14ac:dyDescent="0.25">
      <c r="A3" s="13" t="s">
        <v>45</v>
      </c>
      <c r="B3" s="11">
        <f>COUNTA(Auswertung!A:A) - 1</f>
        <v>2</v>
      </c>
      <c r="C3" s="15">
        <f>IF(ABS(B3)&gt;0,B3/B3,0)</f>
        <v>1</v>
      </c>
    </row>
    <row r="4" spans="1:3" s="12" customFormat="1" ht="15.75" x14ac:dyDescent="0.25">
      <c r="A4" s="13" t="s">
        <v>77</v>
      </c>
      <c r="B4" s="11">
        <f>COUNTIFS(Auswertung!B:B,"STOCK")</f>
        <v>1</v>
      </c>
      <c r="C4" s="15">
        <f>IF(ABS(B3)&gt;0,B4/B3,0)</f>
        <v>0.5</v>
      </c>
    </row>
    <row r="5" spans="1:3" s="12" customFormat="1" ht="15.75" x14ac:dyDescent="0.25">
      <c r="A5" s="13" t="s">
        <v>78</v>
      </c>
      <c r="B5" s="11">
        <f>COUNTIFS(Auswertung!B:B,"FUND")</f>
        <v>1</v>
      </c>
      <c r="C5" s="15">
        <f>IF(ABS(B3)&gt;0,B5/B3,0)</f>
        <v>0.5</v>
      </c>
    </row>
    <row r="6" spans="1:3" s="12" customFormat="1" ht="15.75" x14ac:dyDescent="0.25">
      <c r="A6" s="13" t="s">
        <v>79</v>
      </c>
      <c r="B6" s="11">
        <f>COUNTIFS(Auswertung!B:B,"CRYPTO")</f>
        <v>0</v>
      </c>
      <c r="C6" s="15">
        <f>IF(ABS(B3)&gt;0,B6/B3,0)</f>
        <v>0</v>
      </c>
    </row>
    <row r="7" spans="1:3" s="12" customFormat="1" ht="15.75" x14ac:dyDescent="0.25">
      <c r="A7" s="13"/>
      <c r="B7" s="11"/>
      <c r="C7" s="11"/>
    </row>
    <row r="8" spans="1:3" s="12" customFormat="1" ht="15.75" x14ac:dyDescent="0.25">
      <c r="A8" s="13" t="s">
        <v>83</v>
      </c>
      <c r="B8" s="11">
        <f>COUNTIFS(Auswertung!L:L,"OFFEN")</f>
        <v>2</v>
      </c>
      <c r="C8" s="15">
        <f>IF(ABS(B8)&gt;0,B8/B8,0)</f>
        <v>1</v>
      </c>
    </row>
    <row r="9" spans="1:3" s="12" customFormat="1" ht="15.75" x14ac:dyDescent="0.25">
      <c r="A9" s="13" t="s">
        <v>80</v>
      </c>
      <c r="B9" s="11">
        <f>COUNTIFS(Auswertung!B:B,"STOCK",Auswertung!L:L,"OFFEN")</f>
        <v>1</v>
      </c>
      <c r="C9" s="15">
        <f>IF(ABS(B8)&gt;0,B9/B8,0)</f>
        <v>0.5</v>
      </c>
    </row>
    <row r="10" spans="1:3" s="12" customFormat="1" ht="15.75" x14ac:dyDescent="0.25">
      <c r="A10" s="13" t="s">
        <v>81</v>
      </c>
      <c r="B10" s="11">
        <f>COUNTIFS(Auswertung!B:B,"FUND",Auswertung!L:L,"OFFEN")</f>
        <v>1</v>
      </c>
      <c r="C10" s="15">
        <f>IF(ABS(B8)&gt;0,B10/B8,0)</f>
        <v>0.5</v>
      </c>
    </row>
    <row r="11" spans="1:3" s="12" customFormat="1" ht="15.75" x14ac:dyDescent="0.25">
      <c r="A11" s="13" t="s">
        <v>82</v>
      </c>
      <c r="B11" s="11">
        <f>COUNTIFS(Auswertung!B:B,"CRYPTO",Auswertung!L:L,"OFFEN")</f>
        <v>0</v>
      </c>
      <c r="C11" s="15">
        <f>IF(ABS(B8)&gt;0,B11/B8,0)</f>
        <v>0</v>
      </c>
    </row>
    <row r="12" spans="1:3" s="12" customFormat="1" ht="15.75" x14ac:dyDescent="0.25">
      <c r="A12" s="13"/>
      <c r="B12" s="11"/>
      <c r="C12" s="11"/>
    </row>
    <row r="13" spans="1:3" s="12" customFormat="1" ht="15.75" x14ac:dyDescent="0.25">
      <c r="A13" s="13" t="s">
        <v>84</v>
      </c>
      <c r="B13" s="11">
        <f>COUNTIFS(Auswertung!L:L,"GESCHLOSSEN")</f>
        <v>0</v>
      </c>
      <c r="C13" s="11"/>
    </row>
    <row r="14" spans="1:3" s="12" customFormat="1" ht="15.75" x14ac:dyDescent="0.25">
      <c r="A14" s="13" t="s">
        <v>85</v>
      </c>
      <c r="B14" s="11">
        <f>COUNTIFS(Auswertung!B:B,"STOCK",Auswertung!L:L,"GESCHLOSSEN")</f>
        <v>0</v>
      </c>
      <c r="C14" s="11"/>
    </row>
    <row r="15" spans="1:3" s="12" customFormat="1" ht="15.75" x14ac:dyDescent="0.25">
      <c r="A15" s="13" t="s">
        <v>86</v>
      </c>
      <c r="B15" s="11">
        <f>COUNTIFS(Auswertung!B:B,"FUND",Auswertung!L:L,"GESCHLOSSEN")</f>
        <v>0</v>
      </c>
      <c r="C15" s="11"/>
    </row>
    <row r="16" spans="1:3" s="12" customFormat="1" ht="15.75" x14ac:dyDescent="0.25">
      <c r="A16" s="13" t="s">
        <v>87</v>
      </c>
      <c r="B16" s="11">
        <f>COUNTIFS(Auswertung!B:B,"CRYPTO",Auswertung!L:L,"GESCHLOSSEN")</f>
        <v>0</v>
      </c>
      <c r="C16" s="11"/>
    </row>
    <row r="17" spans="1:5" s="12" customFormat="1" ht="15.75" x14ac:dyDescent="0.25">
      <c r="A17" s="13"/>
      <c r="B17" s="11"/>
      <c r="C17" s="11"/>
    </row>
    <row r="18" spans="1:5" s="12" customFormat="1" ht="15.75" x14ac:dyDescent="0.25">
      <c r="A18" s="13" t="s">
        <v>162</v>
      </c>
      <c r="B18" s="14">
        <f>SUM(Auswertung!G:G)-SUMIFS(Daten!L:L,Daten!E:E,"BUY")</f>
        <v>516.28</v>
      </c>
      <c r="C18" s="11"/>
      <c r="D18" s="22">
        <f>-SUMIFS(Daten!K:K,Daten!E:E,"BUY")-SUMIFS(Daten!L:L,Daten!E:E,"BUY")</f>
        <v>516.28</v>
      </c>
    </row>
    <row r="19" spans="1:5" s="12" customFormat="1" ht="15.75" x14ac:dyDescent="0.25">
      <c r="A19" s="13" t="s">
        <v>163</v>
      </c>
      <c r="B19" s="14">
        <f>SUMIFS(Auswertung!G:G,Auswertung!B:B,"STOCK")+SUMIFS(Auswertung!G:G,Auswertung!B:B,"FUND")-SUMIFS(Daten!L:L,Daten!E:E,"BUY",Daten!F:F,"STOCK")-SUMIFS(Daten!L:L,Daten!E:E,"BUY",Daten!F:F,"FUND")</f>
        <v>516.28</v>
      </c>
      <c r="C19" s="15">
        <f>IF(ABS(B18)&gt;0,B19/B18,0)</f>
        <v>1</v>
      </c>
      <c r="D19" s="22">
        <f>-SUMIFS(Daten!K:K,Daten!F:F,"STOCK",Daten!E:E,"BUY")-SUMIFS(Daten!K:K,Daten!F:F,"FUND",Daten!E:E,"BUY")-SUMIFS(Daten!L:L,Daten!E:E,"BUY",Daten!F:F,"STOCK")-SUMIFS(Daten!L:L,Daten!E:E,"BUY",Daten!F:F,"FUND")</f>
        <v>516.28</v>
      </c>
    </row>
    <row r="20" spans="1:5" s="12" customFormat="1" ht="15.75" x14ac:dyDescent="0.25">
      <c r="A20" s="13" t="s">
        <v>164</v>
      </c>
      <c r="B20" s="14">
        <f>SUMIFS(Auswertung!G:G,Auswertung!B:B,"STOCK")-SUMIFS(Daten!L:L,Daten!E:E,"BUY",Daten!F:F,"STOCK")</f>
        <v>51</v>
      </c>
      <c r="C20" s="15">
        <f>IF(ABS(B18)&gt;0,B20/B18,0)</f>
        <v>9.8783605795304874E-2</v>
      </c>
      <c r="D20" s="22">
        <f>-SUMIFS(Daten!K:K,Daten!F:F,"STOCK",Daten!E:E,"BUY")-SUMIFS(Daten!L:L,Daten!E:E,"BUY",Daten!F:F,"STOCK")</f>
        <v>51</v>
      </c>
    </row>
    <row r="21" spans="1:5" s="12" customFormat="1" ht="15.75" x14ac:dyDescent="0.25">
      <c r="A21" s="13" t="s">
        <v>165</v>
      </c>
      <c r="B21" s="14">
        <f>SUMIFS(Auswertung!G:G,Auswertung!B:B,"FUND")-SUMIFS(Daten!L:L,Daten!E:E,"BUY",Daten!F:F,"FUND")</f>
        <v>465.28</v>
      </c>
      <c r="C21" s="15">
        <f>IF(ABS(B18)&gt;0,B21/B18,0)</f>
        <v>0.90121639420469513</v>
      </c>
      <c r="D21" s="22">
        <f>-SUMIFS(Daten!K:K,Daten!F:F,"FUND",Daten!E:E,"BUY")-SUMIFS(Daten!L:L,Daten!E:E,"BUY",Daten!F:F,"FUND")</f>
        <v>465.28</v>
      </c>
    </row>
    <row r="22" spans="1:5" s="12" customFormat="1" ht="15.75" x14ac:dyDescent="0.25">
      <c r="A22" s="13" t="s">
        <v>166</v>
      </c>
      <c r="B22" s="14">
        <f>SUMIFS(Auswertung!G:G,Auswertung!B:B,"CRYPTO")-SUMIFS(Daten!L:L,Daten!E:E,"BUY",Daten!F:F,"CRYPTO")</f>
        <v>0</v>
      </c>
      <c r="C22" s="15">
        <f>IF(ABS(B18)&gt;0,B22/B18,0)</f>
        <v>0</v>
      </c>
      <c r="D22" s="22">
        <f>-SUMIFS(Daten!K:K,Daten!F:F,"CRYPTO",Daten!E:E,"BUY")-SUMIFS(Daten!L:L,Daten!E:E,"BUY",Daten!F:F,"CRYPTO")</f>
        <v>0</v>
      </c>
    </row>
    <row r="23" spans="1:5" s="12" customFormat="1" ht="15.75" x14ac:dyDescent="0.25">
      <c r="A23" s="13"/>
      <c r="B23" s="14"/>
      <c r="C23" s="15"/>
      <c r="D23" s="22"/>
    </row>
    <row r="24" spans="1:5" s="12" customFormat="1" ht="15.75" x14ac:dyDescent="0.25">
      <c r="A24" s="13" t="s">
        <v>167</v>
      </c>
      <c r="B24" s="14">
        <f>SUM(Auswertung!G:G)</f>
        <v>509.28</v>
      </c>
      <c r="C24" s="15"/>
      <c r="D24" s="22">
        <f>-SUMIFS(Daten!K:K,Daten!E:E,"BUY")</f>
        <v>509.28</v>
      </c>
    </row>
    <row r="25" spans="1:5" s="12" customFormat="1" ht="15.75" x14ac:dyDescent="0.25">
      <c r="A25" s="13" t="s">
        <v>168</v>
      </c>
      <c r="B25" s="14">
        <f>SUMIFS(Auswertung!G:G,Auswertung!B:B,"STOCK")+SUMIFS(Auswertung!G:G,Auswertung!B:B,"FUND")</f>
        <v>509.28</v>
      </c>
      <c r="C25" s="15">
        <f>IF(ABS(B24)&gt;0,B25/B24,0)</f>
        <v>1</v>
      </c>
      <c r="D25" s="22">
        <f>-SUMIFS(Daten!K:K,Daten!F:F,"STOCK",Daten!E:E,"BUY")-SUMIFS(Daten!K:K,Daten!F:F,"FUND",Daten!E:E,"BUY")</f>
        <v>509.28</v>
      </c>
    </row>
    <row r="26" spans="1:5" s="12" customFormat="1" ht="15.75" x14ac:dyDescent="0.25">
      <c r="A26" s="13" t="s">
        <v>169</v>
      </c>
      <c r="B26" s="14">
        <f>SUMIFS(Auswertung!G:G,Auswertung!B:B,"STOCK")</f>
        <v>50</v>
      </c>
      <c r="C26" s="15">
        <f>IF(ABS(B24)&gt;0,B26/B24,0)</f>
        <v>9.8177819666980845E-2</v>
      </c>
      <c r="D26" s="22">
        <f>-SUMIFS(Daten!K:K,Daten!F:F,"STOCK",Daten!E:E,"BUY")</f>
        <v>50</v>
      </c>
    </row>
    <row r="27" spans="1:5" s="12" customFormat="1" ht="15.75" x14ac:dyDescent="0.25">
      <c r="A27" s="13" t="s">
        <v>170</v>
      </c>
      <c r="B27" s="14">
        <f>SUMIFS(Auswertung!G:G,Auswertung!B:B,"FUND")</f>
        <v>459.28</v>
      </c>
      <c r="C27" s="15">
        <f>IF(ABS(B24)&gt;0,B27/B24,0)</f>
        <v>0.9018221803330192</v>
      </c>
      <c r="D27" s="22">
        <f>-SUMIFS(Daten!K:K,Daten!F:F,"FUND",Daten!E:E,"BUY")</f>
        <v>459.28</v>
      </c>
    </row>
    <row r="28" spans="1:5" s="12" customFormat="1" ht="15.75" x14ac:dyDescent="0.25">
      <c r="A28" s="13" t="s">
        <v>171</v>
      </c>
      <c r="B28" s="14">
        <f>SUMIFS(Auswertung!G:G,Auswertung!B:B,"CRYPTO")</f>
        <v>0</v>
      </c>
      <c r="C28" s="15">
        <f>IF(ABS(B24)&gt;0,B28/B24,0)</f>
        <v>0</v>
      </c>
      <c r="D28" s="22">
        <f>-SUMIFS(Daten!K:K,Daten!F:F,"CRYPTO",Daten!E:E,"BUY")</f>
        <v>0</v>
      </c>
    </row>
    <row r="29" spans="1:5" s="12" customFormat="1" ht="15.75" x14ac:dyDescent="0.25">
      <c r="A29" s="13"/>
      <c r="B29" s="14"/>
      <c r="C29" s="11"/>
    </row>
    <row r="30" spans="1:5" s="12" customFormat="1" ht="15.75" x14ac:dyDescent="0.25">
      <c r="A30" s="13" t="s">
        <v>176</v>
      </c>
      <c r="B30" s="14">
        <f>SUM(Auswertung!H:H)-SUMIFS(Daten!L:L,Daten!E:E,"SELL")</f>
        <v>0</v>
      </c>
      <c r="C30" s="11"/>
      <c r="D30" s="22">
        <f>SUMIFS(Daten!K:K,Daten!E:E,"SELL")-SUMIFS(Daten!L:L,Daten!E:E,"SELL")</f>
        <v>0</v>
      </c>
      <c r="E30" s="22"/>
    </row>
    <row r="31" spans="1:5" s="12" customFormat="1" ht="15.75" x14ac:dyDescent="0.25">
      <c r="A31" s="13" t="s">
        <v>172</v>
      </c>
      <c r="B31" s="14">
        <f>SUMIFS(Auswertung!H:H,Auswertung!B:B,"STOCK")+SUMIFS(Auswertung!H:H,Auswertung!B:B,"FUND")-SUMIFS(Daten!L:L,Daten!E:E,"SELL",Daten!F:F,"STOCK")-SUMIFS(Daten!L:L,Daten!E:E,"SELL",Daten!F:F,"FUND")</f>
        <v>0</v>
      </c>
      <c r="C31" s="15">
        <f>IF(ABS(B30)&gt;0,B31/B30,0)</f>
        <v>0</v>
      </c>
      <c r="D31" s="22">
        <f>SUMIFS(Daten!K:K,Daten!F:F,"STOCK",Daten!E:E,"SELL")+SUMIFS(Daten!K:K,Daten!F:F,"FUND",Daten!E:E,"SELL")-SUMIFS(Daten!L:L,Daten!E:E,"SELL",Daten!F:F,"STOCK")-SUMIFS(Daten!L:L,Daten!E:E,"SELL",Daten!F:F,"FUND")</f>
        <v>0</v>
      </c>
      <c r="E31" s="22"/>
    </row>
    <row r="32" spans="1:5" s="12" customFormat="1" ht="15.75" x14ac:dyDescent="0.25">
      <c r="A32" s="13" t="s">
        <v>173</v>
      </c>
      <c r="B32" s="14">
        <f>SUMIFS(Auswertung!H:H,Auswertung!B:B,"STOCK")-SUMIFS(Daten!L:L,Daten!E:E,"SELL",Daten!F:F,"STOCK")</f>
        <v>0</v>
      </c>
      <c r="C32" s="15">
        <f>IF(ABS(B30)&gt;0,B32/B30,0)</f>
        <v>0</v>
      </c>
      <c r="D32" s="22">
        <f>SUMIFS(Daten!K:K,Daten!F:F,"STOCK",Daten!E:E,"SELL")-SUMIFS(Daten!L:L,Daten!E:E,"SELL",Daten!F:F,"STOCK")</f>
        <v>0</v>
      </c>
    </row>
    <row r="33" spans="1:4" s="12" customFormat="1" ht="15.75" x14ac:dyDescent="0.25">
      <c r="A33" s="13" t="s">
        <v>174</v>
      </c>
      <c r="B33" s="14">
        <f>SUMIFS(Auswertung!H:H,Auswertung!B:B,"FUND")-SUMIFS(Daten!L:L,Daten!E:E,"SELL",Daten!F:F,"FUND")</f>
        <v>0</v>
      </c>
      <c r="C33" s="15">
        <f>IF(ABS(B30)&gt;0,B33/B30,0)</f>
        <v>0</v>
      </c>
      <c r="D33" s="22">
        <f>SUMIFS(Daten!K:K,Daten!F:F,"FUND",Daten!E:E,"SELL")-SUMIFS(Daten!L:L,Daten!E:E,"SELL",Daten!F:F,"FUND")</f>
        <v>0</v>
      </c>
    </row>
    <row r="34" spans="1:4" s="12" customFormat="1" ht="15.75" x14ac:dyDescent="0.25">
      <c r="A34" s="13" t="s">
        <v>175</v>
      </c>
      <c r="B34" s="14">
        <f>SUMIFS(Auswertung!H:H,Auswertung!B:B,"CRYPTO")-SUMIFS(Daten!L:L,Daten!E:E,"SELL",Daten!F:F,"CRYPTO")</f>
        <v>0</v>
      </c>
      <c r="C34" s="15">
        <f>IF(ABS(B30)&gt;0,B33/B30,0)</f>
        <v>0</v>
      </c>
      <c r="D34" s="22">
        <f>SUMIFS(Daten!K:K,Daten!F:F,"CRYPTO",Daten!E:E,"SELL")-SUMIFS(Daten!L:L,Daten!E:E,"SELL",Daten!F:F,"CRYPTO")</f>
        <v>0</v>
      </c>
    </row>
    <row r="35" spans="1:4" s="12" customFormat="1" ht="15.75" x14ac:dyDescent="0.25">
      <c r="A35" s="13"/>
      <c r="B35" s="14"/>
      <c r="C35" s="15"/>
      <c r="D35" s="22"/>
    </row>
    <row r="36" spans="1:4" s="12" customFormat="1" ht="15.75" x14ac:dyDescent="0.25">
      <c r="A36" s="13" t="s">
        <v>177</v>
      </c>
      <c r="B36" s="14">
        <f>SUM(Auswertung!H:H)</f>
        <v>0</v>
      </c>
      <c r="C36" s="15"/>
      <c r="D36" s="22">
        <f>SUMIFS(Daten!K:K,Daten!E:E,"SELL")</f>
        <v>0</v>
      </c>
    </row>
    <row r="37" spans="1:4" s="12" customFormat="1" ht="15.75" x14ac:dyDescent="0.25">
      <c r="A37" s="13" t="s">
        <v>178</v>
      </c>
      <c r="B37" s="14">
        <f>SUMIFS(Auswertung!H:H,Auswertung!B:B,"STOCK")+SUMIFS(Auswertung!H:H,Auswertung!B:B,"FUND")</f>
        <v>0</v>
      </c>
      <c r="C37" s="15">
        <f>IF(ABS(B36)&gt;0,B37/B36,0)</f>
        <v>0</v>
      </c>
      <c r="D37" s="22">
        <f>SUMIFS(Daten!K:K,Daten!F:F,"STOCK",Daten!E:E,"SELL")+SUMIFS(Daten!K:K,Daten!F:F,"FUND",Daten!E:E,"SELL")</f>
        <v>0</v>
      </c>
    </row>
    <row r="38" spans="1:4" s="12" customFormat="1" ht="15.75" x14ac:dyDescent="0.25">
      <c r="A38" s="13" t="s">
        <v>179</v>
      </c>
      <c r="B38" s="14">
        <f>SUMIFS(Auswertung!H:H,Auswertung!B:B,"STOCK")</f>
        <v>0</v>
      </c>
      <c r="C38" s="15">
        <f>IF(ABS(B36)&gt;0,B38/B36,0)</f>
        <v>0</v>
      </c>
      <c r="D38" s="22">
        <f>SUMIFS(Daten!K:K,Daten!F:F,"STOCK",Daten!E:E,"SELL")</f>
        <v>0</v>
      </c>
    </row>
    <row r="39" spans="1:4" s="12" customFormat="1" ht="15.75" x14ac:dyDescent="0.25">
      <c r="A39" s="13" t="s">
        <v>180</v>
      </c>
      <c r="B39" s="14">
        <f>SUMIFS(Auswertung!H:H,Auswertung!B:B,"FUND")</f>
        <v>0</v>
      </c>
      <c r="C39" s="15">
        <f>IF(ABS(B36)&gt;0,B39/B36,0)</f>
        <v>0</v>
      </c>
      <c r="D39" s="22">
        <f>SUMIFS(Daten!K:K,Daten!F:F,"FUND",Daten!E:E,"SELL")</f>
        <v>0</v>
      </c>
    </row>
    <row r="40" spans="1:4" s="12" customFormat="1" ht="15.75" x14ac:dyDescent="0.25">
      <c r="A40" s="13" t="s">
        <v>181</v>
      </c>
      <c r="B40" s="14">
        <f>SUMIFS(Auswertung!H:H,Auswertung!B:B,"CRYPTO")</f>
        <v>0</v>
      </c>
      <c r="C40" s="15">
        <f>IF(ABS(B36)&gt;0,B40/B36,0)</f>
        <v>0</v>
      </c>
      <c r="D40" s="22">
        <f>SUMIFS(Daten!K:K,Daten!F:F,"CRYPTO",Daten!E:E,"SELL")</f>
        <v>0</v>
      </c>
    </row>
    <row r="41" spans="1:4" s="12" customFormat="1" ht="15.75" x14ac:dyDescent="0.25">
      <c r="A41" s="13"/>
      <c r="B41" s="14"/>
      <c r="C41" s="11"/>
    </row>
    <row r="42" spans="1:4" s="12" customFormat="1" ht="15.75" x14ac:dyDescent="0.25">
      <c r="A42" s="13" t="s">
        <v>46</v>
      </c>
      <c r="B42" s="14">
        <f>SUM(Auswertung!I:I)</f>
        <v>7</v>
      </c>
      <c r="C42" s="14">
        <f>-SUM(Daten!L:L)</f>
        <v>7</v>
      </c>
      <c r="D42" s="23"/>
    </row>
    <row r="43" spans="1:4" s="12" customFormat="1" ht="15.75" x14ac:dyDescent="0.25">
      <c r="A43" s="13" t="s">
        <v>156</v>
      </c>
      <c r="B43" s="14">
        <f>SUMIFS(Auswertung!I:I,Auswertung!B:B,"STOCK")+SUMIFS(Auswertung!I:I,Auswertung!B:B,"FUND")</f>
        <v>7</v>
      </c>
      <c r="C43" s="14">
        <f xml:space="preserve"> -SUMIFS(Daten!L:L,Daten!F:F,"STOCK")-SUMIFS(Daten!L:L,Daten!F:F,"FUND")</f>
        <v>7</v>
      </c>
      <c r="D43" s="23">
        <f>IF(ABS(C42)&gt;0,C43/C42,0)</f>
        <v>1</v>
      </c>
    </row>
    <row r="44" spans="1:4" s="12" customFormat="1" ht="15.75" x14ac:dyDescent="0.25">
      <c r="A44" s="13" t="s">
        <v>91</v>
      </c>
      <c r="B44" s="14">
        <f>SUMIFS(Auswertung!I:I,Auswertung!B:B,"STOCK")</f>
        <v>1</v>
      </c>
      <c r="C44" s="14">
        <f xml:space="preserve"> -SUMIFS(Daten!L:L,Daten!F:F,"STOCK")</f>
        <v>1</v>
      </c>
      <c r="D44" s="23">
        <f>IF(ABS(C42)&gt;0,C44/C42,0)</f>
        <v>0.14285714285714285</v>
      </c>
    </row>
    <row r="45" spans="1:4" s="12" customFormat="1" ht="15.75" x14ac:dyDescent="0.25">
      <c r="A45" s="13" t="s">
        <v>92</v>
      </c>
      <c r="B45" s="14">
        <f>SUMIFS(Auswertung!I:I,Auswertung!B:B,"FUND")</f>
        <v>6</v>
      </c>
      <c r="C45" s="14">
        <f xml:space="preserve"> -SUMIFS(Daten!L:L,Daten!F:F,"FUND")</f>
        <v>6</v>
      </c>
      <c r="D45" s="23">
        <f>IF(ABS(C42)&gt;0,C45/C42,0)</f>
        <v>0.8571428571428571</v>
      </c>
    </row>
    <row r="46" spans="1:4" s="12" customFormat="1" ht="15.75" x14ac:dyDescent="0.25">
      <c r="A46" s="13" t="s">
        <v>93</v>
      </c>
      <c r="B46" s="14">
        <f>SUMIFS(Auswertung!I:I,Auswertung!B:B,"CRYPTO")</f>
        <v>0</v>
      </c>
      <c r="C46" s="14">
        <f xml:space="preserve"> -SUMIFS(Daten!L:L,Daten!F:F,"CRYPTO")</f>
        <v>0</v>
      </c>
      <c r="D46" s="23">
        <f>IF(ABS(C42)&gt;0,C46/C42,0)</f>
        <v>0</v>
      </c>
    </row>
    <row r="47" spans="1:4" s="12" customFormat="1" ht="15.75" x14ac:dyDescent="0.25">
      <c r="A47" s="13"/>
      <c r="B47" s="14"/>
      <c r="C47" s="11"/>
    </row>
    <row r="48" spans="1:4" s="12" customFormat="1" ht="15.75" x14ac:dyDescent="0.25">
      <c r="A48" s="13" t="s">
        <v>140</v>
      </c>
      <c r="B48" s="14">
        <f xml:space="preserve"> -SUMIFS(Daten!L:L,Daten!E:E,"BUY")</f>
        <v>7</v>
      </c>
      <c r="C48" s="11"/>
    </row>
    <row r="49" spans="1:3" s="12" customFormat="1" ht="15.75" x14ac:dyDescent="0.25">
      <c r="A49" s="13" t="s">
        <v>157</v>
      </c>
      <c r="B49" s="14">
        <f xml:space="preserve"> -SUMIFS(Daten!L:L,Daten!E:E,"BUY",Daten!F:F,"STOCK")-SUMIFS(Daten!L:L,Daten!E:E,"BUY",Daten!F:F,"FUND")</f>
        <v>7</v>
      </c>
      <c r="C49" s="15">
        <f>IF(ABS(B48)&gt;0,B49/B48,0)</f>
        <v>1</v>
      </c>
    </row>
    <row r="50" spans="1:3" s="12" customFormat="1" ht="15.75" x14ac:dyDescent="0.25">
      <c r="A50" s="13" t="s">
        <v>141</v>
      </c>
      <c r="B50" s="14">
        <f xml:space="preserve"> -SUMIFS(Daten!L:L,Daten!E:E,"BUY",Daten!F:F,"STOCK")</f>
        <v>1</v>
      </c>
      <c r="C50" s="15">
        <f>IF(ABS(B48)&gt;0,B50/B48,0)</f>
        <v>0.14285714285714285</v>
      </c>
    </row>
    <row r="51" spans="1:3" s="12" customFormat="1" ht="15.75" x14ac:dyDescent="0.25">
      <c r="A51" s="13" t="s">
        <v>142</v>
      </c>
      <c r="B51" s="14">
        <f xml:space="preserve"> -SUMIFS(Daten!L:L,Daten!E:E,"BUY",Daten!F:F,"FUND")</f>
        <v>6</v>
      </c>
      <c r="C51" s="15">
        <f>IF(ABS(B48)&gt;0,B51/B48,0)</f>
        <v>0.8571428571428571</v>
      </c>
    </row>
    <row r="52" spans="1:3" s="12" customFormat="1" ht="15.75" x14ac:dyDescent="0.25">
      <c r="A52" s="13" t="s">
        <v>143</v>
      </c>
      <c r="B52" s="14">
        <f xml:space="preserve"> -SUMIFS(Daten!L:L,Daten!E:E,"BUY",Daten!F:F,"CRYPTO")</f>
        <v>0</v>
      </c>
      <c r="C52" s="15">
        <f>IF(ABS(B48)&gt;0,B52/B48,0)</f>
        <v>0</v>
      </c>
    </row>
    <row r="53" spans="1:3" s="12" customFormat="1" ht="15.75" x14ac:dyDescent="0.25">
      <c r="A53" s="13"/>
      <c r="B53" s="14"/>
      <c r="C53" s="11"/>
    </row>
    <row r="54" spans="1:3" s="12" customFormat="1" ht="15.75" x14ac:dyDescent="0.25">
      <c r="A54" s="13" t="s">
        <v>145</v>
      </c>
      <c r="B54" s="14">
        <f xml:space="preserve"> -SUMIFS(Daten!L:L,Daten!E:E,"SELL")</f>
        <v>0</v>
      </c>
      <c r="C54" s="15"/>
    </row>
    <row r="55" spans="1:3" s="12" customFormat="1" ht="15.75" x14ac:dyDescent="0.25">
      <c r="A55" s="13" t="s">
        <v>158</v>
      </c>
      <c r="B55" s="14">
        <f xml:space="preserve"> -SUMIFS(Daten!L:L,Daten!E:E,"SELL",Daten!F:F,"STOCK")-SUMIFS(Daten!L:L,Daten!E:E,"SELL",Daten!F:F,"FUND")</f>
        <v>0</v>
      </c>
      <c r="C55" s="15">
        <f>IF(ABS(B54)&gt;0,B55/B54,0)</f>
        <v>0</v>
      </c>
    </row>
    <row r="56" spans="1:3" s="12" customFormat="1" ht="15.75" x14ac:dyDescent="0.25">
      <c r="A56" s="13" t="s">
        <v>144</v>
      </c>
      <c r="B56" s="14">
        <f xml:space="preserve"> -SUMIFS(Daten!L:L,Daten!E:E,"SELL",Daten!F:F,"STOCK")</f>
        <v>0</v>
      </c>
      <c r="C56" s="15">
        <f>IF(ABS(B54)&gt;0,B56/B54,0)</f>
        <v>0</v>
      </c>
    </row>
    <row r="57" spans="1:3" s="12" customFormat="1" ht="15.75" x14ac:dyDescent="0.25">
      <c r="A57" s="13" t="s">
        <v>146</v>
      </c>
      <c r="B57" s="14">
        <f xml:space="preserve"> -SUMIFS(Daten!L:L,Daten!E:E,"SELL",Daten!F:F,"FUND")</f>
        <v>0</v>
      </c>
      <c r="C57" s="15">
        <f>IF(ABS(B54)&gt;0,B57/B54,0)</f>
        <v>0</v>
      </c>
    </row>
    <row r="58" spans="1:3" s="12" customFormat="1" ht="15.75" x14ac:dyDescent="0.25">
      <c r="A58" s="13" t="s">
        <v>147</v>
      </c>
      <c r="B58" s="14">
        <f xml:space="preserve"> -SUMIFS(Daten!L:L,Daten!E:E,"SELL",Daten!F:F,"CRYPTO")</f>
        <v>0</v>
      </c>
      <c r="C58" s="15">
        <f>IF(ABS(B54)&gt;0,B58/B54,0)</f>
        <v>0</v>
      </c>
    </row>
    <row r="59" spans="1:3" s="12" customFormat="1" ht="15.75" x14ac:dyDescent="0.25">
      <c r="A59" s="13"/>
      <c r="B59" s="14"/>
      <c r="C59" s="15"/>
    </row>
    <row r="60" spans="1:3" s="12" customFormat="1" ht="15.75" x14ac:dyDescent="0.25">
      <c r="A60" s="13" t="s">
        <v>184</v>
      </c>
      <c r="B60" s="29">
        <f xml:space="preserve"> SUM(Auswertung!U:U)</f>
        <v>7</v>
      </c>
      <c r="C60" s="15"/>
    </row>
    <row r="61" spans="1:3" s="12" customFormat="1" ht="15.75" x14ac:dyDescent="0.25">
      <c r="A61" s="13" t="s">
        <v>185</v>
      </c>
      <c r="B61" s="29">
        <f xml:space="preserve"> SUMIFS(Auswertung!U:U,Auswertung!B:B,"STOCK")+SUMIFS(Auswertung!U:U,Auswertung!B:B,"FUND")</f>
        <v>7</v>
      </c>
      <c r="C61" s="15">
        <f>IF(ABS(B60)&gt;0,B61/B60,0)</f>
        <v>1</v>
      </c>
    </row>
    <row r="62" spans="1:3" s="12" customFormat="1" ht="15.75" x14ac:dyDescent="0.25">
      <c r="A62" s="13" t="s">
        <v>186</v>
      </c>
      <c r="B62" s="29">
        <f>SUMIFS(Auswertung!U:U,Auswertung!B:B,"STOCK")</f>
        <v>1</v>
      </c>
      <c r="C62" s="15">
        <f>IF(ABS(B60)&gt;0,B62/B60,0)</f>
        <v>0.14285714285714285</v>
      </c>
    </row>
    <row r="63" spans="1:3" s="12" customFormat="1" ht="15.75" x14ac:dyDescent="0.25">
      <c r="A63" s="13" t="s">
        <v>187</v>
      </c>
      <c r="B63" s="29">
        <f>SUMIFS(Auswertung!U:U,Auswertung!B:B,"FUND")</f>
        <v>6</v>
      </c>
      <c r="C63" s="15">
        <f>IF(ABS(B60)&gt;0,B63/B60,0)</f>
        <v>0.8571428571428571</v>
      </c>
    </row>
    <row r="64" spans="1:3" s="12" customFormat="1" ht="15.75" x14ac:dyDescent="0.25">
      <c r="A64" s="13" t="s">
        <v>188</v>
      </c>
      <c r="B64" s="29">
        <f>SUMIFS(Auswertung!U:U,Auswertung!B:B,"CRYPTO")</f>
        <v>0</v>
      </c>
      <c r="C64" s="15">
        <f>IF(ABS(B60)&gt;0,B64/B60,0)</f>
        <v>0</v>
      </c>
    </row>
    <row r="65" spans="1:3" s="12" customFormat="1" ht="15.75" x14ac:dyDescent="0.25">
      <c r="A65" s="13"/>
      <c r="B65" s="29"/>
      <c r="C65" s="15"/>
    </row>
    <row r="66" spans="1:3" s="12" customFormat="1" ht="15.75" x14ac:dyDescent="0.25">
      <c r="A66" s="13" t="s">
        <v>189</v>
      </c>
      <c r="B66" s="29">
        <f xml:space="preserve"> SUM(Auswertung!V:V)</f>
        <v>0</v>
      </c>
      <c r="C66" s="15"/>
    </row>
    <row r="67" spans="1:3" s="12" customFormat="1" ht="15.75" x14ac:dyDescent="0.25">
      <c r="A67" s="13" t="s">
        <v>190</v>
      </c>
      <c r="B67" s="29">
        <f xml:space="preserve"> SUMIFS(Auswertung!V:V,Auswertung!B:B,"STOCK")+SUMIFS(Auswertung!V:V,Auswertung!B:B,"FUND")</f>
        <v>0</v>
      </c>
      <c r="C67" s="15">
        <f>IF(ABS(B66)&gt;0,B67/B66,0)</f>
        <v>0</v>
      </c>
    </row>
    <row r="68" spans="1:3" s="12" customFormat="1" ht="15.75" x14ac:dyDescent="0.25">
      <c r="A68" s="13" t="s">
        <v>191</v>
      </c>
      <c r="B68" s="29">
        <f>SUMIFS(Auswertung!V:V,Auswertung!B:B,"STOCK")</f>
        <v>0</v>
      </c>
      <c r="C68" s="15">
        <f>IF(ABS(B66)&gt;0,B68/B66,0)</f>
        <v>0</v>
      </c>
    </row>
    <row r="69" spans="1:3" s="12" customFormat="1" ht="15.75" x14ac:dyDescent="0.25">
      <c r="A69" s="13" t="s">
        <v>192</v>
      </c>
      <c r="B69" s="29">
        <f>SUMIFS(Auswertung!V:V,Auswertung!B:B,"FUND")</f>
        <v>0</v>
      </c>
      <c r="C69" s="15">
        <f>IF(ABS(B66)&gt;0,B69/B66,0)</f>
        <v>0</v>
      </c>
    </row>
    <row r="70" spans="1:3" s="12" customFormat="1" ht="15.75" x14ac:dyDescent="0.25">
      <c r="A70" s="13" t="s">
        <v>193</v>
      </c>
      <c r="B70" s="29">
        <f>SUMIFS(Auswertung!V:V,Auswertung!B:B,"CRYPTO")</f>
        <v>0</v>
      </c>
      <c r="C70" s="15">
        <f>IF(ABS(B66)&gt;0,B70/B66,0)</f>
        <v>0</v>
      </c>
    </row>
    <row r="71" spans="1:3" s="12" customFormat="1" ht="15.75" x14ac:dyDescent="0.25">
      <c r="A71" s="13"/>
      <c r="B71" s="29"/>
      <c r="C71" s="11"/>
    </row>
    <row r="72" spans="1:3" s="12" customFormat="1" ht="15.75" x14ac:dyDescent="0.25">
      <c r="A72" s="13" t="s">
        <v>88</v>
      </c>
      <c r="B72" s="14">
        <f>SUM(Auswertung!K:K)</f>
        <v>-516.28</v>
      </c>
      <c r="C72" s="11"/>
    </row>
    <row r="73" spans="1:3" s="12" customFormat="1" ht="15.75" x14ac:dyDescent="0.25">
      <c r="A73" s="13" t="s">
        <v>89</v>
      </c>
      <c r="B73" s="14">
        <f>SUMIFS(Auswertung!K:K,Auswertung!B:B,"STOCK") + SUMIFS(Auswertung!K:K,Auswertung!B:B,"FUND")</f>
        <v>-516.28</v>
      </c>
      <c r="C73" s="15">
        <f>IF(ABS(B72)&gt;0,B73/B72,0)</f>
        <v>1</v>
      </c>
    </row>
    <row r="74" spans="1:3" s="12" customFormat="1" ht="15.75" x14ac:dyDescent="0.25">
      <c r="A74" s="13" t="s">
        <v>109</v>
      </c>
      <c r="B74" s="14">
        <f>SUMIFS(Auswertung!K:K,Auswertung!B:B,"STOCK")</f>
        <v>-51</v>
      </c>
      <c r="C74" s="15">
        <f>IF(ABS(B72)&gt;0,B74/B72,0)</f>
        <v>9.8783605795304874E-2</v>
      </c>
    </row>
    <row r="75" spans="1:3" s="12" customFormat="1" ht="15.75" x14ac:dyDescent="0.25">
      <c r="A75" s="13" t="s">
        <v>110</v>
      </c>
      <c r="B75" s="14">
        <f>SUMIFS(Auswertung!K:K,Auswertung!B:B,"FUND")</f>
        <v>-465.28</v>
      </c>
      <c r="C75" s="15">
        <f>IF(ABS(B72)&gt;0,B75/B72,0)</f>
        <v>0.90121639420469513</v>
      </c>
    </row>
    <row r="76" spans="1:3" s="12" customFormat="1" ht="15.75" x14ac:dyDescent="0.25">
      <c r="A76" s="13" t="s">
        <v>90</v>
      </c>
      <c r="B76" s="14">
        <f>SUMIFS(Auswertung!K:K,Auswertung!B:B,"CRYPTO")</f>
        <v>0</v>
      </c>
      <c r="C76" s="15">
        <f>IF(ABS(B72)&gt;0,B76/B72,0)</f>
        <v>0</v>
      </c>
    </row>
    <row r="77" spans="1:3" s="12" customFormat="1" ht="15.75" x14ac:dyDescent="0.25">
      <c r="A77" s="13"/>
      <c r="B77" s="14"/>
      <c r="C77" s="11"/>
    </row>
    <row r="78" spans="1:3" s="12" customFormat="1" ht="15.75" x14ac:dyDescent="0.25">
      <c r="A78" s="13" t="s">
        <v>123</v>
      </c>
      <c r="B78" s="14">
        <f>SUM(Auswertung!S:S)+ SUM(Daten!M:M)</f>
        <v>0</v>
      </c>
      <c r="C78" s="11"/>
    </row>
    <row r="79" spans="1:3" s="12" customFormat="1" ht="15.75" x14ac:dyDescent="0.25">
      <c r="A79" s="13" t="s">
        <v>124</v>
      </c>
      <c r="B79" s="14">
        <f>SUMIFS(Auswertung!S:S,Auswertung!B:B,"STOCK") + SUMIFS(Auswertung!S:S,Auswertung!B:B,"FUND") + SUMIFS(Daten!M:M,Daten!F:F,"STOCK")+SUMIFS(Daten!M:M,Daten!F:F,"FUND")</f>
        <v>0</v>
      </c>
      <c r="C79" s="15">
        <f>IF(ABS(B78)&gt;0,B79/B78,0)</f>
        <v>0</v>
      </c>
    </row>
    <row r="80" spans="1:3" s="12" customFormat="1" ht="15.75" x14ac:dyDescent="0.25">
      <c r="A80" s="13" t="s">
        <v>125</v>
      </c>
      <c r="B80" s="14">
        <f>SUMIFS(Auswertung!S:S,Auswertung!B:B,"STOCK")+ SUMIFS(Daten!M:M,Daten!F:F,"STOCK")</f>
        <v>0</v>
      </c>
      <c r="C80" s="15">
        <f>IF(ABS(B78)&gt;0,B80/B78,0)</f>
        <v>0</v>
      </c>
    </row>
    <row r="81" spans="1:3" s="12" customFormat="1" ht="15.75" x14ac:dyDescent="0.25">
      <c r="A81" s="13" t="s">
        <v>126</v>
      </c>
      <c r="B81" s="14">
        <f>SUMIFS(Auswertung!S:S,Auswertung!B:B,"FUND")+ SUMIFS(Daten!M:M,Daten!F:F,"FUND")</f>
        <v>0</v>
      </c>
      <c r="C81" s="15">
        <f>IF(ABS(B78)&gt;0,B81/B78,0)</f>
        <v>0</v>
      </c>
    </row>
    <row r="82" spans="1:3" s="12" customFormat="1" ht="15.75" x14ac:dyDescent="0.25">
      <c r="A82" s="13" t="s">
        <v>127</v>
      </c>
      <c r="B82" s="14">
        <f>SUMIFS(Auswertung!S:S,Auswertung!B:B,"CRYPTO")+ SUMIFS(Daten!M:M,Daten!F:F,"CRYPTO")</f>
        <v>0</v>
      </c>
      <c r="C82" s="15">
        <f>IF(ABS(B78)&gt;0,B82/B78,0)</f>
        <v>0</v>
      </c>
    </row>
    <row r="83" spans="1:3" s="12" customFormat="1" ht="15.75" x14ac:dyDescent="0.25">
      <c r="A83" s="13"/>
      <c r="B83" s="14"/>
      <c r="C83" s="11"/>
    </row>
    <row r="84" spans="1:3" s="12" customFormat="1" ht="15.75" x14ac:dyDescent="0.25">
      <c r="A84" s="13" t="s">
        <v>68</v>
      </c>
      <c r="B84" s="14">
        <f xml:space="preserve"> SUM(Daten!M:M)</f>
        <v>0</v>
      </c>
      <c r="C84" s="11"/>
    </row>
    <row r="85" spans="1:3" s="12" customFormat="1" ht="15.75" x14ac:dyDescent="0.25">
      <c r="A85" s="13" t="s">
        <v>182</v>
      </c>
      <c r="B85" s="14">
        <f xml:space="preserve"> SUMIFS(Daten!M:M,Daten!F:F,"STOCK")+SUMIFS(Daten!M:M,Daten!F:F,"FUND")+ SUMIFS(Daten!M:M,Daten!E:E,"TAX_OPTIMIZATION")</f>
        <v>0</v>
      </c>
      <c r="C85" s="11"/>
    </row>
    <row r="86" spans="1:3" s="12" customFormat="1" ht="15.75" x14ac:dyDescent="0.25">
      <c r="A86" s="13" t="s">
        <v>94</v>
      </c>
      <c r="B86" s="14">
        <f xml:space="preserve"> SUMIFS(Daten!M:M,Daten!F:F,"STOCK")+ SUMIFS(Daten!M:M,Daten!E:E,"TAX_OPTIMIZATION")</f>
        <v>0</v>
      </c>
      <c r="C86" s="11"/>
    </row>
    <row r="87" spans="1:3" s="12" customFormat="1" ht="15.75" x14ac:dyDescent="0.25">
      <c r="A87" s="13" t="s">
        <v>95</v>
      </c>
      <c r="B87" s="14">
        <f xml:space="preserve"> SUMIFS(Daten!M:M,Daten!F:F,"FUND")</f>
        <v>0</v>
      </c>
      <c r="C87" s="11"/>
    </row>
    <row r="88" spans="1:3" s="12" customFormat="1" ht="15.75" x14ac:dyDescent="0.25">
      <c r="A88" s="13" t="s">
        <v>96</v>
      </c>
      <c r="B88" s="14">
        <f xml:space="preserve"> SUMIFS(Daten!M:M,Daten!F:F,"CRYPTO")</f>
        <v>0</v>
      </c>
      <c r="C88" s="11"/>
    </row>
    <row r="89" spans="1:3" s="12" customFormat="1" ht="15.75" x14ac:dyDescent="0.25">
      <c r="A89" s="13" t="s">
        <v>97</v>
      </c>
      <c r="B89" s="14">
        <f xml:space="preserve"> SUMIFS(Daten!M:M,Daten!E:E,"TAX_OPTIMIZATION")</f>
        <v>0</v>
      </c>
      <c r="C89" s="11"/>
    </row>
    <row r="90" spans="1:3" s="12" customFormat="1" ht="15.75" x14ac:dyDescent="0.25">
      <c r="A90" s="13"/>
      <c r="B90" s="14"/>
      <c r="C90" s="11"/>
    </row>
    <row r="91" spans="1:3" s="12" customFormat="1" ht="15.75" x14ac:dyDescent="0.25">
      <c r="A91" s="13" t="s">
        <v>69</v>
      </c>
      <c r="B91" s="14">
        <f>SUMIFS(Auswertung!P:P,Auswertung!L:L,"OFFEN")</f>
        <v>550.33706945370022</v>
      </c>
      <c r="C91" s="11"/>
    </row>
    <row r="92" spans="1:3" s="12" customFormat="1" ht="15.75" x14ac:dyDescent="0.25">
      <c r="A92" s="13" t="s">
        <v>75</v>
      </c>
      <c r="B92" s="14">
        <f>SUMIFS(Auswertung!P:P,Auswertung!L:L,"OFFEN",Auswertung!B:B,"STOCK")
+SUMIFS(Auswertung!P:P,Auswertung!L:L,"OFFEN",Auswertung!B:B,"FUND")</f>
        <v>550.33706945370022</v>
      </c>
      <c r="C92" s="15">
        <f>IF(ABS(B91)&gt;0,B92/B91,0)</f>
        <v>1</v>
      </c>
    </row>
    <row r="93" spans="1:3" s="12" customFormat="1" ht="15.75" x14ac:dyDescent="0.25">
      <c r="A93" s="13" t="s">
        <v>107</v>
      </c>
      <c r="B93" s="14">
        <f>SUMIFS(Auswertung!P:P,Auswertung!L:L,"OFFEN",Auswertung!B:B,"STOCK")</f>
        <v>49.708968773700008</v>
      </c>
      <c r="C93" s="15">
        <f>IF(ABS(B91)&gt;0,B93/B91,0)</f>
        <v>9.0324587480622207E-2</v>
      </c>
    </row>
    <row r="94" spans="1:3" s="12" customFormat="1" ht="15.75" x14ac:dyDescent="0.25">
      <c r="A94" s="13" t="s">
        <v>108</v>
      </c>
      <c r="B94" s="14">
        <f>SUMIFS(Auswertung!P:P,Auswertung!L:L,"OFFEN",Auswertung!B:B,"FUND")</f>
        <v>500.62810068000016</v>
      </c>
      <c r="C94" s="15">
        <f>IF(ABS(B91)&gt;0,B94/B91,0)</f>
        <v>0.90967541251937767</v>
      </c>
    </row>
    <row r="95" spans="1:3" s="12" customFormat="1" ht="15.75" x14ac:dyDescent="0.25">
      <c r="A95" s="13" t="s">
        <v>76</v>
      </c>
      <c r="B95" s="14">
        <f>SUMIFS(Auswertung!P:P,Auswertung!L:L,"OFFEN",Auswertung!B:B,"CRYPTO")</f>
        <v>0</v>
      </c>
      <c r="C95" s="15">
        <f>IF(ABS(B91)&gt;0,B95/B91,0)</f>
        <v>0</v>
      </c>
    </row>
    <row r="96" spans="1:3" s="12" customFormat="1" ht="15.75" x14ac:dyDescent="0.25">
      <c r="A96" s="13"/>
      <c r="B96" s="14"/>
      <c r="C96" s="11"/>
    </row>
    <row r="97" spans="1:3" s="12" customFormat="1" ht="15.75" x14ac:dyDescent="0.25">
      <c r="A97" s="13" t="s">
        <v>71</v>
      </c>
      <c r="B97" s="14">
        <f xml:space="preserve"> SUMIFS(Daten!K:K,Daten!E:E,"TRANSFER_INSTANT_INBOUND")
+ SUMIFS(Daten!K:K,Daten!E:E,"TRANSFER_IN")
+ SUMIFS(Daten!K:K,Daten!E:E,"GIFT")
+ SUMIFS(Daten!K:K,Daten!E:E,"DIVIDEND")
+ SUMIFS(Daten!K:K,Daten!E:E,"CUSTOMER_INPAYMENT")</f>
        <v>526.29999999999995</v>
      </c>
      <c r="C97" s="11"/>
    </row>
    <row r="98" spans="1:3" s="12" customFormat="1" ht="15.75" x14ac:dyDescent="0.25">
      <c r="A98" s="13" t="s">
        <v>72</v>
      </c>
      <c r="B98" s="14">
        <f xml:space="preserve"> SUMIFS(Daten!K:K,Daten!E:E,"TRANSFER_INSTANT_OUTBOUND") + SUMIFS(Daten!K:K,Daten!E:E,"TRANSFER_OUT") + SUMIFS(Daten!K:K,Daten!E:E,"TRANSFER_OUTBOUND")</f>
        <v>-10.27</v>
      </c>
      <c r="C98" s="11"/>
    </row>
    <row r="99" spans="1:3" s="12" customFormat="1" ht="15.75" x14ac:dyDescent="0.25">
      <c r="A99" s="13"/>
      <c r="B99" s="14"/>
      <c r="C99" s="11"/>
    </row>
    <row r="100" spans="1:3" s="12" customFormat="1" ht="15.75" x14ac:dyDescent="0.25">
      <c r="A100" s="13" t="s">
        <v>73</v>
      </c>
      <c r="B100" s="14">
        <f>SUMIFS(Daten!K:K,Daten!E:E,"BUY")+SUMIFS(Daten!L:L,Daten!E:E,"BUY")</f>
        <v>-516.28</v>
      </c>
      <c r="C100" s="11"/>
    </row>
    <row r="101" spans="1:3" s="12" customFormat="1" ht="15.75" x14ac:dyDescent="0.25">
      <c r="A101" s="13" t="s">
        <v>98</v>
      </c>
      <c r="B101" s="14">
        <f>SUMIFS(Daten!K:K,Daten!E:E,"BUY",Daten!F:F,"STOCK")+SUMIFS(Daten!L:L,Daten!E:E,"BUY",Daten!F:F,"STOCK")</f>
        <v>-51</v>
      </c>
      <c r="C101" s="15">
        <f>IF(ABS(B100)&gt;0,B101/B100,0)</f>
        <v>9.8783605795304874E-2</v>
      </c>
    </row>
    <row r="102" spans="1:3" s="12" customFormat="1" ht="15.75" x14ac:dyDescent="0.25">
      <c r="A102" s="13" t="s">
        <v>99</v>
      </c>
      <c r="B102" s="14">
        <f>SUMIFS(Daten!K:K,Daten!E:E,"BUY",Daten!F:F,"FUND")+SUMIFS(Daten!L:L,Daten!E:E,"BUY",Daten!F:F,"FUND")</f>
        <v>-465.28</v>
      </c>
      <c r="C102" s="15">
        <f>IF(ABS(B100)&gt;0,B102/B100,0)</f>
        <v>0.90121639420469513</v>
      </c>
    </row>
    <row r="103" spans="1:3" s="12" customFormat="1" ht="15.75" x14ac:dyDescent="0.25">
      <c r="A103" s="13" t="s">
        <v>100</v>
      </c>
      <c r="B103" s="14">
        <f>SUMIFS(Daten!K:K,Daten!E:E,"BUY",Daten!F:F,"CRYPTO")+SUMIFS(Daten!L:L,Daten!E:E,"BUY",Daten!F:F,"CRYPTO")</f>
        <v>0</v>
      </c>
      <c r="C103" s="15">
        <f>IF(ABS(B100)&gt;0,B103/B100,0)</f>
        <v>0</v>
      </c>
    </row>
    <row r="104" spans="1:3" s="12" customFormat="1" ht="15.75" x14ac:dyDescent="0.25">
      <c r="A104" s="13"/>
      <c r="B104" s="14"/>
      <c r="C104" s="11"/>
    </row>
    <row r="105" spans="1:3" s="12" customFormat="1" ht="15.75" x14ac:dyDescent="0.25">
      <c r="A105" s="13" t="s">
        <v>74</v>
      </c>
      <c r="B105" s="14">
        <f>SUMIFS(Daten!K:K,Daten!E:E,"SELL")-SUMIFS(Daten!L:L,Daten!E:E,"SELL")</f>
        <v>0</v>
      </c>
      <c r="C105" s="11"/>
    </row>
    <row r="106" spans="1:3" s="12" customFormat="1" ht="15.75" x14ac:dyDescent="0.25">
      <c r="A106" s="13" t="s">
        <v>101</v>
      </c>
      <c r="B106" s="14">
        <f>SUMIFS(Daten!K:K,Daten!E:E,"SELL",Daten!F:F,"STOCK")-SUMIFS(Daten!L:L,Daten!E:E,"SELL",Daten!F:F,"STOCK")</f>
        <v>0</v>
      </c>
      <c r="C106" s="15">
        <f>IF(ABS(B105)&gt;0,B106/B105,0)</f>
        <v>0</v>
      </c>
    </row>
    <row r="107" spans="1:3" s="12" customFormat="1" ht="15.75" x14ac:dyDescent="0.25">
      <c r="A107" s="13" t="s">
        <v>102</v>
      </c>
      <c r="B107" s="14">
        <f>SUMIFS(Daten!K:K,Daten!E:E,"SELL",Daten!F:F,"FUND")-SUMIFS(Daten!L:L,Daten!E:E,"SELL",Daten!F:F,"FUND")</f>
        <v>0</v>
      </c>
      <c r="C107" s="15">
        <f>IF(ABS(B105)&gt;0,B107/B105,0)</f>
        <v>0</v>
      </c>
    </row>
    <row r="108" spans="1:3" s="12" customFormat="1" ht="15.75" x14ac:dyDescent="0.25">
      <c r="A108" s="13" t="s">
        <v>103</v>
      </c>
      <c r="B108" s="14">
        <f>SUMIFS(Daten!K:K,Daten!E:E,"SELL",Daten!F:F,"CRYPTO")-SUMIFS(Daten!L:L,Daten!E:E,"SELL",Daten!F:F,"CRYPTO")</f>
        <v>0</v>
      </c>
      <c r="C108" s="15">
        <f>IF(ABS(B105)&gt;0,B108/B105,0)</f>
        <v>0</v>
      </c>
    </row>
    <row r="109" spans="1:3" s="12" customFormat="1" ht="15.75" x14ac:dyDescent="0.25">
      <c r="A109" s="13"/>
      <c r="B109" s="14"/>
      <c r="C109" s="11"/>
    </row>
    <row r="110" spans="1:3" s="12" customFormat="1" ht="15.75" x14ac:dyDescent="0.25">
      <c r="A110" s="13" t="s">
        <v>112</v>
      </c>
      <c r="B110" s="14">
        <f>SUMIFS(Auswertung!Q:Q,Auswertung!L:L,"OFFEN")</f>
        <v>516.03096762700011</v>
      </c>
      <c r="C110" s="11"/>
    </row>
    <row r="111" spans="1:3" s="12" customFormat="1" ht="15.75" x14ac:dyDescent="0.25">
      <c r="A111" s="13" t="s">
        <v>113</v>
      </c>
      <c r="B111" s="14">
        <f>SUMIFS(Auswertung!Q:Q,Auswertung!L:L,"OFFEN",Auswertung!B:B,"STOCK")
+SUMIFS(Auswertung!Q:Q,Auswertung!L:L,"OFFEN",Auswertung!B:B,"FUND")</f>
        <v>516.03096762700011</v>
      </c>
      <c r="C111" s="15">
        <f>IF(ABS(B110)&gt;0,B111/B110,0)</f>
        <v>1</v>
      </c>
    </row>
    <row r="112" spans="1:3" s="12" customFormat="1" ht="15.75" x14ac:dyDescent="0.25">
      <c r="A112" s="13" t="s">
        <v>114</v>
      </c>
      <c r="B112" s="14">
        <f>SUMIFS(Auswertung!Q:Q,Auswertung!L:L,"OFFEN",Auswertung!B:B,"STOCK")</f>
        <v>51.001907686999999</v>
      </c>
      <c r="C112" s="15">
        <f>IF(ABS(B110)&gt;0,B112/B110,0)</f>
        <v>9.8834974810785847E-2</v>
      </c>
    </row>
    <row r="113" spans="1:4" s="12" customFormat="1" ht="15.75" x14ac:dyDescent="0.25">
      <c r="A113" s="13" t="s">
        <v>115</v>
      </c>
      <c r="B113" s="14">
        <f>SUMIFS(Auswertung!Q:Q,Auswertung!L:L,"OFFEN",Auswertung!B:B,"FUND")</f>
        <v>465.02905994000008</v>
      </c>
      <c r="C113" s="15">
        <f>IF(ABS(B110)&gt;0,B113/B110,0)</f>
        <v>0.90116502518921415</v>
      </c>
    </row>
    <row r="114" spans="1:4" s="12" customFormat="1" ht="15.75" x14ac:dyDescent="0.25">
      <c r="A114" s="13" t="s">
        <v>116</v>
      </c>
      <c r="B114" s="14">
        <f>SUMIFS(Auswertung!Q:Q,Auswertung!L:L,"OFFEN",Auswertung!B:B,"CRYPTO")</f>
        <v>0</v>
      </c>
      <c r="C114" s="15">
        <f>IF(ABS(B110)&gt;0,B114/B110,0)</f>
        <v>0</v>
      </c>
    </row>
    <row r="115" spans="1:4" s="12" customFormat="1" ht="15.75" x14ac:dyDescent="0.25">
      <c r="A115" s="13"/>
      <c r="B115" s="14"/>
      <c r="C115" s="11"/>
    </row>
    <row r="116" spans="1:4" s="12" customFormat="1" ht="15.75" x14ac:dyDescent="0.25">
      <c r="A116" s="13" t="s">
        <v>129</v>
      </c>
      <c r="B116" s="14">
        <f>SUMIFS(Auswertung!O:O,Auswertung!O:O,"&lt;0",Auswertung!L:L,"OFFEN")</f>
        <v>-1.2929389132999916</v>
      </c>
      <c r="C116" s="15"/>
    </row>
    <row r="117" spans="1:4" s="12" customFormat="1" ht="15.75" x14ac:dyDescent="0.25">
      <c r="A117" s="13" t="s">
        <v>130</v>
      </c>
      <c r="B117" s="14">
        <f>SUMIFS(Auswertung!O:O,Auswertung!O:O,"&lt;0",Auswertung!B:B,"STOCK",Auswertung!L:L,"OFFEN")
+SUMIFS(Auswertung!O:O,Auswertung!O:O,"&lt;0",Auswertung!B:B,"FUND",Auswertung!L:L,"OFFEN")</f>
        <v>-1.2929389132999916</v>
      </c>
      <c r="C117" s="15">
        <f>IF(ABS(B116)&gt;0,B117/B116,0)</f>
        <v>1</v>
      </c>
    </row>
    <row r="118" spans="1:4" s="12" customFormat="1" ht="15.75" x14ac:dyDescent="0.25">
      <c r="A118" s="13" t="s">
        <v>148</v>
      </c>
      <c r="B118" s="14">
        <f>SUMIFS(Auswertung!O:O,Auswertung!O:O,"&lt;0",Auswertung!B:B,"STOCK",Auswertung!L:L,"OFFEN")</f>
        <v>-1.2929389132999916</v>
      </c>
      <c r="C118" s="15">
        <f>IF(ABS(B116)&gt;0,B118/B116,0)</f>
        <v>1</v>
      </c>
    </row>
    <row r="119" spans="1:4" s="12" customFormat="1" ht="15.75" x14ac:dyDescent="0.25">
      <c r="A119" s="13" t="s">
        <v>149</v>
      </c>
      <c r="B119" s="14">
        <f>SUMIFS(Auswertung!O:O,Auswertung!O:O,"&lt;0",Auswertung!B:B,"FUND",Auswertung!L:L,"OFFEN")</f>
        <v>0</v>
      </c>
      <c r="C119" s="15">
        <f>IF(ABS(B116)&gt;0,B119/B116,0)</f>
        <v>0</v>
      </c>
    </row>
    <row r="120" spans="1:4" s="12" customFormat="1" ht="15.75" x14ac:dyDescent="0.25">
      <c r="A120" s="13" t="s">
        <v>131</v>
      </c>
      <c r="B120" s="14">
        <f>SUMIFS(Auswertung!O:O,Auswertung!O:O,"&lt;0",Auswertung!B:B,"CRYPTO",Auswertung!L:L,"OFFEN")</f>
        <v>0</v>
      </c>
      <c r="C120" s="15">
        <f>IF(ABS(B116)&gt;0,B120/B116,0)</f>
        <v>0</v>
      </c>
    </row>
    <row r="121" spans="1:4" s="12" customFormat="1" ht="15.75" x14ac:dyDescent="0.25">
      <c r="A121" s="13"/>
      <c r="B121" s="14"/>
      <c r="C121" s="11"/>
    </row>
    <row r="122" spans="1:4" s="12" customFormat="1" ht="15.75" x14ac:dyDescent="0.25">
      <c r="A122" s="13" t="s">
        <v>132</v>
      </c>
      <c r="B122" s="14">
        <f>SUMIFS(Auswertung!O:O,Auswertung!O:O,"&gt;0",Auswertung!L:L,"OFFEN")</f>
        <v>35.599040740000078</v>
      </c>
      <c r="C122" s="15"/>
    </row>
    <row r="123" spans="1:4" s="12" customFormat="1" ht="15.75" x14ac:dyDescent="0.25">
      <c r="A123" s="13" t="s">
        <v>133</v>
      </c>
      <c r="B123" s="14">
        <f>SUMIFS(Auswertung!O:O,Auswertung!O:O,"&gt;0",Auswertung!B:B,"STOCK",Auswertung!L:L,"OFFEN")
+SUMIFS(Auswertung!O:O,Auswertung!O:O,"&gt;0",Auswertung!B:B,"FUND",Auswertung!L:L,"OFFEN")</f>
        <v>35.599040740000078</v>
      </c>
      <c r="C123" s="15">
        <f>IF(ABS(B122)&gt;0,B123/B122,0)</f>
        <v>1</v>
      </c>
    </row>
    <row r="124" spans="1:4" s="12" customFormat="1" ht="15.75" x14ac:dyDescent="0.25">
      <c r="A124" s="13" t="s">
        <v>150</v>
      </c>
      <c r="B124" s="14">
        <f>SUMIFS(Auswertung!O:O,Auswertung!O:O,"&gt;0",Auswertung!B:B,"STOCK",Auswertung!L:L,"OFFEN")</f>
        <v>0</v>
      </c>
      <c r="C124" s="15">
        <f>IF(ABS(B122)&gt;0,B124/B122,0)</f>
        <v>0</v>
      </c>
    </row>
    <row r="125" spans="1:4" s="12" customFormat="1" ht="15.75" x14ac:dyDescent="0.25">
      <c r="A125" s="13" t="s">
        <v>151</v>
      </c>
      <c r="B125" s="14">
        <f xml:space="preserve"> SUMIFS(Auswertung!O:O,Auswertung!O:O,"&gt;0",Auswertung!B:B,"FUND",Auswertung!L:L,"OFFEN")</f>
        <v>35.599040740000078</v>
      </c>
      <c r="C125" s="15">
        <f>IF(ABS(B122)&gt;0,B125/B122,0)</f>
        <v>1</v>
      </c>
    </row>
    <row r="126" spans="1:4" s="12" customFormat="1" ht="15.75" x14ac:dyDescent="0.25">
      <c r="A126" s="13" t="s">
        <v>134</v>
      </c>
      <c r="B126" s="14">
        <f>SUMIFS(Auswertung!O:O,Auswertung!O:O,"&gt;0",Auswertung!B:B,"CRYPTO",Auswertung!L:L,"OFFEN")</f>
        <v>0</v>
      </c>
      <c r="C126" s="15">
        <f>IF(ABS(B122)&gt;0,B126/B122,0)</f>
        <v>0</v>
      </c>
    </row>
    <row r="127" spans="1:4" s="12" customFormat="1" ht="15.75" x14ac:dyDescent="0.25">
      <c r="A127" s="13"/>
      <c r="B127" s="14"/>
      <c r="C127" s="11"/>
    </row>
    <row r="128" spans="1:4" s="12" customFormat="1" ht="15.75" x14ac:dyDescent="0.25">
      <c r="A128" s="13" t="s">
        <v>135</v>
      </c>
      <c r="B128" s="14">
        <f>SUMIFS(Auswertung!O:O,Auswertung!L:L,"OFFEN")</f>
        <v>34.306101826700086</v>
      </c>
      <c r="C128" s="14">
        <f>B91-B110</f>
        <v>34.306101826700115</v>
      </c>
      <c r="D128" s="22">
        <f>B116+B122</f>
        <v>34.306101826700086</v>
      </c>
    </row>
    <row r="129" spans="1:5" s="12" customFormat="1" ht="15.75" x14ac:dyDescent="0.25">
      <c r="A129" s="13" t="s">
        <v>136</v>
      </c>
      <c r="B129" s="14">
        <f>SUMIFS(Auswertung!O:O,Auswertung!B:B,"STOCK",Auswertung!L:L,"OFFEN")
+SUMIFS(Auswertung!O:O,Auswertung!B:B,"FUND",Auswertung!L:L,"OFFEN")</f>
        <v>34.306101826700086</v>
      </c>
      <c r="C129" s="14">
        <f>B92-B111</f>
        <v>34.306101826700115</v>
      </c>
      <c r="D129" s="22">
        <f>B117+B123</f>
        <v>34.306101826700086</v>
      </c>
      <c r="E129" s="23">
        <f>IF(ABS(B128)&gt;0,B129/B128,0)</f>
        <v>1</v>
      </c>
    </row>
    <row r="130" spans="1:5" s="12" customFormat="1" ht="15.75" x14ac:dyDescent="0.25">
      <c r="A130" s="13" t="s">
        <v>154</v>
      </c>
      <c r="B130" s="14">
        <f>SUMIFS(Auswertung!O:O,Auswertung!B:B,"STOCK",Auswertung!L:L,"OFFEN")</f>
        <v>-1.2929389132999916</v>
      </c>
      <c r="C130" s="14">
        <f>B93-B112</f>
        <v>-1.2929389132999916</v>
      </c>
      <c r="D130" s="22">
        <f>B118+B124</f>
        <v>-1.2929389132999916</v>
      </c>
      <c r="E130" s="23">
        <f>IF(ABS(B128)&gt;0,B130/B128,0)</f>
        <v>-3.7688307457121532E-2</v>
      </c>
    </row>
    <row r="131" spans="1:5" s="12" customFormat="1" ht="15.75" x14ac:dyDescent="0.25">
      <c r="A131" s="13" t="s">
        <v>155</v>
      </c>
      <c r="B131" s="14">
        <f>SUMIFS(Auswertung!O:O,Auswertung!B:B,"FUND",Auswertung!L:L,"OFFEN")</f>
        <v>35.599040740000078</v>
      </c>
      <c r="C131" s="14">
        <f>B94-B113</f>
        <v>35.599040740000078</v>
      </c>
      <c r="D131" s="22">
        <f>B119+B125</f>
        <v>35.599040740000078</v>
      </c>
      <c r="E131" s="23">
        <f>IF(ABS(B128)&gt;0,B131/B128,0)</f>
        <v>1.0376883074571215</v>
      </c>
    </row>
    <row r="132" spans="1:5" s="12" customFormat="1" ht="15.75" x14ac:dyDescent="0.25">
      <c r="A132" s="13" t="s">
        <v>137</v>
      </c>
      <c r="B132" s="14">
        <f>SUMIFS(Auswertung!O:O,Auswertung!B:B,"CRYPTO",Auswertung!L:L,"OFFEN")</f>
        <v>0</v>
      </c>
      <c r="C132" s="14">
        <f>B95-B114</f>
        <v>0</v>
      </c>
      <c r="D132" s="22">
        <f>B120+B126</f>
        <v>0</v>
      </c>
      <c r="E132" s="23">
        <f>IF(ABS(B128)&gt;0,B132/B128,0)</f>
        <v>0</v>
      </c>
    </row>
    <row r="133" spans="1:5" s="12" customFormat="1" ht="15.75" x14ac:dyDescent="0.25">
      <c r="A133" s="13"/>
      <c r="B133" s="14"/>
      <c r="C133" s="14"/>
      <c r="D133" s="22"/>
    </row>
    <row r="134" spans="1:5" s="12" customFormat="1" ht="15.75" x14ac:dyDescent="0.25">
      <c r="A134" s="13" t="s">
        <v>159</v>
      </c>
      <c r="B134" s="14">
        <f>B78+B128</f>
        <v>34.306101826700086</v>
      </c>
      <c r="C134" s="14"/>
      <c r="D134" s="22"/>
    </row>
    <row r="135" spans="1:5" s="12" customFormat="1" ht="15.75" x14ac:dyDescent="0.25">
      <c r="A135" s="13" t="s">
        <v>160</v>
      </c>
      <c r="B135" s="14">
        <f>B79+B129</f>
        <v>34.306101826700086</v>
      </c>
      <c r="C135" s="14"/>
      <c r="D135" s="22"/>
    </row>
    <row r="136" spans="1:5" s="12" customFormat="1" ht="15.75" x14ac:dyDescent="0.25">
      <c r="A136" s="13" t="s">
        <v>161</v>
      </c>
      <c r="B136" s="14">
        <f>B82+B132</f>
        <v>0</v>
      </c>
      <c r="C136" s="14"/>
      <c r="D136" s="22"/>
    </row>
    <row r="137" spans="1:5" s="12" customFormat="1" ht="15.75" x14ac:dyDescent="0.25">
      <c r="A137" s="13"/>
      <c r="B137" s="14"/>
      <c r="C137" s="11"/>
    </row>
    <row r="138" spans="1:5" s="12" customFormat="1" ht="15.75" x14ac:dyDescent="0.25">
      <c r="A138" s="13" t="s">
        <v>119</v>
      </c>
      <c r="B138" s="14">
        <f>B72+B91</f>
        <v>34.057069453700251</v>
      </c>
      <c r="C138" s="14"/>
    </row>
    <row r="139" spans="1:5" s="12" customFormat="1" ht="15.75" x14ac:dyDescent="0.25">
      <c r="A139" s="13" t="s">
        <v>117</v>
      </c>
      <c r="B139" s="14">
        <f>B73+B92</f>
        <v>34.057069453700251</v>
      </c>
      <c r="C139" s="14"/>
      <c r="D139" s="22"/>
    </row>
    <row r="140" spans="1:5" s="12" customFormat="1" ht="15.75" x14ac:dyDescent="0.25">
      <c r="A140" s="13" t="s">
        <v>118</v>
      </c>
      <c r="B140" s="14">
        <f>B76+B95</f>
        <v>0</v>
      </c>
      <c r="C140" s="14"/>
    </row>
    <row r="141" spans="1:5" s="12" customFormat="1" ht="15.75" x14ac:dyDescent="0.25">
      <c r="A141" s="13"/>
      <c r="B141" s="14"/>
      <c r="C141" s="11"/>
    </row>
    <row r="142" spans="1:5" s="12" customFormat="1" ht="15.75" x14ac:dyDescent="0.25">
      <c r="A142" s="13" t="s">
        <v>122</v>
      </c>
      <c r="B142" s="15">
        <f>IF(ABS(B72)&gt;0,-B138/B72,0)</f>
        <v>6.596627693054205E-2</v>
      </c>
      <c r="C142" s="15">
        <f>IF(ABS(B72)&gt;0,-B134/B72,0)</f>
        <v>6.6448636063182936E-2</v>
      </c>
    </row>
    <row r="143" spans="1:5" s="12" customFormat="1" ht="15.75" x14ac:dyDescent="0.25">
      <c r="A143" s="13" t="s">
        <v>120</v>
      </c>
      <c r="B143" s="15">
        <f>IF(ABS(B73)&gt;0,-B139/B73,0)</f>
        <v>6.596627693054205E-2</v>
      </c>
      <c r="C143" s="15">
        <f>IF(ABS(B73)&gt;0,-B135/B73,0)</f>
        <v>6.6448636063182936E-2</v>
      </c>
    </row>
    <row r="144" spans="1:5" s="12" customFormat="1" ht="15.75" x14ac:dyDescent="0.25">
      <c r="A144" s="13" t="s">
        <v>121</v>
      </c>
      <c r="B144" s="15">
        <f>IF(ABS(B76)&gt;0,-B140/B76,0)</f>
        <v>0</v>
      </c>
      <c r="C144" s="15">
        <f>IF(ABS(B76)&gt;0,-B136/B76,0)</f>
        <v>0</v>
      </c>
    </row>
    <row r="146" spans="1:3" ht="15.75" x14ac:dyDescent="0.25">
      <c r="A146" s="13" t="s">
        <v>267</v>
      </c>
      <c r="B146" s="6">
        <f>SUM(Auswertung!T:T)</f>
        <v>0</v>
      </c>
    </row>
    <row r="147" spans="1:3" ht="15.75" x14ac:dyDescent="0.25">
      <c r="A147" s="13" t="s">
        <v>268</v>
      </c>
      <c r="B147" s="6">
        <f>SUMIFS(Auswertung!T:T,Auswertung!B:B,"STOCK")
+SUMIFS(Auswertung!T:T,Auswertung!B:B,"FUND")</f>
        <v>0</v>
      </c>
      <c r="C147" s="7">
        <f>IF(ABS(B146)&gt;0,B147/B146,0)</f>
        <v>0</v>
      </c>
    </row>
    <row r="148" spans="1:3" ht="15.75" x14ac:dyDescent="0.25">
      <c r="A148" s="12" t="s">
        <v>269</v>
      </c>
      <c r="B148" s="6">
        <f>SUMIFS(Auswertung!T:T,Auswertung!B:B,"STOCK")</f>
        <v>0</v>
      </c>
      <c r="C148" s="7">
        <f>IF(ABS(B147)&gt;0,B148/B14,0)</f>
        <v>0</v>
      </c>
    </row>
    <row r="149" spans="1:3" ht="15.75" x14ac:dyDescent="0.25">
      <c r="A149" s="12" t="s">
        <v>270</v>
      </c>
      <c r="B149" s="6">
        <f>SUMIFS(Auswertung!T:T,Auswertung!B:B,"FUND")</f>
        <v>0</v>
      </c>
      <c r="C149" s="7">
        <f>IF(ABS(B148)&gt;0,B149/B146,0)</f>
        <v>0</v>
      </c>
    </row>
    <row r="150" spans="1:3" ht="15.75" x14ac:dyDescent="0.25">
      <c r="A150" s="12" t="s">
        <v>271</v>
      </c>
      <c r="B150" s="6">
        <f>SUMIFS(Auswertung!T:T,Auswertung!B:B,"CRYPTO")</f>
        <v>0</v>
      </c>
      <c r="C150" s="7">
        <f>IF(ABS(B149)&gt;0,B150/B146,0)</f>
        <v>0</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BDDBF-6D10-452B-9124-D2C10463CF65}">
  <dimension ref="A3:L18"/>
  <sheetViews>
    <sheetView zoomScale="118" zoomScaleNormal="118" workbookViewId="0">
      <selection activeCell="A15" sqref="A15"/>
    </sheetView>
  </sheetViews>
  <sheetFormatPr baseColWidth="10" defaultRowHeight="15" x14ac:dyDescent="0.25"/>
  <cols>
    <col min="1" max="1" width="15.5703125" bestFit="1" customWidth="1"/>
    <col min="2" max="2" width="12.5703125" bestFit="1" customWidth="1"/>
    <col min="3" max="3" width="14.28515625" bestFit="1" customWidth="1"/>
    <col min="4" max="4" width="12" bestFit="1" customWidth="1"/>
    <col min="5" max="7" width="14.28515625" bestFit="1" customWidth="1"/>
    <col min="8" max="9" width="12" bestFit="1" customWidth="1"/>
    <col min="10" max="10" width="12.5703125" bestFit="1" customWidth="1"/>
    <col min="11" max="11" width="12" bestFit="1" customWidth="1"/>
    <col min="12" max="12" width="29.5703125" bestFit="1" customWidth="1"/>
    <col min="13" max="13" width="36" bestFit="1" customWidth="1"/>
    <col min="14" max="14" width="12" bestFit="1" customWidth="1"/>
    <col min="15" max="15" width="8" bestFit="1" customWidth="1"/>
    <col min="16" max="16" width="11" bestFit="1" customWidth="1"/>
    <col min="17" max="31" width="12" bestFit="1" customWidth="1"/>
    <col min="32" max="32" width="11" bestFit="1" customWidth="1"/>
    <col min="33" max="33" width="6.28515625" bestFit="1" customWidth="1"/>
    <col min="34" max="34" width="15.5703125" bestFit="1" customWidth="1"/>
  </cols>
  <sheetData>
    <row r="3" spans="1:12" x14ac:dyDescent="0.25">
      <c r="A3" s="34" t="s">
        <v>197</v>
      </c>
      <c r="B3" t="s">
        <v>199</v>
      </c>
      <c r="C3" t="s">
        <v>198</v>
      </c>
      <c r="E3" t="s">
        <v>198</v>
      </c>
      <c r="G3" t="s">
        <v>198</v>
      </c>
      <c r="J3" t="s">
        <v>199</v>
      </c>
      <c r="L3" t="s">
        <v>204</v>
      </c>
    </row>
    <row r="4" spans="1:12" x14ac:dyDescent="0.25">
      <c r="A4" s="9" t="s">
        <v>29</v>
      </c>
      <c r="B4" s="36">
        <v>465.02905994000008</v>
      </c>
      <c r="C4" s="36">
        <v>500.62810068000016</v>
      </c>
      <c r="E4" s="36">
        <v>550.33706945370022</v>
      </c>
      <c r="G4" s="36">
        <v>550.33706945370022</v>
      </c>
      <c r="J4" s="36">
        <v>516.03096762700011</v>
      </c>
      <c r="L4" s="36">
        <v>0</v>
      </c>
    </row>
    <row r="5" spans="1:12" x14ac:dyDescent="0.25">
      <c r="A5" s="9" t="s">
        <v>260</v>
      </c>
      <c r="B5" s="36">
        <v>51.001907686999999</v>
      </c>
      <c r="C5" s="36">
        <v>49.708968773700008</v>
      </c>
      <c r="I5" t="s">
        <v>200</v>
      </c>
    </row>
    <row r="6" spans="1:12" x14ac:dyDescent="0.25">
      <c r="A6" s="9" t="s">
        <v>196</v>
      </c>
      <c r="B6" s="36">
        <v>516.03096762700011</v>
      </c>
      <c r="C6" s="36">
        <v>550.33706945370022</v>
      </c>
      <c r="E6" s="37">
        <f>GETPIVOTDATA("Aktuelle Position €",$E$3)</f>
        <v>550.33706945370022</v>
      </c>
      <c r="G6" s="37">
        <f>GETPIVOTDATA("Aktuelle Position €",$G$3)</f>
        <v>550.33706945370022</v>
      </c>
      <c r="H6" s="37"/>
      <c r="I6" s="37">
        <f>G6-J6</f>
        <v>34.306101826700115</v>
      </c>
      <c r="J6" s="37">
        <f>GETPIVOTDATA("Aktuell Investiert €",$J$3)</f>
        <v>516.03096762700011</v>
      </c>
      <c r="L6" s="37">
        <f>GETPIVOTDATA("Realisierte P&amp;L Verkäufe €",$L$3)</f>
        <v>0</v>
      </c>
    </row>
    <row r="13" spans="1:12" x14ac:dyDescent="0.25">
      <c r="A13" s="34" t="s">
        <v>197</v>
      </c>
      <c r="B13" t="s">
        <v>198</v>
      </c>
      <c r="E13" s="34" t="s">
        <v>197</v>
      </c>
      <c r="F13" t="s">
        <v>198</v>
      </c>
    </row>
    <row r="14" spans="1:12" x14ac:dyDescent="0.25">
      <c r="A14" s="9" t="s">
        <v>29</v>
      </c>
      <c r="B14" s="36">
        <v>500.62810068000016</v>
      </c>
      <c r="E14" s="9" t="s">
        <v>29</v>
      </c>
      <c r="F14" s="36">
        <v>500.62810068000016</v>
      </c>
    </row>
    <row r="15" spans="1:12" x14ac:dyDescent="0.25">
      <c r="A15" s="35" t="s">
        <v>213</v>
      </c>
      <c r="B15" s="36">
        <v>500.62810068000016</v>
      </c>
      <c r="E15" s="9" t="s">
        <v>260</v>
      </c>
      <c r="F15" s="36">
        <v>49.708968773700008</v>
      </c>
    </row>
    <row r="16" spans="1:12" x14ac:dyDescent="0.25">
      <c r="A16" s="9" t="s">
        <v>260</v>
      </c>
      <c r="B16" s="36">
        <v>49.708968773700008</v>
      </c>
      <c r="E16" s="9" t="s">
        <v>196</v>
      </c>
      <c r="F16" s="36">
        <v>550.33706945370022</v>
      </c>
    </row>
    <row r="17" spans="1:2" x14ac:dyDescent="0.25">
      <c r="A17" s="35" t="s">
        <v>261</v>
      </c>
      <c r="B17" s="36">
        <v>49.708968773700008</v>
      </c>
    </row>
    <row r="18" spans="1:2" x14ac:dyDescent="0.25">
      <c r="A18" s="9" t="s">
        <v>196</v>
      </c>
      <c r="B18" s="36">
        <v>550.33706945370022</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9109C-AB4F-4B69-996A-032706F4A214}">
  <dimension ref="A8:D257"/>
  <sheetViews>
    <sheetView topLeftCell="C28" workbookViewId="0">
      <selection activeCell="A10" sqref="A10"/>
    </sheetView>
  </sheetViews>
  <sheetFormatPr baseColWidth="10" defaultRowHeight="15" x14ac:dyDescent="0.25"/>
  <cols>
    <col min="1" max="1" width="43.140625" bestFit="1" customWidth="1"/>
    <col min="2" max="2" width="19.140625" style="39" bestFit="1" customWidth="1"/>
    <col min="3" max="3" width="26.140625" style="5" bestFit="1" customWidth="1"/>
    <col min="4" max="4" width="14.28515625" style="5" bestFit="1" customWidth="1"/>
  </cols>
  <sheetData>
    <row r="8" spans="1:4" x14ac:dyDescent="0.25">
      <c r="A8" s="34" t="s">
        <v>197</v>
      </c>
      <c r="B8" s="28" t="s">
        <v>203</v>
      </c>
      <c r="C8" s="5" t="s">
        <v>201</v>
      </c>
      <c r="D8" s="5" t="s">
        <v>198</v>
      </c>
    </row>
    <row r="9" spans="1:4" x14ac:dyDescent="0.25">
      <c r="A9" s="9" t="s">
        <v>29</v>
      </c>
      <c r="B9" s="28"/>
      <c r="C9" s="38"/>
      <c r="D9" s="38"/>
    </row>
    <row r="10" spans="1:4" x14ac:dyDescent="0.25">
      <c r="A10" s="35" t="s">
        <v>213</v>
      </c>
      <c r="B10" s="28">
        <v>2.9493820000000008</v>
      </c>
      <c r="C10" s="38">
        <v>169.74</v>
      </c>
      <c r="D10" s="38">
        <v>500.62810068000016</v>
      </c>
    </row>
    <row r="11" spans="1:4" x14ac:dyDescent="0.25">
      <c r="A11" s="9" t="s">
        <v>202</v>
      </c>
      <c r="B11" s="28">
        <v>2.9493820000000008</v>
      </c>
      <c r="C11" s="38">
        <v>169.74</v>
      </c>
      <c r="D11" s="38">
        <v>500.62810068000016</v>
      </c>
    </row>
    <row r="12" spans="1:4" x14ac:dyDescent="0.25">
      <c r="A12" s="9"/>
      <c r="B12" s="28"/>
      <c r="C12" s="38"/>
      <c r="D12" s="38"/>
    </row>
    <row r="13" spans="1:4" x14ac:dyDescent="0.25">
      <c r="A13" s="9" t="s">
        <v>260</v>
      </c>
      <c r="B13" s="28"/>
      <c r="C13" s="38"/>
      <c r="D13" s="38"/>
    </row>
    <row r="14" spans="1:4" x14ac:dyDescent="0.25">
      <c r="A14" s="35" t="s">
        <v>261</v>
      </c>
      <c r="B14" s="28">
        <v>47.709923000000003</v>
      </c>
      <c r="C14" s="38">
        <v>1.0419</v>
      </c>
      <c r="D14" s="38">
        <v>49.708968773700008</v>
      </c>
    </row>
    <row r="15" spans="1:4" x14ac:dyDescent="0.25">
      <c r="A15" s="9" t="s">
        <v>265</v>
      </c>
      <c r="B15" s="28">
        <v>47.709923000000003</v>
      </c>
      <c r="C15" s="38">
        <v>1.0419</v>
      </c>
      <c r="D15" s="38">
        <v>49.708968773700008</v>
      </c>
    </row>
    <row r="16" spans="1:4" x14ac:dyDescent="0.25">
      <c r="A16" s="9"/>
      <c r="B16" s="28"/>
      <c r="C16" s="38"/>
      <c r="D16" s="38"/>
    </row>
    <row r="17" spans="1:4" x14ac:dyDescent="0.25">
      <c r="A17" s="9" t="s">
        <v>196</v>
      </c>
      <c r="B17" s="28">
        <v>50.659305000000003</v>
      </c>
      <c r="C17" s="38">
        <v>170.78190000000001</v>
      </c>
      <c r="D17" s="38">
        <v>550.33706945370022</v>
      </c>
    </row>
    <row r="18" spans="1:4" x14ac:dyDescent="0.25">
      <c r="B18"/>
      <c r="C18"/>
      <c r="D18"/>
    </row>
    <row r="19" spans="1:4" x14ac:dyDescent="0.25">
      <c r="B19"/>
      <c r="C19"/>
      <c r="D19"/>
    </row>
    <row r="20" spans="1:4" x14ac:dyDescent="0.25">
      <c r="B20"/>
      <c r="C20"/>
      <c r="D20"/>
    </row>
    <row r="21" spans="1:4" x14ac:dyDescent="0.25">
      <c r="B21"/>
      <c r="C21"/>
      <c r="D21"/>
    </row>
    <row r="22" spans="1:4" x14ac:dyDescent="0.25">
      <c r="B22"/>
      <c r="C22"/>
      <c r="D22"/>
    </row>
    <row r="23" spans="1:4" x14ac:dyDescent="0.25">
      <c r="B23"/>
      <c r="C23"/>
      <c r="D23"/>
    </row>
    <row r="24" spans="1:4" x14ac:dyDescent="0.25">
      <c r="B24"/>
      <c r="C24"/>
      <c r="D24"/>
    </row>
    <row r="25" spans="1:4" x14ac:dyDescent="0.25">
      <c r="B25"/>
      <c r="C25"/>
      <c r="D25"/>
    </row>
    <row r="26" spans="1:4" x14ac:dyDescent="0.25">
      <c r="B26"/>
      <c r="C26"/>
      <c r="D26"/>
    </row>
    <row r="27" spans="1:4" x14ac:dyDescent="0.25">
      <c r="B27"/>
      <c r="C27"/>
      <c r="D27"/>
    </row>
    <row r="28" spans="1:4" x14ac:dyDescent="0.25">
      <c r="B28"/>
      <c r="C28"/>
      <c r="D28"/>
    </row>
    <row r="29" spans="1:4" x14ac:dyDescent="0.25">
      <c r="B29"/>
      <c r="C29"/>
      <c r="D29"/>
    </row>
    <row r="30" spans="1:4" x14ac:dyDescent="0.25">
      <c r="B30"/>
      <c r="C30"/>
      <c r="D30"/>
    </row>
    <row r="31" spans="1:4" x14ac:dyDescent="0.25">
      <c r="B31"/>
      <c r="C31"/>
      <c r="D31"/>
    </row>
    <row r="32" spans="1:4" x14ac:dyDescent="0.25">
      <c r="B32"/>
      <c r="C32"/>
      <c r="D32"/>
    </row>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sheetData>
  <pageMargins left="0.7" right="0.7" top="0.78740157499999996" bottom="0.78740157499999996"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34F89-B4ED-4808-9C00-A3B6C1DF5B63}">
  <dimension ref="A1"/>
  <sheetViews>
    <sheetView workbookViewId="0"/>
  </sheetViews>
  <sheetFormatPr baseColWidth="10"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2D85C-3C59-498C-B766-12C9EBD446D4}">
  <dimension ref="A1"/>
  <sheetViews>
    <sheetView workbookViewId="0">
      <selection activeCell="F4" sqref="F4"/>
    </sheetView>
  </sheetViews>
  <sheetFormatPr baseColWidth="10" defaultRowHeight="15" x14ac:dyDescent="0.25"/>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F1B2D-1891-4987-A7E4-8A2F1DC5C462}">
  <dimension ref="A1:B11"/>
  <sheetViews>
    <sheetView workbookViewId="0">
      <selection activeCell="A12" sqref="A12"/>
    </sheetView>
  </sheetViews>
  <sheetFormatPr baseColWidth="10" defaultRowHeight="15" x14ac:dyDescent="0.25"/>
  <cols>
    <col min="1" max="1" width="28.85546875" customWidth="1"/>
    <col min="2" max="2" width="37.140625" customWidth="1"/>
  </cols>
  <sheetData>
    <row r="1" spans="1:2" ht="17.25" thickBot="1" x14ac:dyDescent="0.3">
      <c r="A1" s="2" t="s">
        <v>49</v>
      </c>
      <c r="B1" s="2" t="s">
        <v>50</v>
      </c>
    </row>
    <row r="2" spans="1:2" ht="17.25" thickBot="1" x14ac:dyDescent="0.3">
      <c r="A2" s="2" t="s">
        <v>51</v>
      </c>
      <c r="B2" s="3" t="s">
        <v>52</v>
      </c>
    </row>
    <row r="3" spans="1:2" ht="17.25" thickBot="1" x14ac:dyDescent="0.3">
      <c r="A3" s="2" t="s">
        <v>53</v>
      </c>
      <c r="B3" s="3" t="s">
        <v>54</v>
      </c>
    </row>
    <row r="4" spans="1:2" ht="33.75" thickBot="1" x14ac:dyDescent="0.3">
      <c r="A4" s="2" t="s">
        <v>55</v>
      </c>
      <c r="B4" s="3" t="s">
        <v>105</v>
      </c>
    </row>
    <row r="5" spans="1:2" ht="33.75" thickBot="1" x14ac:dyDescent="0.3">
      <c r="A5" s="2" t="s">
        <v>56</v>
      </c>
      <c r="B5" s="3" t="s">
        <v>106</v>
      </c>
    </row>
    <row r="6" spans="1:2" ht="33.75" thickBot="1" x14ac:dyDescent="0.3">
      <c r="A6" s="2" t="s">
        <v>57</v>
      </c>
      <c r="B6" s="3" t="s">
        <v>58</v>
      </c>
    </row>
    <row r="7" spans="1:2" ht="33.75" thickBot="1" x14ac:dyDescent="0.3">
      <c r="A7" s="2" t="s">
        <v>59</v>
      </c>
      <c r="B7" s="3" t="s">
        <v>60</v>
      </c>
    </row>
    <row r="8" spans="1:2" ht="17.25" thickBot="1" x14ac:dyDescent="0.3">
      <c r="A8" s="2" t="s">
        <v>61</v>
      </c>
      <c r="B8" s="3" t="s">
        <v>62</v>
      </c>
    </row>
    <row r="9" spans="1:2" ht="17.25" thickBot="1" x14ac:dyDescent="0.3">
      <c r="A9" s="2" t="s">
        <v>46</v>
      </c>
      <c r="B9" s="3" t="s">
        <v>63</v>
      </c>
    </row>
    <row r="10" spans="1:2" ht="33.75" thickBot="1" x14ac:dyDescent="0.3">
      <c r="A10" s="2" t="s">
        <v>64</v>
      </c>
      <c r="B10" s="3" t="s">
        <v>65</v>
      </c>
    </row>
    <row r="11" spans="1:2" ht="33.75" thickBot="1" x14ac:dyDescent="0.3">
      <c r="A11" s="2" t="s">
        <v>66</v>
      </c>
      <c r="B11" s="3" t="s">
        <v>67</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922A7D-4765-471A-9F95-137C4BA0EB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Daten</vt:lpstr>
      <vt:lpstr>Auswertung</vt:lpstr>
      <vt:lpstr>Dashboard</vt:lpstr>
      <vt:lpstr>Pivot</vt:lpstr>
      <vt:lpstr>Portfolio</vt:lpstr>
      <vt:lpstr>Auswertung_2026</vt:lpstr>
      <vt:lpstr>Auswertung_2025</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Talla Fotsing Roméo</dc:creator>
  <cp:lastModifiedBy>Talla Fotsing Roméo</cp:lastModifiedBy>
  <dcterms:created xsi:type="dcterms:W3CDTF">2026-08-26T08:37:56Z</dcterms:created>
  <dcterms:modified xsi:type="dcterms:W3CDTF">2026-10-06T12:03:00Z</dcterms:modified>
</cp:coreProperties>
</file>