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ocuments\Portfolio_Excel\Auswertung\"/>
    </mc:Choice>
  </mc:AlternateContent>
  <xr:revisionPtr revIDLastSave="0" documentId="13_ncr:1_{A4109DD9-4038-40F9-AE3C-D830B847161B}" xr6:coauthVersionLast="47" xr6:coauthVersionMax="47" xr10:uidLastSave="{00000000-0000-0000-0000-000000000000}"/>
  <bookViews>
    <workbookView xWindow="-120" yWindow="-120" windowWidth="51840" windowHeight="21120" activeTab="9" xr2:uid="{00000000-000D-0000-FFFF-FFFF00000000}"/>
  </bookViews>
  <sheets>
    <sheet name="Daten" sheetId="1" r:id="rId1"/>
    <sheet name="Auswertung" sheetId="2" r:id="rId2"/>
    <sheet name="Dashboard" sheetId="4" r:id="rId3"/>
    <sheet name="Pivot" sheetId="7" r:id="rId4"/>
    <sheet name="Portfolio" sheetId="8" r:id="rId5"/>
    <sheet name="Auswertung_2026" sheetId="6" r:id="rId6"/>
    <sheet name="Auswertung_2025" sheetId="5" r:id="rId7"/>
    <sheet name="Definitions" sheetId="3" r:id="rId8"/>
    <sheet name="Berechnungen" sheetId="9" r:id="rId9"/>
    <sheet name="Manuel Revenues" sheetId="10" r:id="rId10"/>
  </sheets>
  <definedNames>
    <definedName name="_xlnm._FilterDatabase" localSheetId="1" hidden="1">Auswertung!$A$1:$X$63</definedName>
    <definedName name="_xlnm._FilterDatabase" localSheetId="0" hidden="1">Daten!$A$1:$W$701</definedName>
    <definedName name="_xlnm._FilterDatabase" localSheetId="9" hidden="1">'Manuel Revenues'!$A$1:$C$1</definedName>
    <definedName name="Datenschnitt_Asset">#N/A</definedName>
    <definedName name="Datenschnitt_Klasse">#N/A</definedName>
  </definedNames>
  <calcPr calcId="191029"/>
  <pivotCaches>
    <pivotCache cacheId="1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0" l="1"/>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2" i="10"/>
  <c r="D19" i="10"/>
  <c r="E19" i="10"/>
  <c r="D7" i="10"/>
  <c r="D10" i="10"/>
  <c r="D16" i="10"/>
  <c r="D17" i="10"/>
  <c r="D15" i="10"/>
  <c r="E63" i="10"/>
  <c r="E62" i="10"/>
  <c r="D63" i="10"/>
  <c r="D62" i="10"/>
  <c r="E55" i="10"/>
  <c r="D55" i="10"/>
  <c r="E51" i="10"/>
  <c r="D51" i="10"/>
  <c r="E44" i="10"/>
  <c r="D44" i="10"/>
  <c r="D40" i="10"/>
  <c r="D41" i="10"/>
  <c r="D39" i="10"/>
  <c r="E40" i="10"/>
  <c r="E41" i="10"/>
  <c r="E39" i="10"/>
  <c r="D30" i="10"/>
  <c r="D31" i="10"/>
  <c r="D32" i="10"/>
  <c r="D29" i="10"/>
  <c r="E30" i="10"/>
  <c r="E31" i="10"/>
  <c r="E32" i="10"/>
  <c r="E33" i="10"/>
  <c r="E29" i="10"/>
  <c r="E16" i="10"/>
  <c r="E17" i="10"/>
  <c r="E14" i="10"/>
  <c r="D13" i="10"/>
  <c r="E13" i="10"/>
  <c r="E15" i="10"/>
  <c r="D14" i="10"/>
  <c r="E10" i="10"/>
  <c r="E7" i="10"/>
  <c r="E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2" i="10"/>
  <c r="F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I2" i="2"/>
  <c r="U2" i="2"/>
  <c r="D20" i="10"/>
  <c r="D33" i="10"/>
  <c r="D4" i="10"/>
  <c r="D3" i="10"/>
  <c r="D34" i="10"/>
  <c r="E28" i="10"/>
  <c r="D28" i="10"/>
  <c r="E47" i="10"/>
  <c r="D47" i="10"/>
  <c r="E11" i="10"/>
  <c r="D11" i="10"/>
  <c r="E12" i="10"/>
  <c r="D12" i="10"/>
  <c r="E6" i="10"/>
  <c r="D6" i="10"/>
  <c r="E20" i="10"/>
  <c r="E52" i="10"/>
  <c r="D52" i="10"/>
  <c r="E21" i="10"/>
  <c r="D21" i="10"/>
  <c r="E54" i="10"/>
  <c r="D54" i="10"/>
  <c r="E9" i="10"/>
  <c r="D9" i="10"/>
  <c r="E50" i="10"/>
  <c r="D50" i="10"/>
  <c r="E3" i="10"/>
  <c r="E5" i="10"/>
  <c r="D5" i="10"/>
  <c r="E56" i="10"/>
  <c r="D56" i="10"/>
  <c r="E4" i="10"/>
  <c r="E37" i="10"/>
  <c r="D37" i="10"/>
  <c r="E36" i="10"/>
  <c r="D36" i="10"/>
  <c r="E38" i="10"/>
  <c r="D38" i="10"/>
  <c r="E22" i="10"/>
  <c r="D22" i="10"/>
  <c r="E26" i="10"/>
  <c r="D26" i="10"/>
  <c r="E60" i="10"/>
  <c r="D60" i="10"/>
  <c r="E42" i="10"/>
  <c r="D42" i="10"/>
  <c r="E61" i="10"/>
  <c r="D61" i="10"/>
  <c r="E57" i="10"/>
  <c r="D57" i="10"/>
  <c r="E59" i="10"/>
  <c r="E58" i="10"/>
  <c r="E27" i="10"/>
  <c r="E23" i="10"/>
  <c r="D23" i="10"/>
  <c r="E18" i="10"/>
  <c r="E43" i="10"/>
  <c r="E8" i="10"/>
  <c r="E46" i="10"/>
  <c r="E25" i="10"/>
  <c r="E53" i="10"/>
  <c r="E49" i="10"/>
  <c r="E24" i="10"/>
  <c r="E45" i="10"/>
  <c r="E48" i="10"/>
  <c r="E35" i="10"/>
  <c r="E34" i="10"/>
  <c r="D59" i="10"/>
  <c r="D58" i="10"/>
  <c r="D27" i="10"/>
  <c r="D18" i="10"/>
  <c r="D43" i="10"/>
  <c r="D8" i="10"/>
  <c r="D46" i="10"/>
  <c r="D25" i="10"/>
  <c r="D53" i="10"/>
  <c r="D49" i="10"/>
  <c r="D24" i="10"/>
  <c r="D45" i="10"/>
  <c r="D48" i="10"/>
  <c r="D35" i="10"/>
  <c r="D2" i="10"/>
  <c r="B85" i="4"/>
  <c r="J2" i="2"/>
  <c r="U4" i="2" l="1"/>
  <c r="B86" i="4"/>
  <c r="B89" i="4"/>
  <c r="B88" i="4"/>
  <c r="B87" i="4"/>
  <c r="B84" i="4"/>
  <c r="F72" i="2"/>
  <c r="E72" i="2" a="1"/>
  <c r="E72" i="2" s="1"/>
  <c r="F73" i="2"/>
  <c r="E73" i="2" a="1"/>
  <c r="E73"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D2" i="2"/>
  <c r="B7" i="9" l="1"/>
  <c r="B5" i="9"/>
  <c r="B6" i="9" s="1"/>
  <c r="V63" i="2"/>
  <c r="U63" i="2"/>
  <c r="I63" i="2"/>
  <c r="H63" i="2"/>
  <c r="G63" i="2"/>
  <c r="E63" i="2"/>
  <c r="T63" i="2" s="1"/>
  <c r="W63" i="2" s="1"/>
  <c r="D63" i="2"/>
  <c r="C46" i="4"/>
  <c r="C45" i="4"/>
  <c r="C44" i="4"/>
  <c r="C43" i="4"/>
  <c r="C42" i="4"/>
  <c r="K63" i="2" l="1"/>
  <c r="F63" i="2"/>
  <c r="P63" i="2" s="1"/>
  <c r="D46" i="4"/>
  <c r="D44" i="4"/>
  <c r="D43" i="4"/>
  <c r="D45" i="4"/>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2" i="2"/>
  <c r="E3" i="2"/>
  <c r="E4" i="2"/>
  <c r="E5" i="2"/>
  <c r="E6" i="2"/>
  <c r="E7" i="2"/>
  <c r="E8" i="2"/>
  <c r="E9" i="2"/>
  <c r="E10" i="2"/>
  <c r="E11" i="2"/>
  <c r="E12" i="2"/>
  <c r="E13" i="2"/>
  <c r="E14" i="2"/>
  <c r="E15" i="2"/>
  <c r="E16" i="2"/>
  <c r="E17" i="2"/>
  <c r="T17" i="2" s="1"/>
  <c r="W17" i="2" s="1"/>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2" i="2"/>
  <c r="G73" i="2" s="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G72" i="2" s="1"/>
  <c r="D52" i="2"/>
  <c r="D53" i="2"/>
  <c r="D54" i="2"/>
  <c r="D55" i="2"/>
  <c r="D56" i="2"/>
  <c r="D57" i="2"/>
  <c r="D58" i="2"/>
  <c r="D59" i="2"/>
  <c r="D60" i="2"/>
  <c r="D61" i="2"/>
  <c r="D62" i="2"/>
  <c r="V17" i="2"/>
  <c r="U17" i="2"/>
  <c r="E6" i="7"/>
  <c r="J6" i="7"/>
  <c r="L6" i="7"/>
  <c r="G6" i="7"/>
  <c r="K2" i="2" l="1"/>
  <c r="H73" i="2"/>
  <c r="K55" i="2"/>
  <c r="K39" i="2"/>
  <c r="K23" i="2"/>
  <c r="K7" i="2"/>
  <c r="K53" i="2"/>
  <c r="K37" i="2"/>
  <c r="K21" i="2"/>
  <c r="K5" i="2"/>
  <c r="K51" i="2"/>
  <c r="K35" i="2"/>
  <c r="K19" i="2"/>
  <c r="K47" i="2"/>
  <c r="K58" i="2"/>
  <c r="K56" i="2"/>
  <c r="K54" i="2"/>
  <c r="K38" i="2"/>
  <c r="K22" i="2"/>
  <c r="K6" i="2"/>
  <c r="K52" i="2"/>
  <c r="K36" i="2"/>
  <c r="K20" i="2"/>
  <c r="K4" i="2"/>
  <c r="K3" i="2"/>
  <c r="K50" i="2"/>
  <c r="K34" i="2"/>
  <c r="K18" i="2"/>
  <c r="K49" i="2"/>
  <c r="K33" i="2"/>
  <c r="K17" i="2"/>
  <c r="K48" i="2"/>
  <c r="K32" i="2"/>
  <c r="K16" i="2"/>
  <c r="K31" i="2"/>
  <c r="K15" i="2"/>
  <c r="K62" i="2"/>
  <c r="K46" i="2"/>
  <c r="K30" i="2"/>
  <c r="K14" i="2"/>
  <c r="K61" i="2"/>
  <c r="K45" i="2"/>
  <c r="K29" i="2"/>
  <c r="K13" i="2"/>
  <c r="K60" i="2"/>
  <c r="K44" i="2"/>
  <c r="K28" i="2"/>
  <c r="K12" i="2"/>
  <c r="K59" i="2"/>
  <c r="K43" i="2"/>
  <c r="K27" i="2"/>
  <c r="K11" i="2"/>
  <c r="K10" i="2"/>
  <c r="K42" i="2"/>
  <c r="K26" i="2"/>
  <c r="K57" i="2"/>
  <c r="K41" i="2"/>
  <c r="K25" i="2"/>
  <c r="K9" i="2"/>
  <c r="K40" i="2"/>
  <c r="K24" i="2"/>
  <c r="K8" i="2"/>
  <c r="Q63" i="2"/>
  <c r="L63" i="2"/>
  <c r="I6" i="7"/>
  <c r="F17" i="2"/>
  <c r="Q17" i="2" s="1"/>
  <c r="B55" i="4"/>
  <c r="V36" i="2"/>
  <c r="V37" i="2"/>
  <c r="V38" i="2"/>
  <c r="V39" i="2"/>
  <c r="V40" i="2"/>
  <c r="V41" i="2"/>
  <c r="V42" i="2"/>
  <c r="V45" i="2"/>
  <c r="V46" i="2"/>
  <c r="V43" i="2"/>
  <c r="V44" i="2"/>
  <c r="V47" i="2"/>
  <c r="V48" i="2"/>
  <c r="V49" i="2"/>
  <c r="V50" i="2"/>
  <c r="V51" i="2"/>
  <c r="V52" i="2"/>
  <c r="V53" i="2"/>
  <c r="V54" i="2"/>
  <c r="V55" i="2"/>
  <c r="V56" i="2"/>
  <c r="V57" i="2"/>
  <c r="V58" i="2"/>
  <c r="V59" i="2"/>
  <c r="V60" i="2"/>
  <c r="V61" i="2"/>
  <c r="V62" i="2"/>
  <c r="V30" i="2"/>
  <c r="V27" i="2"/>
  <c r="V34" i="2"/>
  <c r="V31" i="2"/>
  <c r="V32" i="2"/>
  <c r="V33" i="2"/>
  <c r="V35" i="2"/>
  <c r="V4" i="2"/>
  <c r="V5" i="2"/>
  <c r="V6" i="2"/>
  <c r="V3" i="2"/>
  <c r="V7" i="2"/>
  <c r="V8" i="2"/>
  <c r="V9" i="2"/>
  <c r="V10" i="2"/>
  <c r="V11" i="2"/>
  <c r="V12" i="2"/>
  <c r="V13" i="2"/>
  <c r="V21" i="2"/>
  <c r="V14" i="2"/>
  <c r="V15" i="2"/>
  <c r="V16" i="2"/>
  <c r="V18" i="2"/>
  <c r="V19" i="2"/>
  <c r="V20" i="2"/>
  <c r="V22" i="2"/>
  <c r="V23" i="2"/>
  <c r="V24" i="2"/>
  <c r="V25" i="2"/>
  <c r="V26" i="2"/>
  <c r="V28" i="2"/>
  <c r="V29" i="2"/>
  <c r="V2" i="2"/>
  <c r="U5" i="2"/>
  <c r="U6" i="2"/>
  <c r="U3" i="2"/>
  <c r="U7" i="2"/>
  <c r="U8" i="2"/>
  <c r="U9" i="2"/>
  <c r="U10" i="2"/>
  <c r="U11" i="2"/>
  <c r="U12" i="2"/>
  <c r="U13" i="2"/>
  <c r="U21" i="2"/>
  <c r="U14" i="2"/>
  <c r="U15" i="2"/>
  <c r="U16" i="2"/>
  <c r="U18" i="2"/>
  <c r="U19" i="2"/>
  <c r="U20" i="2"/>
  <c r="U22" i="2"/>
  <c r="U23" i="2"/>
  <c r="U24" i="2"/>
  <c r="U25" i="2"/>
  <c r="U26" i="2"/>
  <c r="U28" i="2"/>
  <c r="U29" i="2"/>
  <c r="U30" i="2"/>
  <c r="U27" i="2"/>
  <c r="U34" i="2"/>
  <c r="U31" i="2"/>
  <c r="U32" i="2"/>
  <c r="U33" i="2"/>
  <c r="U35" i="2"/>
  <c r="U36" i="2"/>
  <c r="U37" i="2"/>
  <c r="U38" i="2"/>
  <c r="U39" i="2"/>
  <c r="U40" i="2"/>
  <c r="U41" i="2"/>
  <c r="U42" i="2"/>
  <c r="U45" i="2"/>
  <c r="U46" i="2"/>
  <c r="U43" i="2"/>
  <c r="U44" i="2"/>
  <c r="U47" i="2"/>
  <c r="U48" i="2"/>
  <c r="U49" i="2"/>
  <c r="U50" i="2"/>
  <c r="U51" i="2"/>
  <c r="U52" i="2"/>
  <c r="U53" i="2"/>
  <c r="U54" i="2"/>
  <c r="U55" i="2"/>
  <c r="U56" i="2"/>
  <c r="U57" i="2"/>
  <c r="U58" i="2"/>
  <c r="U59" i="2"/>
  <c r="U60" i="2"/>
  <c r="U61" i="2"/>
  <c r="U62" i="2"/>
  <c r="D40" i="4"/>
  <c r="D34" i="4"/>
  <c r="D39" i="4"/>
  <c r="D33" i="4"/>
  <c r="D38" i="4"/>
  <c r="D32" i="4"/>
  <c r="D37" i="4"/>
  <c r="D31" i="4"/>
  <c r="B57" i="4"/>
  <c r="B56" i="4"/>
  <c r="D28" i="4"/>
  <c r="D22" i="4"/>
  <c r="D27" i="4"/>
  <c r="D21" i="4"/>
  <c r="D26" i="4"/>
  <c r="D20" i="4"/>
  <c r="D25" i="4"/>
  <c r="D19" i="4"/>
  <c r="B49" i="4"/>
  <c r="B51" i="4"/>
  <c r="B50" i="4"/>
  <c r="S63" i="2" l="1"/>
  <c r="X63" i="2"/>
  <c r="O63" i="2"/>
  <c r="R63" i="2" s="1"/>
  <c r="P17" i="2"/>
  <c r="L17" i="2"/>
  <c r="B70" i="4"/>
  <c r="B69" i="4"/>
  <c r="B68" i="4"/>
  <c r="B66" i="4"/>
  <c r="B67" i="4"/>
  <c r="B63" i="4"/>
  <c r="B62" i="4"/>
  <c r="B64" i="4"/>
  <c r="B60" i="4"/>
  <c r="B61" i="4"/>
  <c r="B58" i="4"/>
  <c r="B52" i="4"/>
  <c r="B108" i="4"/>
  <c r="B107" i="4"/>
  <c r="B106" i="4"/>
  <c r="B103" i="4"/>
  <c r="B102" i="4"/>
  <c r="B101" i="4"/>
  <c r="T19" i="2"/>
  <c r="W19" i="2" s="1"/>
  <c r="B6" i="4"/>
  <c r="B5" i="4"/>
  <c r="B4" i="4"/>
  <c r="B3" i="4"/>
  <c r="O17" i="2" l="1"/>
  <c r="R17" i="2" s="1"/>
  <c r="S17" i="2"/>
  <c r="X17" i="2"/>
  <c r="C6" i="4"/>
  <c r="C5" i="4"/>
  <c r="C3" i="4"/>
  <c r="C4" i="4"/>
  <c r="C70" i="4"/>
  <c r="C69" i="4"/>
  <c r="C68" i="4"/>
  <c r="C67" i="4"/>
  <c r="C64" i="4"/>
  <c r="C63" i="4"/>
  <c r="C62" i="4"/>
  <c r="C61" i="4"/>
  <c r="T62" i="2"/>
  <c r="W62" i="2" s="1"/>
  <c r="T55" i="2"/>
  <c r="W55" i="2" s="1"/>
  <c r="T51" i="2"/>
  <c r="W51" i="2" s="1"/>
  <c r="T44" i="2"/>
  <c r="W44" i="2" s="1"/>
  <c r="T41" i="2"/>
  <c r="W41" i="2" s="1"/>
  <c r="T40" i="2"/>
  <c r="W40" i="2" s="1"/>
  <c r="T39" i="2"/>
  <c r="W39" i="2" s="1"/>
  <c r="T33" i="2"/>
  <c r="W33" i="2" s="1"/>
  <c r="T32" i="2"/>
  <c r="W32" i="2" s="1"/>
  <c r="T31" i="2"/>
  <c r="W31" i="2" s="1"/>
  <c r="T30" i="2"/>
  <c r="W30" i="2" s="1"/>
  <c r="T29" i="2"/>
  <c r="W29" i="2" s="1"/>
  <c r="T16" i="2"/>
  <c r="W16" i="2" s="1"/>
  <c r="T15" i="2"/>
  <c r="W15" i="2" s="1"/>
  <c r="T13" i="2"/>
  <c r="W13" i="2" s="1"/>
  <c r="T10" i="2"/>
  <c r="T7" i="2"/>
  <c r="W7" i="2" s="1"/>
  <c r="T2" i="2"/>
  <c r="W2" i="2" l="1"/>
  <c r="W10" i="2"/>
  <c r="B43" i="4"/>
  <c r="B42" i="4"/>
  <c r="B24" i="4"/>
  <c r="B28" i="4"/>
  <c r="B22" i="4"/>
  <c r="B37" i="4"/>
  <c r="B32" i="4"/>
  <c r="B38" i="4"/>
  <c r="B31" i="4"/>
  <c r="B44" i="4"/>
  <c r="B21" i="4"/>
  <c r="B27" i="4"/>
  <c r="B39" i="4"/>
  <c r="B33" i="4"/>
  <c r="B34" i="4"/>
  <c r="B40" i="4"/>
  <c r="B26" i="4"/>
  <c r="B20" i="4"/>
  <c r="B25" i="4"/>
  <c r="B19" i="4"/>
  <c r="B45" i="4"/>
  <c r="B46" i="4"/>
  <c r="F2" i="2"/>
  <c r="F54" i="2"/>
  <c r="Q54" i="2" s="1"/>
  <c r="F4" i="2"/>
  <c r="Q4" i="2" s="1"/>
  <c r="F11" i="2"/>
  <c r="F56" i="2"/>
  <c r="Q56" i="2" s="1"/>
  <c r="F21" i="2"/>
  <c r="F20" i="2"/>
  <c r="F33" i="2"/>
  <c r="Q33" i="2" s="1"/>
  <c r="F50" i="2"/>
  <c r="Q50" i="2" s="1"/>
  <c r="F43" i="2"/>
  <c r="Q43" i="2" s="1"/>
  <c r="F44" i="2"/>
  <c r="Q44" i="2" s="1"/>
  <c r="F8" i="2"/>
  <c r="Q8" i="2" s="1"/>
  <c r="F31" i="2"/>
  <c r="Q31" i="2" s="1"/>
  <c r="F48" i="2"/>
  <c r="Q48" i="2" s="1"/>
  <c r="F27" i="2"/>
  <c r="Q27" i="2" s="1"/>
  <c r="F62" i="2"/>
  <c r="Q62" i="2" s="1"/>
  <c r="F16" i="2"/>
  <c r="Q16" i="2" s="1"/>
  <c r="F47" i="2"/>
  <c r="F12" i="2"/>
  <c r="F29" i="2"/>
  <c r="Q29" i="2" s="1"/>
  <c r="F60" i="2"/>
  <c r="Q60" i="2" s="1"/>
  <c r="F25" i="2"/>
  <c r="Q25" i="2" s="1"/>
  <c r="F18" i="2"/>
  <c r="Q18" i="2" s="1"/>
  <c r="F35" i="2"/>
  <c r="Q35" i="2" s="1"/>
  <c r="F10" i="2"/>
  <c r="Q10" i="2" s="1"/>
  <c r="F26" i="2"/>
  <c r="Q26" i="2" s="1"/>
  <c r="F7" i="2"/>
  <c r="Q7" i="2" s="1"/>
  <c r="F23" i="2"/>
  <c r="Q23" i="2" s="1"/>
  <c r="F39" i="2"/>
  <c r="Q39" i="2" s="1"/>
  <c r="F55" i="2"/>
  <c r="Q55" i="2" s="1"/>
  <c r="F15" i="2"/>
  <c r="Q15" i="2" s="1"/>
  <c r="F32" i="2"/>
  <c r="Q32" i="2" s="1"/>
  <c r="F49" i="2"/>
  <c r="Q49" i="2" s="1"/>
  <c r="F24" i="2"/>
  <c r="Q24" i="2" s="1"/>
  <c r="F40" i="2"/>
  <c r="Q40" i="2" s="1"/>
  <c r="F5" i="2"/>
  <c r="Q5" i="2" s="1"/>
  <c r="F19" i="2"/>
  <c r="Q19" i="2" s="1"/>
  <c r="F36" i="2"/>
  <c r="F51" i="2"/>
  <c r="Q51" i="2" s="1"/>
  <c r="F61" i="2"/>
  <c r="Q61" i="2" s="1"/>
  <c r="F28" i="2"/>
  <c r="F45" i="2"/>
  <c r="Q45" i="2" s="1"/>
  <c r="F58" i="2"/>
  <c r="Q58" i="2" s="1"/>
  <c r="F6" i="2"/>
  <c r="Q6" i="2" s="1"/>
  <c r="F37" i="2"/>
  <c r="F52" i="2"/>
  <c r="Q52" i="2" s="1"/>
  <c r="F14" i="2"/>
  <c r="Q14" i="2" s="1"/>
  <c r="F34" i="2"/>
  <c r="Q34" i="2" s="1"/>
  <c r="F59" i="2"/>
  <c r="Q59" i="2" s="1"/>
  <c r="F9" i="2"/>
  <c r="F41" i="2"/>
  <c r="Q41" i="2" s="1"/>
  <c r="F3" i="2"/>
  <c r="F22" i="2"/>
  <c r="Q22" i="2" s="1"/>
  <c r="F38" i="2"/>
  <c r="Q38" i="2" s="1"/>
  <c r="F53" i="2"/>
  <c r="Q53" i="2" s="1"/>
  <c r="F13" i="2"/>
  <c r="Q13" i="2" s="1"/>
  <c r="F30" i="2"/>
  <c r="Q30" i="2" s="1"/>
  <c r="F46" i="2"/>
  <c r="Q46" i="2" s="1"/>
  <c r="F42" i="2"/>
  <c r="Q42" i="2" s="1"/>
  <c r="F57" i="2"/>
  <c r="Q57" i="2" s="1"/>
  <c r="Q9" i="2" l="1"/>
  <c r="T9" i="2"/>
  <c r="Q3" i="2"/>
  <c r="P3" i="2"/>
  <c r="T3" i="2"/>
  <c r="H75" i="2"/>
  <c r="B36" i="4" s="1"/>
  <c r="C39" i="4" s="1"/>
  <c r="Q47" i="2"/>
  <c r="T47" i="2"/>
  <c r="Q11" i="2"/>
  <c r="T11" i="2"/>
  <c r="Q12" i="2"/>
  <c r="T12" i="2"/>
  <c r="Q28" i="2"/>
  <c r="T28" i="2"/>
  <c r="C38" i="4"/>
  <c r="Q20" i="2"/>
  <c r="P20" i="2"/>
  <c r="C26" i="4"/>
  <c r="C25" i="4"/>
  <c r="C27" i="4"/>
  <c r="C28" i="4"/>
  <c r="C40" i="4"/>
  <c r="L2" i="2"/>
  <c r="Q2" i="2"/>
  <c r="B72" i="4"/>
  <c r="B73" i="4"/>
  <c r="P2" i="2"/>
  <c r="Q21" i="2"/>
  <c r="P21" i="2"/>
  <c r="Q37" i="2"/>
  <c r="L37" i="2"/>
  <c r="Q36" i="2"/>
  <c r="L36" i="2"/>
  <c r="T4" i="2"/>
  <c r="T48" i="2"/>
  <c r="T38" i="2"/>
  <c r="T43" i="2"/>
  <c r="T35" i="2"/>
  <c r="T22" i="2"/>
  <c r="T58" i="2"/>
  <c r="T8" i="2"/>
  <c r="T50" i="2"/>
  <c r="B150" i="4" s="1"/>
  <c r="T37" i="2"/>
  <c r="T18" i="2"/>
  <c r="T57" i="2"/>
  <c r="T60" i="2"/>
  <c r="T20" i="2"/>
  <c r="T21" i="2"/>
  <c r="T53" i="2"/>
  <c r="T52" i="2"/>
  <c r="T25" i="2"/>
  <c r="T45" i="2"/>
  <c r="T5" i="2"/>
  <c r="T27" i="2"/>
  <c r="T24" i="2"/>
  <c r="T26" i="2"/>
  <c r="T56" i="2"/>
  <c r="T54" i="2"/>
  <c r="T14" i="2"/>
  <c r="T23" i="2"/>
  <c r="T61" i="2"/>
  <c r="T6" i="2"/>
  <c r="T59" i="2"/>
  <c r="T46" i="2"/>
  <c r="T49" i="2"/>
  <c r="T42" i="2"/>
  <c r="T34" i="2"/>
  <c r="T36" i="2"/>
  <c r="P15" i="2"/>
  <c r="P30" i="2"/>
  <c r="P60" i="2"/>
  <c r="P58" i="2"/>
  <c r="P55" i="2"/>
  <c r="P39" i="2"/>
  <c r="P32" i="2"/>
  <c r="P46" i="2"/>
  <c r="P9" i="2"/>
  <c r="P25" i="2"/>
  <c r="P59" i="2"/>
  <c r="P18" i="2"/>
  <c r="P6" i="2"/>
  <c r="P13" i="2"/>
  <c r="P29" i="2"/>
  <c r="P34" i="2"/>
  <c r="P28" i="2"/>
  <c r="P12" i="2"/>
  <c r="P23" i="2"/>
  <c r="P56" i="2"/>
  <c r="P61" i="2"/>
  <c r="P5" i="2"/>
  <c r="P33" i="2"/>
  <c r="P44" i="2"/>
  <c r="P19" i="2"/>
  <c r="P43" i="2"/>
  <c r="P50" i="2"/>
  <c r="P53" i="2"/>
  <c r="P14" i="2"/>
  <c r="P40" i="2"/>
  <c r="P7" i="2"/>
  <c r="P47" i="2"/>
  <c r="P11" i="2"/>
  <c r="P26" i="2"/>
  <c r="P4" i="2"/>
  <c r="P24" i="2"/>
  <c r="P62" i="2"/>
  <c r="P10" i="2"/>
  <c r="P27" i="2"/>
  <c r="P22" i="2"/>
  <c r="P52" i="2"/>
  <c r="P48" i="2"/>
  <c r="P45" i="2"/>
  <c r="P36" i="2"/>
  <c r="P16" i="2"/>
  <c r="P38" i="2"/>
  <c r="P57" i="2"/>
  <c r="P42" i="2"/>
  <c r="P51" i="2"/>
  <c r="P49" i="2"/>
  <c r="P35" i="2"/>
  <c r="P31" i="2"/>
  <c r="P41" i="2"/>
  <c r="P37" i="2"/>
  <c r="P8" i="2"/>
  <c r="B75" i="4"/>
  <c r="B74" i="4"/>
  <c r="B76" i="4"/>
  <c r="P54" i="2"/>
  <c r="L28" i="2"/>
  <c r="L33" i="2"/>
  <c r="L58" i="2"/>
  <c r="L55" i="2"/>
  <c r="L45" i="2"/>
  <c r="L53" i="2"/>
  <c r="L39" i="2"/>
  <c r="L7" i="2"/>
  <c r="L29" i="2"/>
  <c r="L34" i="2"/>
  <c r="L20" i="2"/>
  <c r="L60" i="2"/>
  <c r="L5" i="2"/>
  <c r="L12" i="2"/>
  <c r="L57" i="2"/>
  <c r="L11" i="2"/>
  <c r="L52" i="2"/>
  <c r="L10" i="2"/>
  <c r="L27" i="2"/>
  <c r="L49" i="2"/>
  <c r="L31" i="2"/>
  <c r="L43" i="2"/>
  <c r="L38" i="2"/>
  <c r="L23" i="2"/>
  <c r="L61" i="2"/>
  <c r="L22" i="2"/>
  <c r="L47" i="2"/>
  <c r="L62" i="2"/>
  <c r="L46" i="2"/>
  <c r="L35" i="2"/>
  <c r="L18" i="2"/>
  <c r="L8" i="2"/>
  <c r="L50" i="2"/>
  <c r="L14" i="2"/>
  <c r="L26" i="2"/>
  <c r="L21" i="2"/>
  <c r="L40" i="2"/>
  <c r="L42" i="2"/>
  <c r="L56" i="2"/>
  <c r="L3" i="2"/>
  <c r="L24" i="2"/>
  <c r="L16" i="2"/>
  <c r="L4" i="2"/>
  <c r="X4" i="2" s="1"/>
  <c r="L41" i="2"/>
  <c r="L54" i="2"/>
  <c r="L51" i="2"/>
  <c r="L48" i="2"/>
  <c r="L30" i="2"/>
  <c r="L9" i="2"/>
  <c r="L32" i="2"/>
  <c r="L13" i="2"/>
  <c r="L6" i="2"/>
  <c r="L59" i="2"/>
  <c r="L19" i="2"/>
  <c r="L15" i="2"/>
  <c r="L25" i="2"/>
  <c r="L44" i="2"/>
  <c r="B149" i="4" l="1"/>
  <c r="B148" i="4"/>
  <c r="B147" i="4"/>
  <c r="B146" i="4"/>
  <c r="S3" i="2"/>
  <c r="O3" i="2"/>
  <c r="C37" i="4"/>
  <c r="S37" i="2"/>
  <c r="W37" i="2" s="1"/>
  <c r="X37" i="2"/>
  <c r="X41" i="2"/>
  <c r="S41" i="2"/>
  <c r="S52" i="2"/>
  <c r="W52" i="2" s="1"/>
  <c r="X52" i="2"/>
  <c r="S11" i="2"/>
  <c r="W11" i="2" s="1"/>
  <c r="X11" i="2"/>
  <c r="X57" i="2"/>
  <c r="S57" i="2"/>
  <c r="W57" i="2" s="1"/>
  <c r="S5" i="2"/>
  <c r="W5" i="2" s="1"/>
  <c r="X5" i="2"/>
  <c r="S62" i="2"/>
  <c r="X62" i="2"/>
  <c r="S47" i="2"/>
  <c r="W47" i="2" s="1"/>
  <c r="X47" i="2"/>
  <c r="S22" i="2"/>
  <c r="W22" i="2" s="1"/>
  <c r="X22" i="2"/>
  <c r="X34" i="2"/>
  <c r="S34" i="2"/>
  <c r="W34" i="2" s="1"/>
  <c r="S28" i="2"/>
  <c r="W28" i="2" s="1"/>
  <c r="X28" i="2"/>
  <c r="S36" i="2"/>
  <c r="W36" i="2" s="1"/>
  <c r="X36" i="2"/>
  <c r="S24" i="2"/>
  <c r="W24" i="2" s="1"/>
  <c r="X24" i="2"/>
  <c r="S54" i="2"/>
  <c r="W54" i="2" s="1"/>
  <c r="X54" i="2"/>
  <c r="X9" i="2"/>
  <c r="S9" i="2"/>
  <c r="W9" i="2" s="1"/>
  <c r="S61" i="2"/>
  <c r="W61" i="2" s="1"/>
  <c r="X61" i="2"/>
  <c r="S7" i="2"/>
  <c r="X7" i="2"/>
  <c r="S15" i="2"/>
  <c r="X15" i="2"/>
  <c r="S56" i="2"/>
  <c r="W56" i="2" s="1"/>
  <c r="X56" i="2"/>
  <c r="S38" i="2"/>
  <c r="W38" i="2" s="1"/>
  <c r="X38" i="2"/>
  <c r="S39" i="2"/>
  <c r="X39" i="2"/>
  <c r="S53" i="2"/>
  <c r="W53" i="2" s="1"/>
  <c r="X53" i="2"/>
  <c r="X2" i="2"/>
  <c r="S2" i="2"/>
  <c r="X50" i="2"/>
  <c r="S50" i="2"/>
  <c r="S30" i="2"/>
  <c r="X30" i="2"/>
  <c r="S35" i="2"/>
  <c r="X35" i="2"/>
  <c r="S16" i="2"/>
  <c r="X16" i="2"/>
  <c r="S23" i="2"/>
  <c r="W23" i="2" s="1"/>
  <c r="X23" i="2"/>
  <c r="S19" i="2"/>
  <c r="X19" i="2"/>
  <c r="S31" i="2"/>
  <c r="X31" i="2"/>
  <c r="S45" i="2"/>
  <c r="W45" i="2" s="1"/>
  <c r="X45" i="2"/>
  <c r="S48" i="2"/>
  <c r="W48" i="2" s="1"/>
  <c r="X48" i="2"/>
  <c r="S12" i="2"/>
  <c r="W12" i="2" s="1"/>
  <c r="X12" i="2"/>
  <c r="S4" i="2"/>
  <c r="W4" i="2" s="1"/>
  <c r="S29" i="2"/>
  <c r="X29" i="2"/>
  <c r="S55" i="2"/>
  <c r="X55" i="2"/>
  <c r="S8" i="2"/>
  <c r="W8" i="2" s="1"/>
  <c r="X8" i="2"/>
  <c r="X18" i="2"/>
  <c r="S18" i="2"/>
  <c r="W18" i="2" s="1"/>
  <c r="S51" i="2"/>
  <c r="X51" i="2"/>
  <c r="S20" i="2"/>
  <c r="W20" i="2" s="1"/>
  <c r="X20" i="2"/>
  <c r="S44" i="2"/>
  <c r="X44" i="2"/>
  <c r="X3" i="2"/>
  <c r="X42" i="2"/>
  <c r="S42" i="2"/>
  <c r="W42" i="2" s="1"/>
  <c r="S40" i="2"/>
  <c r="X40" i="2"/>
  <c r="S6" i="2"/>
  <c r="W6" i="2" s="1"/>
  <c r="X6" i="2"/>
  <c r="S13" i="2"/>
  <c r="X13" i="2"/>
  <c r="S27" i="2"/>
  <c r="W27" i="2" s="1"/>
  <c r="X27" i="2"/>
  <c r="X58" i="2"/>
  <c r="S58" i="2"/>
  <c r="W58" i="2" s="1"/>
  <c r="S46" i="2"/>
  <c r="W46" i="2" s="1"/>
  <c r="X46" i="2"/>
  <c r="S60" i="2"/>
  <c r="W60" i="2" s="1"/>
  <c r="X60" i="2"/>
  <c r="X25" i="2"/>
  <c r="S25" i="2"/>
  <c r="W25" i="2" s="1"/>
  <c r="S43" i="2"/>
  <c r="W43" i="2" s="1"/>
  <c r="X43" i="2"/>
  <c r="S59" i="2"/>
  <c r="W59" i="2" s="1"/>
  <c r="X59" i="2"/>
  <c r="S21" i="2"/>
  <c r="W21" i="2" s="1"/>
  <c r="X21" i="2"/>
  <c r="S49" i="2"/>
  <c r="W49" i="2" s="1"/>
  <c r="X49" i="2"/>
  <c r="X26" i="2"/>
  <c r="S26" i="2"/>
  <c r="W26" i="2" s="1"/>
  <c r="S32" i="2"/>
  <c r="X32" i="2"/>
  <c r="S14" i="2"/>
  <c r="W14" i="2" s="1"/>
  <c r="X14" i="2"/>
  <c r="X10" i="2"/>
  <c r="S10" i="2"/>
  <c r="S33" i="2"/>
  <c r="X33" i="2"/>
  <c r="W35" i="2"/>
  <c r="C75" i="4"/>
  <c r="C73" i="4"/>
  <c r="C76" i="4"/>
  <c r="C74" i="4"/>
  <c r="O2" i="2"/>
  <c r="B110" i="4"/>
  <c r="B91" i="4"/>
  <c r="B8" i="4"/>
  <c r="O20" i="2"/>
  <c r="R20" i="2" s="1"/>
  <c r="B92" i="4"/>
  <c r="O12" i="2"/>
  <c r="R12" i="2" s="1"/>
  <c r="O4" i="2"/>
  <c r="O21" i="2"/>
  <c r="R21" i="2" s="1"/>
  <c r="O42" i="2"/>
  <c r="O7" i="2"/>
  <c r="R7" i="2" s="1"/>
  <c r="O38" i="2"/>
  <c r="O6" i="2"/>
  <c r="O26" i="2"/>
  <c r="R26" i="2" s="1"/>
  <c r="O55" i="2"/>
  <c r="R55" i="2" s="1"/>
  <c r="O50" i="2"/>
  <c r="R50" i="2" s="1"/>
  <c r="O30" i="2"/>
  <c r="R30" i="2" s="1"/>
  <c r="O33" i="2"/>
  <c r="R33" i="2" s="1"/>
  <c r="O48" i="2"/>
  <c r="O18" i="2"/>
  <c r="O52" i="2"/>
  <c r="O28" i="2"/>
  <c r="R28" i="2" s="1"/>
  <c r="O16" i="2"/>
  <c r="R16" i="2" s="1"/>
  <c r="O62" i="2"/>
  <c r="R62" i="2" s="1"/>
  <c r="O60" i="2"/>
  <c r="O44" i="2"/>
  <c r="R44" i="2" s="1"/>
  <c r="O15" i="2"/>
  <c r="R15" i="2" s="1"/>
  <c r="O53" i="2"/>
  <c r="O31" i="2"/>
  <c r="R31" i="2" s="1"/>
  <c r="O49" i="2"/>
  <c r="O9" i="2"/>
  <c r="R9" i="2" s="1"/>
  <c r="O58" i="2"/>
  <c r="O10" i="2"/>
  <c r="R10" i="2" s="1"/>
  <c r="O51" i="2"/>
  <c r="R51" i="2" s="1"/>
  <c r="O36" i="2"/>
  <c r="O11" i="2"/>
  <c r="R11" i="2" s="1"/>
  <c r="O54" i="2"/>
  <c r="O35" i="2"/>
  <c r="O57" i="2"/>
  <c r="O24" i="2"/>
  <c r="O47" i="2"/>
  <c r="R47" i="2" s="1"/>
  <c r="O25" i="2"/>
  <c r="O22" i="2"/>
  <c r="O34" i="2"/>
  <c r="O61" i="2"/>
  <c r="O19" i="2"/>
  <c r="R19" i="2" s="1"/>
  <c r="O59" i="2"/>
  <c r="O32" i="2"/>
  <c r="R32" i="2" s="1"/>
  <c r="O56" i="2"/>
  <c r="O29" i="2"/>
  <c r="R29" i="2" s="1"/>
  <c r="O23" i="2"/>
  <c r="O40" i="2"/>
  <c r="R40" i="2" s="1"/>
  <c r="O39" i="2"/>
  <c r="R39" i="2" s="1"/>
  <c r="O43" i="2"/>
  <c r="O13" i="2"/>
  <c r="R13" i="2" s="1"/>
  <c r="O45" i="2"/>
  <c r="O14" i="2"/>
  <c r="O27" i="2"/>
  <c r="O8" i="2"/>
  <c r="O41" i="2"/>
  <c r="R41" i="2" s="1"/>
  <c r="O37" i="2"/>
  <c r="O46" i="2"/>
  <c r="O5" i="2"/>
  <c r="B111" i="4"/>
  <c r="B114" i="4"/>
  <c r="B95" i="4"/>
  <c r="B113" i="4"/>
  <c r="B94" i="4"/>
  <c r="B112" i="4"/>
  <c r="B93" i="4"/>
  <c r="R56" i="2"/>
  <c r="R4" i="2"/>
  <c r="R42" i="2"/>
  <c r="R49" i="2"/>
  <c r="R61" i="2"/>
  <c r="R59" i="2"/>
  <c r="R38" i="2"/>
  <c r="R43" i="2"/>
  <c r="R14" i="2"/>
  <c r="R18" i="2"/>
  <c r="R34" i="2"/>
  <c r="R53" i="2"/>
  <c r="R37" i="2"/>
  <c r="R5" i="2"/>
  <c r="R60" i="2"/>
  <c r="R25" i="2"/>
  <c r="R22" i="2"/>
  <c r="R23" i="2"/>
  <c r="R6" i="2"/>
  <c r="R45" i="2"/>
  <c r="R27" i="2"/>
  <c r="R58" i="2"/>
  <c r="R8" i="2"/>
  <c r="R48" i="2"/>
  <c r="R52" i="2"/>
  <c r="R36" i="2"/>
  <c r="R54" i="2"/>
  <c r="R35" i="2"/>
  <c r="R57" i="2"/>
  <c r="R46" i="2"/>
  <c r="R24" i="2"/>
  <c r="B15" i="4"/>
  <c r="B10" i="4"/>
  <c r="B16" i="4"/>
  <c r="B11" i="4"/>
  <c r="B13" i="4"/>
  <c r="B14" i="4"/>
  <c r="B9" i="4"/>
  <c r="B129" i="4" l="1"/>
  <c r="B128" i="4"/>
  <c r="B81" i="4"/>
  <c r="B82" i="4"/>
  <c r="B78" i="4"/>
  <c r="R3" i="2"/>
  <c r="B80" i="4"/>
  <c r="B79" i="4"/>
  <c r="C147" i="4"/>
  <c r="C149" i="4"/>
  <c r="C148" i="4"/>
  <c r="W3" i="2"/>
  <c r="C150" i="4"/>
  <c r="C128" i="4"/>
  <c r="C132" i="4"/>
  <c r="C114" i="4"/>
  <c r="C113" i="4"/>
  <c r="C112" i="4"/>
  <c r="C111" i="4"/>
  <c r="C129" i="4"/>
  <c r="C130" i="4"/>
  <c r="C11" i="4"/>
  <c r="C10" i="4"/>
  <c r="C9" i="4"/>
  <c r="C8" i="4"/>
  <c r="C131" i="4"/>
  <c r="B122" i="4"/>
  <c r="C95" i="4"/>
  <c r="C94" i="4"/>
  <c r="C93" i="4"/>
  <c r="C92" i="4"/>
  <c r="B130" i="4"/>
  <c r="B138" i="4"/>
  <c r="B142" i="4" s="1"/>
  <c r="B139" i="4"/>
  <c r="B143" i="4" s="1"/>
  <c r="W50" i="2"/>
  <c r="R2" i="2"/>
  <c r="B116" i="4"/>
  <c r="B117" i="4"/>
  <c r="B140" i="4"/>
  <c r="B144" i="4" s="1"/>
  <c r="B131" i="4"/>
  <c r="B132" i="4"/>
  <c r="B124" i="4"/>
  <c r="B118" i="4"/>
  <c r="B119" i="4"/>
  <c r="B125" i="4"/>
  <c r="B123" i="4"/>
  <c r="B126" i="4"/>
  <c r="B120" i="4"/>
  <c r="B134" i="4" l="1"/>
  <c r="C142" i="4" s="1"/>
  <c r="E130" i="4"/>
  <c r="E131" i="4"/>
  <c r="E132" i="4"/>
  <c r="E129" i="4"/>
  <c r="C82" i="4"/>
  <c r="C81" i="4"/>
  <c r="C80" i="4"/>
  <c r="C79" i="4"/>
  <c r="B136" i="4"/>
  <c r="C144" i="4" s="1"/>
  <c r="C118" i="4"/>
  <c r="C117" i="4"/>
  <c r="C120" i="4"/>
  <c r="C119" i="4"/>
  <c r="C124" i="4"/>
  <c r="C123" i="4"/>
  <c r="C125" i="4"/>
  <c r="C126" i="4"/>
  <c r="B135" i="4"/>
  <c r="C143" i="4" s="1"/>
  <c r="D130" i="4"/>
  <c r="D129" i="4"/>
  <c r="D131" i="4"/>
  <c r="D128" i="4"/>
  <c r="D132" i="4"/>
  <c r="B18" i="4"/>
  <c r="C22" i="4" s="1"/>
  <c r="B30" i="4"/>
  <c r="C33" i="4" s="1"/>
  <c r="B100" i="4"/>
  <c r="C103" i="4" s="1"/>
  <c r="B105" i="4"/>
  <c r="C107" i="4" s="1"/>
  <c r="B48" i="4"/>
  <c r="C52" i="4" s="1"/>
  <c r="B54" i="4"/>
  <c r="C57" i="4" s="1"/>
  <c r="B98" i="4"/>
  <c r="B97" i="4"/>
  <c r="D30" i="4"/>
  <c r="D36" i="4"/>
  <c r="D18" i="4"/>
  <c r="D24" i="4"/>
  <c r="C58" i="4" l="1"/>
  <c r="C34" i="4"/>
  <c r="C32" i="4"/>
  <c r="C31" i="4"/>
  <c r="C51" i="4"/>
  <c r="C19" i="4"/>
  <c r="C108" i="4"/>
  <c r="C20" i="4"/>
  <c r="C50" i="4"/>
  <c r="C21" i="4"/>
  <c r="C106" i="4"/>
  <c r="C49" i="4"/>
  <c r="C101" i="4"/>
  <c r="C102" i="4"/>
  <c r="C55" i="4"/>
  <c r="C5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FF8D45-C25D-4E71-81A2-5166D9ABB2D9}" keepAlive="1" name="Abfrage - transactions_2026-09-02_2026-09-16" description="Verbindung mit der Abfrage 'transactions_2026-09-02_2026-09-16' in der Arbeitsmappe." type="5" refreshedVersion="0" background="1">
    <dbPr connection="Provider=Microsoft.Mashup.OleDb.1;Data Source=$Workbook$;Location=transactions_2026-09-02_2026-09-16;Extended Properties=&quot;&quot;" command="SELECT * FROM [transactions_2026-09-02_2026-09-16]"/>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<sst xmlns="http://schemas.openxmlformats.org/spreadsheetml/2006/main" count="10472" uniqueCount="1512">
  <si>
    <t>datetime</t>
  </si>
  <si>
    <t>date</t>
  </si>
  <si>
    <t>account_type</t>
  </si>
  <si>
    <t>category</t>
  </si>
  <si>
    <t>type</t>
  </si>
  <si>
    <t>asset_class</t>
  </si>
  <si>
    <t>name</t>
  </si>
  <si>
    <t>symbol</t>
  </si>
  <si>
    <t>shares</t>
  </si>
  <si>
    <t>price</t>
  </si>
  <si>
    <t>amount</t>
  </si>
  <si>
    <t>fee</t>
  </si>
  <si>
    <t>tax</t>
  </si>
  <si>
    <t>currency</t>
  </si>
  <si>
    <t>original_amount</t>
  </si>
  <si>
    <t>original_currency</t>
  </si>
  <si>
    <t>fx_rate</t>
  </si>
  <si>
    <t>description</t>
  </si>
  <si>
    <t>transaction_id</t>
  </si>
  <si>
    <t>counterparty_name</t>
  </si>
  <si>
    <t>counterparty_iban</t>
  </si>
  <si>
    <t>payment_reference</t>
  </si>
  <si>
    <t>mcc_code</t>
  </si>
  <si>
    <t>DEFAULT</t>
  </si>
  <si>
    <t>CASH</t>
  </si>
  <si>
    <t>TRANSFER_INSTANT_INBOUND</t>
  </si>
  <si>
    <t>EUR</t>
  </si>
  <si>
    <t>Incoming transfer from ROMEO TALLA FOTSING</t>
  </si>
  <si>
    <t>424eaa0e-2c58-4651-aa44-7b5a953a5a64</t>
  </si>
  <si>
    <t>e95f0d7f-e43e-4fd6-b6ab-5dc0b1a435ce</t>
  </si>
  <si>
    <t>TRADING</t>
  </si>
  <si>
    <t>BUY</t>
  </si>
  <si>
    <t>STOCK</t>
  </si>
  <si>
    <t>Hensoldt</t>
  </si>
  <si>
    <t>DE000HAG0005</t>
  </si>
  <si>
    <t>Buy trade DE000HAG0005 HENSOLDT AG INH O.N., quantity: 0.009325</t>
  </si>
  <si>
    <t>0727b23c-23a7-4222-a59d-0c9bc60ef4f3</t>
  </si>
  <si>
    <t>Buy trade DE000HAG0005 HENSOLDT AG INH O.N., quantity: 1</t>
  </si>
  <si>
    <t>a629c8cf-59e5-427d-9d60-e150262d0229</t>
  </si>
  <si>
    <t>53ff5df6-b9e9-4706-9b7e-909c42bd2b4b</t>
  </si>
  <si>
    <t>NVIDIA</t>
  </si>
  <si>
    <t>US67066G1040</t>
  </si>
  <si>
    <t>Buy trade US67066G1040 NVIDIA CORP.      DL-,001, quantity: 0.004184</t>
  </si>
  <si>
    <t>1cf6e467-defb-4230-8695-cfdce5f7c8b1</t>
  </si>
  <si>
    <t>Buy trade US67066G1040 NVIDIA CORP.      DL-,001, quantity: 1</t>
  </si>
  <si>
    <t>9758550e-bb56-4291-9669-769e8743d26a</t>
  </si>
  <si>
    <t>0d9897c9-c8fd-4778-968d-1a938e62e15e</t>
  </si>
  <si>
    <t>Siemens Energy</t>
  </si>
  <si>
    <t>DE000ENER6Y0</t>
  </si>
  <si>
    <t>Buy trade DE000ENER6Y0 SIEMENS ENERGY AG NA O.N., quantity: 1</t>
  </si>
  <si>
    <t>c7a53c80-2e60-48ab-9f12-9783bb111234</t>
  </si>
  <si>
    <t>Buy trade DE000ENER6Y0 SIEMENS ENERGY AG NA O.N., quantity: 0.017408</t>
  </si>
  <si>
    <t>747eaf82-a1bb-436c-be67-e001ace15c63</t>
  </si>
  <si>
    <t>982366f6-521f-44fe-bd80-efb1401d2fee</t>
  </si>
  <si>
    <t>af3b470a-85d9-43a5-a66f-f48c9956c0b5</t>
  </si>
  <si>
    <t>Infineon Technologies</t>
  </si>
  <si>
    <t>DE0006231004</t>
  </si>
  <si>
    <t>Buy trade DE0006231004 INFINEON TECH.AG NA O.N., quantity: 0.871199</t>
  </si>
  <si>
    <t>23d47dc4-4c9a-40f5-bef3-2d480cd8e83c</t>
  </si>
  <si>
    <t>Buy trade DE0006231004 INFINEON TECH.AG NA O.N., quantity: 1</t>
  </si>
  <si>
    <t>433c455d-7391-4e56-999a-61950885dbc2</t>
  </si>
  <si>
    <t>e582d7a8-1263-40e7-9c23-1bc6a34c6822</t>
  </si>
  <si>
    <t>e25dd191-37d8-403a-9c16-c0e3cbb411d0</t>
  </si>
  <si>
    <t>9cf1e7fa-4740-4383-a0c1-7766064d658d</t>
  </si>
  <si>
    <t>CRYPTO</t>
  </si>
  <si>
    <t>Solana</t>
  </si>
  <si>
    <t>SOL</t>
  </si>
  <si>
    <t>Buy trade XF000SOL0012 Solana, quantity: 1.004294</t>
  </si>
  <si>
    <t>afbcad62-3fc9-4099-9e9b-8900285f53e8</t>
  </si>
  <si>
    <t>XRP</t>
  </si>
  <si>
    <t>Buy trade XF000XRP0018 XRP, quantity: 4.324764</t>
  </si>
  <si>
    <t>230d489b-9016-478a-8352-d0c5a4b91285</t>
  </si>
  <si>
    <t>Cardano</t>
  </si>
  <si>
    <t>ADA</t>
  </si>
  <si>
    <t>Buy trade XF000ADA0018 Cardano, quantity: 13.490816</t>
  </si>
  <si>
    <t>b14b2296-7649-45b6-96d4-0adb5bf4ccd1</t>
  </si>
  <si>
    <t>ThyssenKrupp</t>
  </si>
  <si>
    <t>DE0007500001</t>
  </si>
  <si>
    <t>Buy trade DE0007500001 THYSSENKRUPP AG O.N., quantity: 2</t>
  </si>
  <si>
    <t>da29a441-a07c-49b7-9b99-80a529e4e573</t>
  </si>
  <si>
    <t>Buy trade DE0007500001 THYSSENKRUPP AG O.N., quantity: 0.186878</t>
  </si>
  <si>
    <t>969d0b29-b80f-44a2-9ae6-5cd0d9357879</t>
  </si>
  <si>
    <t>SELL</t>
  </si>
  <si>
    <t>Sell trade US67066G1040 NVIDIA CORP.      DL-,001, quantity: 0.026957</t>
  </si>
  <si>
    <t>70655a16-2cfd-4223-b0c9-8f308f9dd5d2</t>
  </si>
  <si>
    <t>Buy trade US67066G1040 NVIDIA CORP.      DL-,001, quantity: 0.350215</t>
  </si>
  <si>
    <t>9b0d29d2-6ed3-47ac-99ce-e87af3ec296e</t>
  </si>
  <si>
    <t>de466bec-4087-4c0a-8202-9aaf20516527</t>
  </si>
  <si>
    <t>4c71c45a-503c-4c74-96ce-9f37f9f8b41a</t>
  </si>
  <si>
    <t>RENK Group</t>
  </si>
  <si>
    <t>DE000RENK730</t>
  </si>
  <si>
    <t>Buy trade DE000RENK730 RENK GROUP AG INH O.N., quantity: 1</t>
  </si>
  <si>
    <t>b604100c-0247-458c-829f-5bd7424f8603</t>
  </si>
  <si>
    <t>Buy trade DE000RENK730 RENK GROUP AG INH O.N., quantity: 0.134894</t>
  </si>
  <si>
    <t>728d465d-af9d-4e7c-8d16-17bcdeade476</t>
  </si>
  <si>
    <t>Palantir Technologies</t>
  </si>
  <si>
    <t>US69608A1088</t>
  </si>
  <si>
    <t>Buy trade US69608A1088 PALANTIR TECHNOLOGIES INC, quantity: 0.052408</t>
  </si>
  <si>
    <t>33934593-6ada-44ba-a54e-3b261f040217</t>
  </si>
  <si>
    <t>Buy trade US69608A1088 PALANTIR TECHNOLOGIES INC, quantity: 1</t>
  </si>
  <si>
    <t>8ef7b29c-5d9e-4ffb-bfb7-9db3512a4693</t>
  </si>
  <si>
    <t>RWE</t>
  </si>
  <si>
    <t>DE0007037129</t>
  </si>
  <si>
    <t>Buy trade DE0007037129 RWE AG ST O.N., quantity: 1</t>
  </si>
  <si>
    <t>c7dc6691-719e-4fc2-ab45-33cbda29778b</t>
  </si>
  <si>
    <t>Buy trade DE0007037129 RWE AG ST O.N., quantity: 0.368332</t>
  </si>
  <si>
    <t>06d1bbf5-d51f-43e8-b726-11fcb04b32f9</t>
  </si>
  <si>
    <t>Chainlink</t>
  </si>
  <si>
    <t>LINK</t>
  </si>
  <si>
    <t>Buy trade XF000LINK010 Chainlink, quantity: 2.367195</t>
  </si>
  <si>
    <t>c99405ed-4454-4ee5-aa95-c21cee2c3fe4</t>
  </si>
  <si>
    <t>61d73e9b-080e-4b38-8e9c-cfa53831534d</t>
  </si>
  <si>
    <t>831bbaff-b1d8-4fce-ba2e-95946db4c5c9</t>
  </si>
  <si>
    <t>c3f80c0e-b161-4698-a026-5e62bb5941db</t>
  </si>
  <si>
    <t>Render</t>
  </si>
  <si>
    <t>XF0RENDER015</t>
  </si>
  <si>
    <t>Buy trade XF0RENDER015 Render Token, quantity: 3.17</t>
  </si>
  <si>
    <t>46bdf702-e375-4a1f-85a5-70d506e3a587</t>
  </si>
  <si>
    <t>Polkadot</t>
  </si>
  <si>
    <t>DOT</t>
  </si>
  <si>
    <t>Buy trade XF000DOT0011 Polkadot, quantity: 4.691738</t>
  </si>
  <si>
    <t>c890608d-0d09-41fc-9e89-ee26200b50dc</t>
  </si>
  <si>
    <t>61a8a189-a7cf-4d84-9a65-f99f55ab70b0</t>
  </si>
  <si>
    <t>Siltronic</t>
  </si>
  <si>
    <t>DE000WAF3001</t>
  </si>
  <si>
    <t>Buy trade DE000WAF3001 SILTRONIC AG NA O.N., quantity: 2</t>
  </si>
  <si>
    <t>843e4bdb-8491-4a40-9200-1811f4bccb8f</t>
  </si>
  <si>
    <t>Sell trade DE000WAF3001 SILTRONIC AG NA O.N., quantity: 1</t>
  </si>
  <si>
    <t>cbf4cb4f-76f8-44a7-a41c-d83a924513dc</t>
  </si>
  <si>
    <t>Sell trade DE000HAG0005 HENSOLDT AG INH O.N., quantity: 0.504662</t>
  </si>
  <si>
    <t>9ab2f83f-199c-4ca1-a957-b1b00150017e</t>
  </si>
  <si>
    <t>Sell trade US67066G1040 NVIDIA CORP.      DL-,001, quantity: 1</t>
  </si>
  <si>
    <t>52626e11-e7d6-4e38-b12e-b69767dc709b</t>
  </si>
  <si>
    <t>Sell trade US67066G1040 NVIDIA CORP.      DL-,001, quantity: 0.327442</t>
  </si>
  <si>
    <t>1c3be71a-9264-4229-8bf9-a62107f2cc26</t>
  </si>
  <si>
    <t>Sell trade US69608A1088 PALANTIR TECHNOLOGIES INC, quantity: 1</t>
  </si>
  <si>
    <t>90fc9d75-3c7d-4aa2-9bc8-fbb368cd4f73</t>
  </si>
  <si>
    <t>Sell trade US69608A1088 PALANTIR TECHNOLOGIES INC, quantity: 0.052408</t>
  </si>
  <si>
    <t>94edbb6f-65fb-4199-b573-d875dbd39b1a</t>
  </si>
  <si>
    <t>Sell trade DE000ENER6Y0 SIEMENS ENERGY AG NA O.N., quantity: 0.017408</t>
  </si>
  <si>
    <t>c77b1b6d-0a52-47f5-9e89-ba5cbb99cce9</t>
  </si>
  <si>
    <t>Sell trade DE000ENER6Y0 SIEMENS ENERGY AG NA O.N., quantity: 1</t>
  </si>
  <si>
    <t>62108128-f1d7-4402-bcfa-1a431975973b</t>
  </si>
  <si>
    <t>Sell trade DE000RENK730 RENK GROUP AG INH O.N., quantity: 1</t>
  </si>
  <si>
    <t>8130528c-7438-4c56-bd56-9c8d9db4981d</t>
  </si>
  <si>
    <t>Sell trade DE000RENK730 RENK GROUP AG INH O.N., quantity: 0.134894</t>
  </si>
  <si>
    <t>fc206dc8-7072-45b6-a758-df4c93091461</t>
  </si>
  <si>
    <t>Sell trade DE000HAG0005 HENSOLDT AG INH O.N., quantity: 0.504663</t>
  </si>
  <si>
    <t>4179a9f3-febc-42bd-909a-f314eac0a02b</t>
  </si>
  <si>
    <t>70ee0076-c41d-4cf9-9163-41abc36cf1eb</t>
  </si>
  <si>
    <t>Sell trade DE0007500001 THYSSENKRUPP AG O.N., quantity: 0.186878</t>
  </si>
  <si>
    <t>41494ede-1bcc-495f-9e3a-632c91b78360</t>
  </si>
  <si>
    <t>Sell trade DE0007500001 THYSSENKRUPP AG O.N., quantity: 2</t>
  </si>
  <si>
    <t>31914c2c-a85f-49f5-a3ee-8346e24e8cf2</t>
  </si>
  <si>
    <t>D-Wave Quantum</t>
  </si>
  <si>
    <t>US26740W1099</t>
  </si>
  <si>
    <t>Buy trade US26740W1099 D-WAVE QUATUM    DL-,0001, quantity: 4</t>
  </si>
  <si>
    <t>b0d8db12-40f9-40ef-a08e-4282f99648db</t>
  </si>
  <si>
    <t>Buy trade US26740W1099 D-WAVE QUATUM    DL-,0001, quantity: 0.3345</t>
  </si>
  <si>
    <t>e8af7d9f-3ebf-4b33-b4aa-fe094e0e7ba1</t>
  </si>
  <si>
    <t>2e0f9168-1066-423d-aac1-119d9c35d48c</t>
  </si>
  <si>
    <t>TRANSFER_INSTANT_OUTBOUND</t>
  </si>
  <si>
    <t>Outgoing transfer for ROMEO TALLA FOTSING</t>
  </si>
  <si>
    <t>f0a439b8-f85d-4b78-ba89-8d2ef510e8a9</t>
  </si>
  <si>
    <t>6c514324-6f4c-4ebf-ba57-957ab9778f81</t>
  </si>
  <si>
    <t>9df58345-e9a3-4ec8-9d96-9d7c9464fbfd</t>
  </si>
  <si>
    <t>de0f47bd-6050-4d2d-90f4-4ef569a2a7a2</t>
  </si>
  <si>
    <t>DroneShield</t>
  </si>
  <si>
    <t>AU000000DRO2</t>
  </si>
  <si>
    <t>Buy trade AU000000DRO2 DRONESHIELD LTD, quantity: 17.0</t>
  </si>
  <si>
    <t>e9d1ff9c-c984-44cf-819c-8f6e1583d1ab</t>
  </si>
  <si>
    <t>Buy trade AU000000DRO2 DRONESHIELD LTD, quantity: 0.857142</t>
  </si>
  <si>
    <t>f5260dcb-89e2-4ce1-895e-36e76b38e469</t>
  </si>
  <si>
    <t>Buy trade US26740W1099 D-WAVE QUATUM    DL-,0001, quantity: 2</t>
  </si>
  <si>
    <t>3fb17192-e942-4fcf-97e3-ebaf27ac9707</t>
  </si>
  <si>
    <t>Buy trade US26740W1099 D-WAVE QUATUM    DL-,0001, quantity: 0.364864</t>
  </si>
  <si>
    <t>2704b2b6-ebf1-4217-80c8-fedb081f9d3f</t>
  </si>
  <si>
    <t>dd9893cb-efdd-4a57-aaa1-f47196f8e9a6</t>
  </si>
  <si>
    <t>DIVIDEND</t>
  </si>
  <si>
    <t>USD</t>
  </si>
  <si>
    <t>Cash Dividend for ISIN US67066G1040</t>
  </si>
  <si>
    <t>543c1bc9-305b-4c82-acbb-80d06475a7e7</t>
  </si>
  <si>
    <t>Sell trade XF000SOL0012 Solana, quantity: 1.004294</t>
  </si>
  <si>
    <t>71e1f49a-908b-4af9-900d-ee1e7fb49247</t>
  </si>
  <si>
    <t>Sell trade DE0006231004 INFINEON TECH.AG NA O.N., quantity: 1</t>
  </si>
  <si>
    <t>0567ef5b-9b1c-46e5-aa2f-65ca1a47cc42</t>
  </si>
  <si>
    <t>Sell trade DE0006231004 INFINEON TECH.AG NA O.N., quantity: 0.871199</t>
  </si>
  <si>
    <t>ed8e8b30-f429-4bb8-833e-6464f7c09d12</t>
  </si>
  <si>
    <t>Sell trade DE0007037129 RWE AG ST O.N., quantity: 1</t>
  </si>
  <si>
    <t>780ce208-7f07-43f1-80d2-771b024017a4</t>
  </si>
  <si>
    <t>Sell trade DE0007037129 RWE AG ST O.N., quantity: 0.368332</t>
  </si>
  <si>
    <t>c0d03e66-34b5-4cc5-a1a7-d5a522e940d1</t>
  </si>
  <si>
    <t>Buy trade AU000000DRO2 DRONESHIELD LTD, quantity: 39.0</t>
  </si>
  <si>
    <t>7fe00626-6bbf-4c2f-9be5-d614a297e05e</t>
  </si>
  <si>
    <t>Buy trade AU000000DRO2 DRONESHIELD LTD, quantity: 0.378238</t>
  </si>
  <si>
    <t>0de11250-3d7b-4ad1-85cb-49bb5b6fe18e</t>
  </si>
  <si>
    <t>Buy trade AU000000DRO2 DRONESHIELD LTD, quantity: 6.0</t>
  </si>
  <si>
    <t>61c89198-4ff7-4093-9b53-9af514a6b72e</t>
  </si>
  <si>
    <t>Buy trade AU000000DRO2 DRONESHIELD LTD, quantity: 0.654991</t>
  </si>
  <si>
    <t>407e0b05-c948-490d-870f-df9dcfdb854f</t>
  </si>
  <si>
    <t>Buy trade AU000000DRO2 DRONESHIELD LTD, quantity: 59.0</t>
  </si>
  <si>
    <t>d0afae04-ccd5-43ea-b23d-af6e555caccc</t>
  </si>
  <si>
    <t>Buy trade AU000000DRO2 DRONESHIELD LTD, quantity: 0.336823</t>
  </si>
  <si>
    <t>f8b5b4c9-cd05-4610-a2a0-2b2c53958e92</t>
  </si>
  <si>
    <t>d1cd4309-2287-443e-bac9-8ddaff499ae4</t>
  </si>
  <si>
    <t>Plug Power</t>
  </si>
  <si>
    <t>US72919P2020</t>
  </si>
  <si>
    <t>Buy trade US72919P2020 PLUG POWER INC. DL-,01, quantity: 30</t>
  </si>
  <si>
    <t>b9a6d735-d0cd-4364-a2a8-63b1b1963969</t>
  </si>
  <si>
    <t>Buy trade US72919P2020 PLUG POWER INC. DL-,01, quantity: 0.562347</t>
  </si>
  <si>
    <t>476fa4a4-29d1-47b4-8916-a3bdee93f01e</t>
  </si>
  <si>
    <t>BTQ Technologies</t>
  </si>
  <si>
    <t>CA0558691014</t>
  </si>
  <si>
    <t>Buy trade CA0558691014 BTQ TECHNOLOGIES CORP., quantity: 0.967213</t>
  </si>
  <si>
    <t>25ff77af-b300-4b1d-bef3-cbc834003afd</t>
  </si>
  <si>
    <t>Buy trade CA0558691014 BTQ TECHNOLOGIES CORP., quantity: 11.0</t>
  </si>
  <si>
    <t>bde76b32-52df-4a4a-96d9-11d41a6b06c9</t>
  </si>
  <si>
    <t>Sell trade AU000000DRO2 DRONESHIELD LTD, quantity: 123.0</t>
  </si>
  <si>
    <t>a7b733e5-964c-445b-8826-1b676c1dbe56</t>
  </si>
  <si>
    <t>Sell trade AU000000DRO2 DRONESHIELD LTD, quantity: 0.227194</t>
  </si>
  <si>
    <t>dc2b5083-1450-41ad-908f-d465d932b914</t>
  </si>
  <si>
    <t>Sell trade US26740W1099 D-WAVE QUATUM    DL-,0001, quantity: 6</t>
  </si>
  <si>
    <t>29eb24f0-97e7-485f-add2-535c330b0fba</t>
  </si>
  <si>
    <t>Sell trade US26740W1099 D-WAVE QUATUM    DL-,0001, quantity: 0.699364</t>
  </si>
  <si>
    <t>41da30b5-cf30-42ae-ab1d-a819db75691a</t>
  </si>
  <si>
    <t>bd9b8b5b-a989-48ae-9336-6edccbeb937d</t>
  </si>
  <si>
    <t xml:space="preserve">UiPath </t>
  </si>
  <si>
    <t>US90364P1057</t>
  </si>
  <si>
    <t>Buy trade US90364P1057 UIPATH INC.   A DL-,00001, quantity: 0.211239</t>
  </si>
  <si>
    <t>bbad0a21-06b2-488d-b9f3-235db0c87a4c</t>
  </si>
  <si>
    <t>Buy trade US90364P1057 UIPATH INC.   A DL-,00001, quantity: 7.0</t>
  </si>
  <si>
    <t>0ba4e127-eff1-4ce8-80d3-51fc8f503d44</t>
  </si>
  <si>
    <t>175a0829-f92c-4255-8ab7-bd3e8a87d42a</t>
  </si>
  <si>
    <t>795b30d7-2a1d-42c8-b16a-a03486fcc4d9</t>
  </si>
  <si>
    <t>Buy trade XF000XRP0018 XRP, quantity: 10.314556</t>
  </si>
  <si>
    <t>7014c662-3be2-46cc-a9c9-ee39df4da837</t>
  </si>
  <si>
    <t>Buy trade XF000ADA0018 Cardano, quantity: 28.448976</t>
  </si>
  <si>
    <t>9a77e70f-a797-4e1f-b066-d2ddedd8fca1</t>
  </si>
  <si>
    <t>Buy trade XF000DOT0011 Polkadot, quantity: 7.140103</t>
  </si>
  <si>
    <t>ab532230-9c48-4908-917b-79750fa74442</t>
  </si>
  <si>
    <t>Buy trade XF0RENDER015 Render Token, quantity: 8.69</t>
  </si>
  <si>
    <t>bc75428a-02af-41ef-987c-ce6003a0c932</t>
  </si>
  <si>
    <t>Buy trade AU000000DRO2 DRONESHIELD LTD, quantity: 0.775137</t>
  </si>
  <si>
    <t>cd99ce49-e49b-4c4c-92c0-4c0428c1978a</t>
  </si>
  <si>
    <t>Buy trade AU000000DRO2 DRONESHIELD LTD, quantity: 108.0</t>
  </si>
  <si>
    <t>3da85001-f286-48e7-a1b1-9958631c1664</t>
  </si>
  <si>
    <t>Incoming transfer from ROMEO TALLA FOTSING (DE16300209005310514271)</t>
  </si>
  <si>
    <t>019aee09-5a28-7927-8993-f42134793bea</t>
  </si>
  <si>
    <t>019aedf6-7285-7bf7-a42b-a6b28d7cfa76</t>
  </si>
  <si>
    <t>019aedf4-7ab5-7bee-95a6-4e2951b5df11</t>
  </si>
  <si>
    <t>Buy trade XF000ADA0018 Cardano, quantity: 134.173077</t>
  </si>
  <si>
    <t>32077172-03ad-40a3-adf7-df97720afa17</t>
  </si>
  <si>
    <t>Buy trade XF000XRP0018 XRP, quantity: 26.372817</t>
  </si>
  <si>
    <t>c0a5bd9e-4f96-4aae-8efc-02335fd171d9</t>
  </si>
  <si>
    <t>Buy trade CA0558691014 BTQ TECHNOLOGIES CORP., quantity: 8.0</t>
  </si>
  <si>
    <t>a3277adf-8d14-44b2-be20-3489ebf38378</t>
  </si>
  <si>
    <t>Buy trade CA0558691014 BTQ TECHNOLOGIES CORP., quantity: 0.695652</t>
  </si>
  <si>
    <t>563adad6-c87f-4a6d-9533-5e2c8ae57537</t>
  </si>
  <si>
    <t>GIFT</t>
  </si>
  <si>
    <t>Gift lottery order: Transfer from marketing stock perk to recipient cash account for lottery e16b9a9c-8d4d-4e83-802c-ffe2560ba6b0</t>
  </si>
  <si>
    <t>019afd34-9947-7eca-8998-30cc305d5b1c</t>
  </si>
  <si>
    <t>019afcb7-9753-7e2a-886b-c96c3285d822</t>
  </si>
  <si>
    <t>Bayer</t>
  </si>
  <si>
    <t>DE000BAY0017</t>
  </si>
  <si>
    <t>Buy trade DE000BAY0017 BAYER AG O.N., quantity: 0.581914</t>
  </si>
  <si>
    <t>de01d30c-03a3-4e78-a600-5e2e0b3f3ba9</t>
  </si>
  <si>
    <t>Buy trade US26740W1099 D-WAVE QUATUM    DL-,0001, quantity: 0.27538</t>
  </si>
  <si>
    <t>21b41f69-1308-4d47-857d-39a154490a6e</t>
  </si>
  <si>
    <t>Buy trade US26740W1099 D-WAVE QUATUM    DL-,0001, quantity: 10.0</t>
  </si>
  <si>
    <t>bca0a9f2-b9a3-42f8-b82d-991180d5ba51</t>
  </si>
  <si>
    <t>019b045c-097e-78e6-9baf-b2ce8fe2f02e</t>
  </si>
  <si>
    <t>019b0332-ed3a-70dd-92f1-cc5fa2ec3a66</t>
  </si>
  <si>
    <t>Buy trade XF0RENDER015 Render Token, quantity: 13.04</t>
  </si>
  <si>
    <t>7dff909e-ba7d-4308-9f49-ff3eba93466a</t>
  </si>
  <si>
    <t>Buy trade XF000DOT0011 Polkadot, quantity: 10.857816</t>
  </si>
  <si>
    <t>ae3825d2-80ce-4336-b0d7-815f774a39d4</t>
  </si>
  <si>
    <t>Buy trade XF000LINK010 Chainlink, quantity: 3.513813</t>
  </si>
  <si>
    <t>8a76fb67-26ef-43a6-b6c4-ba1a451d7c7d</t>
  </si>
  <si>
    <t>Buy trade CA0558691014 BTQ TECHNOLOGIES CORP., quantity: 0.166666</t>
  </si>
  <si>
    <t>4ac82ffd-e8df-46b5-844b-4b0ca7cd1763</t>
  </si>
  <si>
    <t>Buy trade CA0558691014 BTQ TECHNOLOGIES CORP., quantity: 10.0</t>
  </si>
  <si>
    <t>d28eaf93-b986-4a65-937f-ac0aacd130a3</t>
  </si>
  <si>
    <t>Buy trade DE000BAY0017 BAYER AG O.N., quantity: 1</t>
  </si>
  <si>
    <t>ab0d2967-1920-4dc8-9561-917edb7fa438</t>
  </si>
  <si>
    <t>Buy trade DE000BAY0017 BAYER AG O.N., quantity: 0.02224</t>
  </si>
  <si>
    <t>4ee71448-88ce-45e8-8083-19a32493b161</t>
  </si>
  <si>
    <t>Buy trade US26740W1099 D-WAVE QUATUM    DL-,0001, quantity: 0.167424</t>
  </si>
  <si>
    <t>cdc7a0b4-7216-400c-8cc8-f1627e30e557</t>
  </si>
  <si>
    <t>Buy trade US26740W1099 D-WAVE QUATUM    DL-,0001, quantity: 5.0</t>
  </si>
  <si>
    <t>13bd4217-bf26-4141-885c-bbadca60938f</t>
  </si>
  <si>
    <t>019b0a45-d1f5-7ec1-88b3-0fcd5a31114c</t>
  </si>
  <si>
    <t>019b0768-6839-701d-9459-43a506c4146d</t>
  </si>
  <si>
    <t>019b07fc-ea08-70be-a192-9531a952aace</t>
  </si>
  <si>
    <t>Centrotherm Photovoltaics</t>
  </si>
  <si>
    <t>DE000A1TNMM9</t>
  </si>
  <si>
    <t>Buy trade DE000A1TNMM9 CENTROTHERM INTL O.N., quantity: 23.0</t>
  </si>
  <si>
    <t>b5e51c18-be0d-41b4-94fb-2d97cdf6f0d5</t>
  </si>
  <si>
    <t>Buy trade DE000A1TNMM9 CENTROTHERM INTL O.N., quantity: 0.832335</t>
  </si>
  <si>
    <t>b0125f4c-7ccd-436f-9d84-7d84cded2423</t>
  </si>
  <si>
    <t>019b2ba0-a136-73aa-bad7-4d2b7ee5d85e</t>
  </si>
  <si>
    <t>Deutsche Konsum REIT</t>
  </si>
  <si>
    <t>DE000A14KRD3</t>
  </si>
  <si>
    <t>Buy trade DE000A14KRD3 DT.KONSUM REIT-AG, quantity: 30</t>
  </si>
  <si>
    <t>7b635484-3ba9-4010-94dd-f901798769d4</t>
  </si>
  <si>
    <t>Volatus Aerospace</t>
  </si>
  <si>
    <t>CA92865M1023</t>
  </si>
  <si>
    <t>Buy trade CA92865M1023 VOLATUS AEROSPACE INC., quantity: 50</t>
  </si>
  <si>
    <t>9fddf3dc-eece-440f-a3d2-0639f2887d6e</t>
  </si>
  <si>
    <t>Vulcan Energy Resources</t>
  </si>
  <si>
    <t>AU0000066086</t>
  </si>
  <si>
    <t>Buy trade AU0000066086 VULCAN ENERGY RESOURCES, quantity: 0.345679</t>
  </si>
  <si>
    <t>f4cd3cdc-20d9-4737-a05b-51161221e242</t>
  </si>
  <si>
    <t>Buy trade AU0000066086 VULCAN ENERGY RESOURCES, quantity: 12.0</t>
  </si>
  <si>
    <t>f949bb83-0563-4939-9558-1e1eaf5b124b</t>
  </si>
  <si>
    <t>019b3318-b164-75ab-bcef-1f95e1e787b2</t>
  </si>
  <si>
    <t>Draganfly</t>
  </si>
  <si>
    <t>CA26142Q3044</t>
  </si>
  <si>
    <t>Buy trade CA26142Q3044 DRAGANFLY INC., quantity: 14.0</t>
  </si>
  <si>
    <t>1c077ffd-3ab1-4a53-9c2c-0df266c6c871</t>
  </si>
  <si>
    <t>Buy trade CA26142Q3044 DRAGANFLY INC., quantity: 0.90566</t>
  </si>
  <si>
    <t>19c551d9-13b7-4840-8a6f-40271b08bd6a</t>
  </si>
  <si>
    <t>Voltabox</t>
  </si>
  <si>
    <t>DE000A2E4LE9</t>
  </si>
  <si>
    <t>Buy trade DE000A2E4LE9 VOLTATRON AG INH. O.N., quantity: 0.401785</t>
  </si>
  <si>
    <t>baaee081-8028-4502-9d74-0f2cdca043ca</t>
  </si>
  <si>
    <t>Buy trade DE000A2E4LE9 VOLTATRON AG INH. O.N., quantity: 15.0</t>
  </si>
  <si>
    <t>4f2473ad-ea3c-4f79-979d-4efa2f408a1f</t>
  </si>
  <si>
    <t>019b3872-9e95-732d-9b6b-73e3d38c2d9a</t>
  </si>
  <si>
    <t>Red Cat</t>
  </si>
  <si>
    <t>US75644T1007</t>
  </si>
  <si>
    <t>Buy trade US75644T1007 RED CAT HDGS INC.DL -,001, quantity: 0.265129</t>
  </si>
  <si>
    <t>49e6afe5-ab7e-4f44-a5d9-8cbb54c1b528</t>
  </si>
  <si>
    <t>Buy trade US75644T1007 RED CAT HDGS INC.DL -,001, quantity: 14.0</t>
  </si>
  <si>
    <t>e56e4d44-b03f-4c8b-ab0f-cabc68b84cc9</t>
  </si>
  <si>
    <t>TeamViewer</t>
  </si>
  <si>
    <t>DE000A2YN900</t>
  </si>
  <si>
    <t>Buy trade DE000A2YN900 TEAMVIEWER SE  INH O.N., quantity: 0.737109</t>
  </si>
  <si>
    <t>9b6022db-d620-467d-af39-621aae1c4f72</t>
  </si>
  <si>
    <t>Buy trade DE000A2YN900 TEAMVIEWER SE  INH O.N., quantity: 16.0</t>
  </si>
  <si>
    <t>eefda062-65aa-409d-b4d7-920041a737dc</t>
  </si>
  <si>
    <t>Evotec</t>
  </si>
  <si>
    <t>DE0005664809</t>
  </si>
  <si>
    <t>Buy trade DE0005664809 EVOTEC SE  INH O.N., quantity: 0.553223</t>
  </si>
  <si>
    <t>4d5dd0bb-6962-49a2-853e-89463ee35b1f</t>
  </si>
  <si>
    <t>Buy trade DE0005664809 EVOTEC SE  INH O.N., quantity: 18.0</t>
  </si>
  <si>
    <t>794ba5ad-8e63-4afc-b0e4-8da103a6f9e0</t>
  </si>
  <si>
    <t>019b6a6c-a242-7912-84e0-77ffd21fd15a</t>
  </si>
  <si>
    <t>019b692a-87fa-7cb1-895c-06b887de397d</t>
  </si>
  <si>
    <t>Quantum eMotion</t>
  </si>
  <si>
    <t>CA74767K1030</t>
  </si>
  <si>
    <t>Buy trade CA74767K1030 QUANTUM EMOTION CORP., quantity: 28.0</t>
  </si>
  <si>
    <t>7f0761de-bf16-45f6-a154-be2e124356da</t>
  </si>
  <si>
    <t>Buy trade CA74767K1030 QUANTUM EMOTION CORP., quantity: 0.343949</t>
  </si>
  <si>
    <t>7ff8ba4a-322c-47a4-8849-dc67c4902a4e</t>
  </si>
  <si>
    <t>019b891d-3262-7d79-a62f-f4ef7d1278fd</t>
  </si>
  <si>
    <t>Polygon</t>
  </si>
  <si>
    <t>MATIC</t>
  </si>
  <si>
    <t>Buy trade XF000MATIC12 Polygon, quantity: 223.931457</t>
  </si>
  <si>
    <t>9f4df1cc-1283-4556-b648-917ff02f78fa</t>
  </si>
  <si>
    <t>Algorand</t>
  </si>
  <si>
    <t>ALGO</t>
  </si>
  <si>
    <t>Buy trade XF000ALGO013 Algorand, quantity: 160.774425</t>
  </si>
  <si>
    <t>679444b9-ef46-481b-8788-86ba2d39c6e2</t>
  </si>
  <si>
    <t>019b8d0e-5b7f-7cee-8bab-235fcadd3bad</t>
  </si>
  <si>
    <t>Metaplanet</t>
  </si>
  <si>
    <t>JP3481200008</t>
  </si>
  <si>
    <t>Buy trade JP3481200008 METAPLANET INC., quantity: 39.0</t>
  </si>
  <si>
    <t>6be5de2e-2373-47d4-810c-26c2df1a9a1c</t>
  </si>
  <si>
    <t>Buy trade JP3481200008 METAPLANET INC., quantity: 0.442231</t>
  </si>
  <si>
    <t>3053caac-1f61-4589-831b-7cf95887761d</t>
  </si>
  <si>
    <t>019b926e-3129-7d63-8cca-4b8a2ea22fe1</t>
  </si>
  <si>
    <t>Buy trade US72919P2020 PLUG POWER INC. DL-,01, quantity: 20</t>
  </si>
  <si>
    <t>f5963cf7-eb34-4239-82a8-e8a0eb0055c6</t>
  </si>
  <si>
    <t>Buy trade US72919P2020 PLUG POWER INC. DL-,01, quantity: 0.317145</t>
  </si>
  <si>
    <t>8aa94ed3-a8fe-478a-b9d1-0a2e79442055</t>
  </si>
  <si>
    <t>Buy trade CA0558691014 BTQ TECHNOLOGIES CORP., quantity: 0.925619</t>
  </si>
  <si>
    <t>bd8e040b-0234-4c82-a9b7-b3cab19610bf</t>
  </si>
  <si>
    <t>Buy trade CA0558691014 BTQ TECHNOLOGIES CORP., quantity: 3.0</t>
  </si>
  <si>
    <t>7d73f001-ba03-4769-942f-210e3d1d494c</t>
  </si>
  <si>
    <t>019b973d-14cd-73ee-b6d6-643eaeb20ba5</t>
  </si>
  <si>
    <t>WuXi Biologics</t>
  </si>
  <si>
    <t>KYG970081173</t>
  </si>
  <si>
    <t>Buy trade KYG970081173 WUXI BIOLOGICS-0,0000083, quantity: 0.00175</t>
  </si>
  <si>
    <t>a8d9ed97-38c9-4be1-bc46-bc2bfcec165c</t>
  </si>
  <si>
    <t>Buy trade KYG970081173 WUXI BIOLOGICS-0,0000083, quantity: 7.0</t>
  </si>
  <si>
    <t>b97a96c4-b526-412b-902c-a52deb2d8eec</t>
  </si>
  <si>
    <t>Sell trade AU000000DRO2 DRONESHIELD LTD, quantity: 0.387568</t>
  </si>
  <si>
    <t>a437b1c0-03a0-4dde-9c19-5449d6eb7224</t>
  </si>
  <si>
    <t>Sell trade AU000000DRO2 DRONESHIELD LTD, quantity: 54.0</t>
  </si>
  <si>
    <t>cb1de1bb-7a84-4230-a6c0-3efd1b26ee9e</t>
  </si>
  <si>
    <t>TAX_OPTIMIZATION</t>
  </si>
  <si>
    <t>Tax Optimisation</t>
  </si>
  <si>
    <t>019b9acb-a1d8-74ad-a75c-45ce3c56b710</t>
  </si>
  <si>
    <t>Sell trade US90364P1057 UIPATH INC.   A DL-,00001, quantity: 7</t>
  </si>
  <si>
    <t>4bf8acae-dece-415d-90a7-9da1dc02ac16</t>
  </si>
  <si>
    <t>Sell trade US26740W1099 D-WAVE QUATUM    DL-,0001, quantity: 15</t>
  </si>
  <si>
    <t>b3f95f4c-6b13-4383-8165-25f9b0a5b05e</t>
  </si>
  <si>
    <t>Outgoing transfer for ROMEO TALLA FOTSING (DE16300209005310514271)</t>
  </si>
  <si>
    <t>019ba6d9-1015-72e3-b9b9-54b97ecdbd8f</t>
  </si>
  <si>
    <t>Sell trade DE000A1TNMM9 CENTROTHERM INTL O.N., quantity: 0.832335</t>
  </si>
  <si>
    <t>7b2b9093-6b66-42f6-8519-e0e8715ba107</t>
  </si>
  <si>
    <t>Sell trade DE000A1TNMM9 CENTROTHERM INTL O.N., quantity: 23</t>
  </si>
  <si>
    <t>ff1770f3-9829-4972-af2f-a89feb8aa1f4</t>
  </si>
  <si>
    <t>Sell trade US75644T1007 RED CAT HDGS INC.DL -,001, quantity: 0.265129</t>
  </si>
  <si>
    <t>751ec297-acca-4b6a-9e13-3dd35f4efc37</t>
  </si>
  <si>
    <t>Sell trade US75644T1007 RED CAT HDGS INC.DL -,001, quantity: 14.0</t>
  </si>
  <si>
    <t>d1dce2a9-91b9-4821-9470-33a313a5e4a7</t>
  </si>
  <si>
    <t>Sell trade CA26142Q3044 DRAGANFLY INC., quantity: 14.0</t>
  </si>
  <si>
    <t>f2634665-d33a-40d0-aeda-a79db4c63447</t>
  </si>
  <si>
    <t>Sell trade CA26142Q3044 DRAGANFLY INC., quantity: 0.90566</t>
  </si>
  <si>
    <t>09ab24a4-cf98-4ca6-949d-2e16e3acdfb2</t>
  </si>
  <si>
    <t>36df53fc-e82f-48f7-b2dc-0128b9f0d1d2</t>
  </si>
  <si>
    <t>Sell trade AU000000DRO2 DRONESHIELD LTD, quantity: 0.387569</t>
  </si>
  <si>
    <t>7bd90bee-a4c5-4909-a23c-74770e6ce305</t>
  </si>
  <si>
    <t>Sell trade DE0005664809 EVOTEC SE  INH O.N., quantity: 0.553223</t>
  </si>
  <si>
    <t>2c83c880-40d5-45d2-a0a5-0900ab6366b9</t>
  </si>
  <si>
    <t>Sell trade DE0005664809 EVOTEC SE  INH O.N., quantity: 18.0</t>
  </si>
  <si>
    <t>43e51abb-04de-4380-bbb2-f04a133aa309</t>
  </si>
  <si>
    <t>Sell trade JP3481200008 METAPLANET INC., quantity: 39.0</t>
  </si>
  <si>
    <t>037ba9f8-f448-4977-8cd2-7f6338065f2d</t>
  </si>
  <si>
    <t>Sell trade JP3481200008 METAPLANET INC., quantity: 0.442231</t>
  </si>
  <si>
    <t>8082d260-b11b-4b35-a770-3c7e70e24cf9</t>
  </si>
  <si>
    <t>Sell trade US26740W1099 D-WAVE QUATUM    DL-,0001, quantity: 0.442804</t>
  </si>
  <si>
    <t>8216af38-1fa0-49f5-a54d-f2fba87df057</t>
  </si>
  <si>
    <t>Sell trade DE000A2E4LE9 VOLTATRON AG INH. O.N., quantity: 0.401785</t>
  </si>
  <si>
    <t>3c359c14-bd09-48b6-b20b-d6ffe04760b4</t>
  </si>
  <si>
    <t>Sell trade DE000A2E4LE9 VOLTATRON AG INH. O.N., quantity: 15.0</t>
  </si>
  <si>
    <t>09f2fffb-1598-4d0c-8c08-8f2478fd7111</t>
  </si>
  <si>
    <t>019bb5b1-2f76-75c1-a84c-95c673f1e267</t>
  </si>
  <si>
    <t>Sell trade DE000A2YN900 TEAMVIEWER SE  INH O.N., quantity: 16</t>
  </si>
  <si>
    <t>cc4b7527-6d95-49bc-8b20-d6dae12d49ab</t>
  </si>
  <si>
    <t>Sell trade DE000A2YN900 TEAMVIEWER SE  INH O.N., quantity: 0.737109</t>
  </si>
  <si>
    <t>802313ef-acea-4b4a-a770-1df07f80003a</t>
  </si>
  <si>
    <t>Sell trade US90364P1057 UIPATH INC.   A DL-,00001, quantity: 0.211239</t>
  </si>
  <si>
    <t>c37db99a-f771-478c-b961-d53177f29a8f</t>
  </si>
  <si>
    <t>Sell trade DE000BAY0017 BAYER AG O.N., quantity: 0.02224</t>
  </si>
  <si>
    <t>bc950b8d-88ec-4842-b9ec-620dd92e8a12</t>
  </si>
  <si>
    <t>Sell trade DE000BAY0017 BAYER AG O.N., quantity: 1</t>
  </si>
  <si>
    <t>152f3155-e8f7-47f5-9279-92854d3ee1b4</t>
  </si>
  <si>
    <t>Sell trade AU0000066086 VULCAN ENERGY RESOURCES, quantity: 0.345679</t>
  </si>
  <si>
    <t>53bbaa09-240c-41c7-a54d-956c248155d0</t>
  </si>
  <si>
    <t>Sell trade AU0000066086 VULCAN ENERGY RESOURCES, quantity: 12.0</t>
  </si>
  <si>
    <t>3920029f-936e-4446-ae03-0d8fceaa6c45</t>
  </si>
  <si>
    <t>Sell trade CA92865M1023 VOLATUS AEROSPACE INC., quantity: 50</t>
  </si>
  <si>
    <t>8e5a9775-b63c-4f69-bab5-46c9bb3d1703</t>
  </si>
  <si>
    <t>Sell trade KYG970081173 WUXI BIOLOGICS-0,0000083, quantity: 0.00175</t>
  </si>
  <si>
    <t>989e18f2-8e38-4d04-aafe-82ffc7864efd</t>
  </si>
  <si>
    <t>Sell trade KYG970081173 WUXI BIOLOGICS-0,0000083, quantity: 7.0</t>
  </si>
  <si>
    <t>2fc80e10-8253-4fd1-bd62-ddcef397e633</t>
  </si>
  <si>
    <t>019bbb10-7dbf-7490-ada0-966c8881f45f</t>
  </si>
  <si>
    <t>019bbe65-8061-7f69-adf5-44378045a337</t>
  </si>
  <si>
    <t>019bc109-5a5a-701c-9321-260e95fff351</t>
  </si>
  <si>
    <t>019bc639-a3ea-7d78-a083-a22c9b3f27d7</t>
  </si>
  <si>
    <t>Buy trade AU000000DRO2 DRONESHIELD LTD, quantity: 0.381526</t>
  </si>
  <si>
    <t>9966fa0b-1ebd-4068-bc57-d9b6cb4c930d</t>
  </si>
  <si>
    <t>Buy trade AU000000DRO2 DRONESHIELD LTD, quantity: 145.0</t>
  </si>
  <si>
    <t>d4a7e09b-7061-4ead-af3b-9099896f8f72</t>
  </si>
  <si>
    <t>Sell trade AU000000DRO2 DRONESHIELD LTD, quantity: 145</t>
  </si>
  <si>
    <t>c90e339e-5232-4872-a61e-4149b1d26025</t>
  </si>
  <si>
    <t>Buy trade AU000000DRO2 DRONESHIELD LTD, quantity: 143.0</t>
  </si>
  <si>
    <t>8a02f322-9560-4c32-8a51-f8f48734901b</t>
  </si>
  <si>
    <t>Buy trade AU000000DRO2 DRONESHIELD LTD, quantity: 0.798449</t>
  </si>
  <si>
    <t>52f804ad-a5a8-4cb5-998d-960362dbf3aa</t>
  </si>
  <si>
    <t>019bd829-3dfe-7733-a956-273a2ce6ca90</t>
  </si>
  <si>
    <t>FUND</t>
  </si>
  <si>
    <t>Core MSCI World USD (Acc)</t>
  </si>
  <si>
    <t>IE00B4L5Y983</t>
  </si>
  <si>
    <t>Buy trade IE00B4L5Y983 iShares III plc - iShares Core MSCI World UCITS ETF USD (Acc), quantity: 0.325673</t>
  </si>
  <si>
    <t>b7c1bc51-52c7-4264-97fa-9c4e7dfa7607</t>
  </si>
  <si>
    <t>Buy trade IE00B4L5Y983 iShares III plc - iShares Core MSCI World UCITS ETF USD (Acc), quantity: 1</t>
  </si>
  <si>
    <t>e7eac930-fb81-43cb-b4b4-459b4837c9fb</t>
  </si>
  <si>
    <t>BYD</t>
  </si>
  <si>
    <t>CNE100000296</t>
  </si>
  <si>
    <t>Buy trade CNE100000296 BYD, quantity: 10.0</t>
  </si>
  <si>
    <t>829585e4-fefc-4de7-9c02-6f912e654ad6</t>
  </si>
  <si>
    <t>Buy trade CNE100000296 BYD, quantity: 0.451094</t>
  </si>
  <si>
    <t>a748e057-0ec2-46e2-a36b-789c3ac4d4cb</t>
  </si>
  <si>
    <t>Tax Recalculation AU000000DRO2 DroneShield (Invoice No.: cb1d-e1bb)</t>
  </si>
  <si>
    <t>019bdc84-0943-7b81-884d-82c0c39a3583</t>
  </si>
  <si>
    <t>Tax Recalculation AU000000DRO2 DroneShield (Invoice No.: a437-b1c0)</t>
  </si>
  <si>
    <t>019bdc84-08ea-701a-a357-7f7ffcd5ec85</t>
  </si>
  <si>
    <t>019bd837-0c40-7df8-a2ca-aecbe6a03518</t>
  </si>
  <si>
    <t>019bd838-03fe-7edf-840d-1e2d7aec23be</t>
  </si>
  <si>
    <t>Sell trade AU000000DRO2 DRONESHIELD LTD, quantity: 144</t>
  </si>
  <si>
    <t>b3ffad8c-247d-475a-9a80-5f261e8db2f3</t>
  </si>
  <si>
    <t>019bdc84-0919-7c11-8692-5efd5386dbec</t>
  </si>
  <si>
    <t>019bdfc8-f5ce-7789-82d2-e53a1f65c6ec</t>
  </si>
  <si>
    <t>CORPORATE_ACTION</t>
  </si>
  <si>
    <t>INTERMEDIATE_SECURITIES_DISTRIBUTION</t>
  </si>
  <si>
    <t>SYNTHETIC</t>
  </si>
  <si>
    <t>DT.KONSUM REIT-AG</t>
  </si>
  <si>
    <t>DE000A41YD57</t>
  </si>
  <si>
    <t>INTERMEDIATE_SECURITIES_DISTRIBUTION DE000A41YD57</t>
  </si>
  <si>
    <t>5f819f6d-50b8-37b7-84d8-776659bc5613</t>
  </si>
  <si>
    <t>INTERMEDIATE_SECURITIES_DISTRIBUTION_CANCELLED</t>
  </si>
  <si>
    <t>3a6b38f6-d011-308c-93c8-c391337fb258</t>
  </si>
  <si>
    <t>cf3f2a76-5bb3-3dda-b64b-0cae861b635e</t>
  </si>
  <si>
    <t>Buy trade XF000LINK010 Chainlink, quantity: 5.023106</t>
  </si>
  <si>
    <t>f3430ffa-c2df-4273-ac21-81e6eadde68d</t>
  </si>
  <si>
    <t>Buy trade XF000XRP0018 XRP, quantity: 16.968933</t>
  </si>
  <si>
    <t>9f60898c-cc6b-455b-a71f-340df1055d44</t>
  </si>
  <si>
    <t>Buy trade AU000000DRO2 DRONESHIELD LTD, quantity: 75.0</t>
  </si>
  <si>
    <t>b9070420-9fb9-4e6f-a9f6-a696607e8c75</t>
  </si>
  <si>
    <t>Buy trade AU000000DRO2 DRONESHIELD LTD, quantity: 0.954198</t>
  </si>
  <si>
    <t>530a69e0-ccb4-4913-94da-a2f04e0e7767</t>
  </si>
  <si>
    <t>019bfb03-b3e8-7fbb-9ddc-f3b89afdce85</t>
  </si>
  <si>
    <t>019bf954-558a-729f-9a8a-15954193631c</t>
  </si>
  <si>
    <t>Buy trade AU000000DRO2 DRONESHIELD LTD, quantity: 3.0</t>
  </si>
  <si>
    <t>f09625db-efed-4eff-8034-3102924545d5</t>
  </si>
  <si>
    <t>Buy trade AU000000DRO2 DRONESHIELD LTD, quantity: 0.515625</t>
  </si>
  <si>
    <t>22261ef8-d8e0-439a-b1a4-44b2b3f33e3b</t>
  </si>
  <si>
    <t>019bfc4b-7523-7ae5-ad41-e88ab7736a79</t>
  </si>
  <si>
    <t>019bfc1e-2860-72ba-a6a3-f1363f43571e</t>
  </si>
  <si>
    <t>019bf8ac-a57d-749c-a86f-ddd1ce31ec4e</t>
  </si>
  <si>
    <t>019c0427-29bc-777b-beb9-c51fc33d951d</t>
  </si>
  <si>
    <t>Uranium Energy</t>
  </si>
  <si>
    <t>US9168961038</t>
  </si>
  <si>
    <t>Buy trade US9168961038 URANIUM ENERGY    DL-,001, quantity: 0.960765</t>
  </si>
  <si>
    <t>96d1a47b-6850-4dc6-9172-a52b3054f016</t>
  </si>
  <si>
    <t>Buy trade US9168961038 URANIUM ENERGY    DL-,001, quantity: 13</t>
  </si>
  <si>
    <t>baaf5584-ab57-400a-a698-d62464d83daa</t>
  </si>
  <si>
    <t>019c087d-c187-7ace-9387-14b18f02c4c5</t>
  </si>
  <si>
    <t>Buy trade AU000000DRO2 DRONESHIELD LTD, quantity: 19.0</t>
  </si>
  <si>
    <t>b211aea4-1843-4224-bc2b-998c14c55a8e</t>
  </si>
  <si>
    <t>Buy trade AU000000DRO2 DRONESHIELD LTD, quantity: 0.02439</t>
  </si>
  <si>
    <t>63eafcd9-9e10-4822-9e2c-917f0e1f1c31</t>
  </si>
  <si>
    <t>Core S&amp;P 500 USD (Acc)</t>
  </si>
  <si>
    <t>IE00B5BMR087</t>
  </si>
  <si>
    <t>Buy trade IE00B5BMR087 iShares VII plc - iShares Core S&amp;P 500 UCITS ETF USD (Acc), quantity: 0.414267</t>
  </si>
  <si>
    <t>a473d426-3eca-4776-816b-ecfe97be088f</t>
  </si>
  <si>
    <t>019c0a66-fd3b-72a1-b62a-efc0a3baaa29</t>
  </si>
  <si>
    <t>019c08a1-f486-7acd-a86e-69c6799f577c</t>
  </si>
  <si>
    <t>Buy trade CA0558691014 BTQ TECHNOLOGIES CORP., quantity: 0.1875</t>
  </si>
  <si>
    <t>d06ccc78-01c9-4920-885c-6ed8fdb740c2</t>
  </si>
  <si>
    <t>Buy trade CA0558691014 BTQ TECHNOLOGIES CORP., quantity: 12.0</t>
  </si>
  <si>
    <t>b5267254-2b25-43b0-80eb-24891b234434</t>
  </si>
  <si>
    <t>019c1610-a1b4-7574-b2d3-90f34af2570f</t>
  </si>
  <si>
    <t>Buy trade XF000SOL0012 Solana, quantity: 3.093239</t>
  </si>
  <si>
    <t>b8853279-e3e9-4b4e-9da0-a2691f519eef</t>
  </si>
  <si>
    <t>Sell trade CNE100000296 BYD, quantity: 10</t>
  </si>
  <si>
    <t>d6282aad-bad4-4894-b365-becb2134aa04</t>
  </si>
  <si>
    <t>ec670c04-31a8-41a7-a9af-c450b31c954f</t>
  </si>
  <si>
    <t>Buy trade US26740W1099 D-WAVE QUATUM    DL-,0001, quantity: 0.537744</t>
  </si>
  <si>
    <t>9ee64082-ea36-4109-ba21-86279c435042</t>
  </si>
  <si>
    <t>82b13b70-4004-43b6-8486-24b00082fe24</t>
  </si>
  <si>
    <t>Buy trade US26740W1099 D-WAVE QUATUM    DL-,0001, quantity: 0.009741</t>
  </si>
  <si>
    <t>c88479a9-cc74-46c1-943d-9fe8236c0882</t>
  </si>
  <si>
    <t>019c1e88-aa04-7bb7-9834-3149f03d26b6</t>
  </si>
  <si>
    <t>019c4852-9198-7642-88c1-6f0ad46c3a3a</t>
  </si>
  <si>
    <t>019c4d53-af0e-74c0-a373-efd5d66767e2</t>
  </si>
  <si>
    <t>9d91b8c7-55cb-44de-8dbe-94b32855bd51</t>
  </si>
  <si>
    <t>Buy trade IE00B4L5Y983 iShares III plc - iShares Core MSCI World UCITS ETF USD (Acc), quantity: 0.318739</t>
  </si>
  <si>
    <t>f09e1ecd-e99c-4c07-be36-de0b0fa5270b</t>
  </si>
  <si>
    <t>Buy trade AU000000DRO2 DRONESHIELD LTD, quantity: 9.0</t>
  </si>
  <si>
    <t>690beefb-7100-4c2b-9bcd-37fc329551e5</t>
  </si>
  <si>
    <t>Buy trade AU000000DRO2 DRONESHIELD LTD, quantity: 0.414225</t>
  </si>
  <si>
    <t>293f1cd6-0b1f-4320-aa4f-102f6689370a</t>
  </si>
  <si>
    <t>019c5222-90ea-7811-979b-5505c440b213</t>
  </si>
  <si>
    <t>019c512c-b057-71ad-a700-5a02a03d0556</t>
  </si>
  <si>
    <t>Buy trade IE00B5BMR087 iShares VII plc - iShares Core S&amp;P 500 UCITS ETF USD (Acc), quantity: 0.419963</t>
  </si>
  <si>
    <t>ab8e33f1-0fd4-467f-be87-aa237adab5c0</t>
  </si>
  <si>
    <t>019c65a2-ad1a-76de-8f62-55502176b33e</t>
  </si>
  <si>
    <t>Buy trade CA0558691014 BTQ TECHNOLOGIES CORP., quantity: 0.982905</t>
  </si>
  <si>
    <t>8b84f8be-df57-40f1-87c0-3ff4404974fa</t>
  </si>
  <si>
    <t>Buy trade CA0558691014 BTQ TECHNOLOGIES CORP., quantity: 5.0</t>
  </si>
  <si>
    <t>c780ad97-8dd9-4721-8176-3a1988f46f30</t>
  </si>
  <si>
    <t>019c6664-375c-7acf-a6e4-6f821b03d7d0</t>
  </si>
  <si>
    <t>Buy trade CNE100000296 BYD, quantity: 0.446564</t>
  </si>
  <si>
    <t>7dea49f5-6c4c-43a9-ac4b-cddde75e8bb5</t>
  </si>
  <si>
    <t>Buy trade CNE100000296 BYD, quantity: 9.0</t>
  </si>
  <si>
    <t>da6ec080-bc93-48d6-82a9-d5888da10a1c</t>
  </si>
  <si>
    <t>019c7526-966a-7c36-85b4-67f536ebb8d3</t>
  </si>
  <si>
    <t>Buy trade XF000SOL0012 Solana, quantity: 1</t>
  </si>
  <si>
    <t>f5592e61-dfdc-4870-b8a6-136aed4df1c4</t>
  </si>
  <si>
    <t>Buy trade CNE100000296 BYD, quantity: 0.679425</t>
  </si>
  <si>
    <t>8e9871a0-bb71-4312-804b-fe1d24693776</t>
  </si>
  <si>
    <t>Buy trade CNE100000296 BYD, quantity: 2.0</t>
  </si>
  <si>
    <t>f9c3407d-a908-430b-8ecd-ff8f25d43d52</t>
  </si>
  <si>
    <t>019c7bee-8304-7ca5-a3f4-a05903c3eef5</t>
  </si>
  <si>
    <t>019c7bfd-501d-7204-a11f-0aebebe8ade4</t>
  </si>
  <si>
    <t>019c7a59-3640-7cd1-9677-7ff713eeb2db</t>
  </si>
  <si>
    <t>Sell trade CA74767K1030 QUANTUM EMOTION CORP., quantity: 0.343949</t>
  </si>
  <si>
    <t>36d15a6e-3f6e-488d-a1f3-b87d323758f4</t>
  </si>
  <si>
    <t>Sell trade CA74767K1030 QUANTUM EMOTION CORP., quantity: 28.0</t>
  </si>
  <si>
    <t>80a39303-ee6e-4b4a-95d6-88059a9f6ae6</t>
  </si>
  <si>
    <t>019c8ec9-3f95-7729-bb4a-fae0fb93ab5a</t>
  </si>
  <si>
    <t>WORTHLESS</t>
  </si>
  <si>
    <t>WORTHLESS DE000A41YD57</t>
  </si>
  <si>
    <t>a7ce4baa-540c-31fa-bffe-5fcc8fbea0bf</t>
  </si>
  <si>
    <t>019cada3-6b52-7de7-b1c8-4977a24f7423</t>
  </si>
  <si>
    <t>BP</t>
  </si>
  <si>
    <t>GB0007980591</t>
  </si>
  <si>
    <t>Buy trade GB0007980591 BP PLC, quantity: 0.380583</t>
  </si>
  <si>
    <t>bec15860-8f84-4b69-b0ed-98229d9087ba</t>
  </si>
  <si>
    <t>Buy trade GB0007980591 BP PLC, quantity: 26.0</t>
  </si>
  <si>
    <t>c504b89d-3174-49d6-977b-53b8d0ec83ce</t>
  </si>
  <si>
    <t>019cd152-c553-717b-a8fc-e60c081a503d</t>
  </si>
  <si>
    <t>0883ee04-0b90-454e-b623-7ae4ac9f71b8</t>
  </si>
  <si>
    <t>Buy trade IE00B4L5Y983 iShares III plc - iShares Core MSCI World UCITS ETF USD (Acc), quantity: 0.354157</t>
  </si>
  <si>
    <t>d4363632-ac49-4c16-ae02-5ba997b1f427</t>
  </si>
  <si>
    <t>019cd153-a511-7cc4-bcd0-523654d7f69b</t>
  </si>
  <si>
    <t>Buy trade IE00B5BMR087 iShares VII plc - iShares Core S&amp;P 500 UCITS ETF USD (Acc), quantity: 0.420099</t>
  </si>
  <si>
    <t>88dbb420-b68f-401c-ae57-7a368c723a18</t>
  </si>
  <si>
    <t>019cdbee-6108-7d25-8721-9bce36fc0b19</t>
  </si>
  <si>
    <t>Eco Oil &amp; Gas</t>
  </si>
  <si>
    <t>CA27887W1005</t>
  </si>
  <si>
    <t>Buy trade CA27887W1005 ECO(ATLANTIC) OIL+GAS LTD, quantity: 0.620689</t>
  </si>
  <si>
    <t>9ce4b6e5-2193-4249-9ffd-7cba7d0a4f15</t>
  </si>
  <si>
    <t>Buy trade CA27887W1005 ECO(ATLANTIC) OIL+GAS LTD, quantity: 258.0</t>
  </si>
  <si>
    <t>934570e0-a167-41ad-99f4-9f302ce27d54</t>
  </si>
  <si>
    <t>Sell trade CNE100000296 BYD, quantity: 0.577083</t>
  </si>
  <si>
    <t>9477cfca-0f6b-4ead-939d-c6a9ffd3a72e</t>
  </si>
  <si>
    <t>Sell trade CNE100000296 BYD, quantity: 12.0</t>
  </si>
  <si>
    <t>348d5930-867e-4691-9109-b4fc7cfb8d5d</t>
  </si>
  <si>
    <t>Sell trade GB0007980591 BP PLC, quantity: 26.0</t>
  </si>
  <si>
    <t>19ba947e-03c3-4790-97a2-656473db8058</t>
  </si>
  <si>
    <t>Sell trade GB0007980591 BP PLC, quantity: 0.380583</t>
  </si>
  <si>
    <t>b88fed0d-1b65-4cbe-b479-284b4cce2258</t>
  </si>
  <si>
    <t>019cf5c3-89ef-7532-bb03-69b576100b38</t>
  </si>
  <si>
    <t>Sell trade CA27887W1005 ECO(ATLANTIC) OIL+GAS LTD, quantity: 258.0</t>
  </si>
  <si>
    <t>cb081404-7b81-4932-80fe-d332cbd78d47</t>
  </si>
  <si>
    <t>Sell trade CA27887W1005 ECO(ATLANTIC) OIL+GAS LTD, quantity: 0.620689</t>
  </si>
  <si>
    <t>fa17591c-8593-4cfc-9579-525c1f3eedf2</t>
  </si>
  <si>
    <t>019cf5e0-c6f6-721c-93b0-aee6bf2d8602</t>
  </si>
  <si>
    <t>Buy trade CA27887W1005 ECO(ATLANTIC) OIL+GAS LTD, quantity: 0.798449</t>
  </si>
  <si>
    <t>9a5e21f2-9e0e-4507-b6a0-a72a032e660c</t>
  </si>
  <si>
    <t>Buy trade CA27887W1005 ECO(ATLANTIC) OIL+GAS LTD, quantity: 193.0</t>
  </si>
  <si>
    <t>c5cd1e1d-3590-412f-90ed-3b3f2e830113</t>
  </si>
  <si>
    <t>019cfb98-fb55-7c74-aab1-20baade0bfd5</t>
  </si>
  <si>
    <t>019cfacf-fe53-7fc5-b504-bf588ee87d5a</t>
  </si>
  <si>
    <t>Buy trade GB0007980591 BP PLC, quantity: 0.466331</t>
  </si>
  <si>
    <t>784fab36-b450-45e0-a53b-b2c9f324cf96</t>
  </si>
  <si>
    <t>Buy trade GB0007980591 BP PLC, quantity: 31.0</t>
  </si>
  <si>
    <t>615b090a-cace-40bd-9b66-449b58b6fb9c</t>
  </si>
  <si>
    <t>Sell trade AU000000DRO2 DRONESHIELD LTD, quantity: 0.088413</t>
  </si>
  <si>
    <t>8e0a53d1-2759-4dea-b762-571ae8087609</t>
  </si>
  <si>
    <t>Sell trade AU000000DRO2 DRONESHIELD LTD, quantity: 108.0</t>
  </si>
  <si>
    <t>31f04d73-2d1c-4f42-aa28-b71fab58ebeb</t>
  </si>
  <si>
    <t>019cffb2-7b27-7086-93c0-d3aed20f77d1</t>
  </si>
  <si>
    <t>019d0595-d0a4-74e1-9a58-faa1c983cf51</t>
  </si>
  <si>
    <t>Patterson-UTI Energy</t>
  </si>
  <si>
    <t>US7034811015</t>
  </si>
  <si>
    <t>Buy trade US7034811015 PATTERS.-UTI       DL-,01, quantity: 20.0</t>
  </si>
  <si>
    <t>528f8705-ed32-4304-943f-ec4f4a0ab48a</t>
  </si>
  <si>
    <t>Buy trade US7034811015 PATTERS.-UTI       DL-,01, quantity: 0.618556</t>
  </si>
  <si>
    <t>4fdeae30-eb4d-4bda-8e6b-076a03c60038</t>
  </si>
  <si>
    <t>019d068b-2aef-7de1-9ce4-84723614c746</t>
  </si>
  <si>
    <t>Incoming transfer from Romeo Talla Fotsing und Josiane Tefouemewe Tsamo (DE04731500000040868242)</t>
  </si>
  <si>
    <t>019d0714-2622-766a-ada5-c54606a9dfab</t>
  </si>
  <si>
    <t>Outgoing transfer for Romeo Talla Fotsing (DE04731500000040868242)</t>
  </si>
  <si>
    <t>019d070e-6b68-7dba-8bb7-7ff3670dfa72</t>
  </si>
  <si>
    <t>Buy trade US26740W1099 D-WAVE QUATUM    DL-,0001, quantity: 0.573981</t>
  </si>
  <si>
    <t>157afce7-1a0b-4f68-a753-6e5c690a26eb</t>
  </si>
  <si>
    <t>Buy trade US26740W1099 D-WAVE QUATUM    DL-,0001, quantity: 3.0</t>
  </si>
  <si>
    <t>f7aeaf3f-ce6d-43ce-b436-0b235bea038f</t>
  </si>
  <si>
    <t>019d0ac8-ac40-7569-98ad-48e80b8ecf88</t>
  </si>
  <si>
    <t>Buy trade IE00B5BMR087 iShares VII plc - iShares Core S&amp;P 500 UCITS ETF USD (Acc), quantity: 0.041584</t>
  </si>
  <si>
    <t>9aa66d69-71d3-44ad-900d-c6a02aec8f61</t>
  </si>
  <si>
    <t>019d1983-a5fa-7aa6-97cc-8283e1f1dd12</t>
  </si>
  <si>
    <t>Buy trade IE00B5BMR087 iShares VII plc - iShares Core S&amp;P 500 UCITS ETF USD (Acc), quantity: 0.430418</t>
  </si>
  <si>
    <t>50e830f2-a4fe-497f-9b0a-9b2cae482178</t>
  </si>
  <si>
    <t>Outgoing transfer for Romeo Talla Fotsing und Josiane Tefouemewe Tsamo (DE04731500000040868242)</t>
  </si>
  <si>
    <t>019d1984-adf5-7ca5-9279-e3132d9de03d</t>
  </si>
  <si>
    <t>019d2bf1-8eb7-7769-96db-7e97a6a1eed3</t>
  </si>
  <si>
    <t>Lufthansa</t>
  </si>
  <si>
    <t>DE0008232125</t>
  </si>
  <si>
    <t>Buy trade DE0008232125 LUFTHANSA AG VNA O.N., quantity: 26</t>
  </si>
  <si>
    <t>a47627e3-8fd0-4790-8e32-86c8a5bf3ebe</t>
  </si>
  <si>
    <t>Buy trade DE0008232125 LUFTHANSA AG VNA O.N., quantity: 0.322716</t>
  </si>
  <si>
    <t>6288dc59-37e8-492b-a451-e1108b2ec907</t>
  </si>
  <si>
    <t>019d2c00-2765-731f-944b-3ce0021a75f6</t>
  </si>
  <si>
    <t>Buy trade CA27887W1005 ECO(ATLANTIC) OIL+GAS LTD, quantity: 0.032258</t>
  </si>
  <si>
    <t>9461b839-44f9-4167-b6d3-a5b5ea051e19</t>
  </si>
  <si>
    <t>Buy trade CA27887W1005 ECO(ATLANTIC) OIL+GAS LTD, quantity: 79.0</t>
  </si>
  <si>
    <t>6bf53a03-f087-4674-887f-a7fc6b010483</t>
  </si>
  <si>
    <t>019d2c1e-eee2-7f3b-9647-75d0ea3baed4</t>
  </si>
  <si>
    <t>Buy trade IE00B4L5Y983 iShares III plc - iShares Core MSCI World UCITS ETF USD (Acc), quantity: 0.376273</t>
  </si>
  <si>
    <t>5fba49d2-d26d-4aa4-8b32-f4cbd7d8768c</t>
  </si>
  <si>
    <t>6493fff6-86f5-40ad-b93b-940bf0fb1adb</t>
  </si>
  <si>
    <t>019d2ec7-5245-7fc9-b45a-2a47a643d202</t>
  </si>
  <si>
    <t>019d3dc6-a75a-723e-921e-eb3a41401d0a</t>
  </si>
  <si>
    <t>Buy trade XF000LINK010 Chainlink, quantity: 6.60787</t>
  </si>
  <si>
    <t>a1c71de7-6e79-4ca7-a2c5-988f2df2b09d</t>
  </si>
  <si>
    <t>019d4d93-6851-7908-a781-b17e6eb123ab</t>
  </si>
  <si>
    <t>019d4e7b-3977-7c3e-b719-e6f54207832a</t>
  </si>
  <si>
    <t>Buy trade XF000XRP0018 XRP, quantity: 43.611455</t>
  </si>
  <si>
    <t>0bd86f42-c866-4a17-ac32-9f1a08d06e40</t>
  </si>
  <si>
    <t>019d4e96-51ed-7865-812b-c05a72923419</t>
  </si>
  <si>
    <t>Buy trade XF000SOL0012 Solana, quantity: 1.010885</t>
  </si>
  <si>
    <t>745965e6-15ae-4c50-91c9-918c76db6e42</t>
  </si>
  <si>
    <t>019d4ff8-5598-77ac-a41d-1a53c8fb3516</t>
  </si>
  <si>
    <t>Wizz Air</t>
  </si>
  <si>
    <t>JE00BN574F90</t>
  </si>
  <si>
    <t>Buy trade JE00BN574F90 WIZZ AIR, quantity: 0.212295</t>
  </si>
  <si>
    <t>46c8c540-9f93-4a93-b8fc-fa5328454e3b</t>
  </si>
  <si>
    <t>Buy trade JE00BN574F90 WIZZ AIR, quantity: 19.0</t>
  </si>
  <si>
    <t>54428fb7-a742-43af-9d78-a87fc2c79bf8</t>
  </si>
  <si>
    <t>Sell trade JE00BN574F90 WIZZ AIR, quantity: 0.212295</t>
  </si>
  <si>
    <t>35a9fd28-feb8-46e2-9a10-6d4b421cc57c</t>
  </si>
  <si>
    <t>Sell trade JE00BN574F90 WIZZ AIR, quantity: 19.0</t>
  </si>
  <si>
    <t>b6335044-8bbf-4e2f-8d2d-bf29dbb4436e</t>
  </si>
  <si>
    <t>Sell trade DE0008232125 LUFTHANSA AG VNA O.N., quantity: 26</t>
  </si>
  <si>
    <t>7ba44b97-92aa-4ae1-9a11-06702803f5d6</t>
  </si>
  <si>
    <t>Sell trade DE0008232125 LUFTHANSA AG VNA O.N., quantity: 0.322716</t>
  </si>
  <si>
    <t>3970e5ea-55f5-475f-a315-ca87a1502a54</t>
  </si>
  <si>
    <t>019d76dd-f5fb-78b2-8800-65ab0bf05a7a</t>
  </si>
  <si>
    <t>019d7b3f-07b6-7334-b2c4-2113dcfd2be7</t>
  </si>
  <si>
    <t>Buy trade XF000ADA0018 Cardano, quantity: 227.93242</t>
  </si>
  <si>
    <t>fa09bae8-8851-45ba-bc24-1964855d676b</t>
  </si>
  <si>
    <t>019d7b40-2ad6-7d60-95ab-1815bd1b01f3</t>
  </si>
  <si>
    <t>Buy trade XF000DOT0011 Polkadot, quantity: 21.89042</t>
  </si>
  <si>
    <t>30c8499f-b2b0-4e09-98f7-7dca57604e06</t>
  </si>
  <si>
    <t>019d8239-ad11-7cdb-805d-f35f4c713ee2</t>
  </si>
  <si>
    <t>Sell trade CA27887W1005 ECO(ATLANTIC) OIL+GAS LTD, quantity: 0.830707</t>
  </si>
  <si>
    <t>1b3cd52d-77f4-478d-a62c-c3487514fcc5</t>
  </si>
  <si>
    <t>Sell trade CA27887W1005 ECO(ATLANTIC) OIL+GAS LTD, quantity: 272.0</t>
  </si>
  <si>
    <t>654dbfc5-3e74-416d-a886-854131646c22</t>
  </si>
  <si>
    <t>019d8dbb-03e1-7fc1-8a1b-c557e3bc5f3e</t>
  </si>
  <si>
    <t>DAX EUR (Acc)</t>
  </si>
  <si>
    <t>LU0274211480</t>
  </si>
  <si>
    <t>Buy trade LU0274211480 Xtrackers - Xtrackers DAX UCITS ETF 1C, quantity: 0.776198</t>
  </si>
  <si>
    <t>28b9bed7-6970-4bc4-98b4-61031dcd58dc</t>
  </si>
  <si>
    <t>Buy trade LU0274211480 Xtrackers - Xtrackers DAX UCITS ETF 1C, quantity: 1</t>
  </si>
  <si>
    <t>c1d06d44-b5ef-4cc0-b495-d10c9dced4aa</t>
  </si>
  <si>
    <t>019d8ff4-d3c8-7236-b2d1-6b89027b7443</t>
  </si>
  <si>
    <t>TRANSFER_OUT</t>
  </si>
  <si>
    <t>Outgoing transfer for Guetsa Kheri Talla (DE93100123454609710911)</t>
  </si>
  <si>
    <t>019d8fff-84e0-731c-9ec6-6a3124512e8a</t>
  </si>
  <si>
    <t>019d91d3-6642-7bab-807d-9f83c6eb983c</t>
  </si>
  <si>
    <t>TRANSFER_IN</t>
  </si>
  <si>
    <t>Incoming transfer from Guetsa Kheri Talla (DE93100123454609710911)</t>
  </si>
  <si>
    <t>019d91d3-0c8a-7b97-9671-b279dfc5725c</t>
  </si>
  <si>
    <t>Sell trade US26740W1099 D-WAVE QUATUM    DL-,0001, quantity: 14</t>
  </si>
  <si>
    <t>c5211efb-8711-40fe-9e10-c4c5699260fc</t>
  </si>
  <si>
    <t>Sell trade US26740W1099 D-WAVE QUATUM    DL-,0001, quantity: 0.121466</t>
  </si>
  <si>
    <t>ea340d3a-6b6e-46b3-a55f-6eac2b26177a</t>
  </si>
  <si>
    <t>Buy trade US26740W1099 D-WAVE QUATUM    DL-,0001, quantity: 0.464696</t>
  </si>
  <si>
    <t>70b8cd39-bc92-4b51-aa12-e1a5e1cb55e2</t>
  </si>
  <si>
    <t>Buy trade US26740W1099 D-WAVE QUATUM    DL-,0001, quantity: 13</t>
  </si>
  <si>
    <t>8c31a60f-221e-4aab-82c1-a52df33095ce</t>
  </si>
  <si>
    <t>019d955d-3074-7aba-974e-e62098116744</t>
  </si>
  <si>
    <t>Buy trade DE000BAY0017 BAYER AG O.N., quantity: 4</t>
  </si>
  <si>
    <t>b8413df8-a38b-4b53-b9e1-42fbd220c6b5</t>
  </si>
  <si>
    <t>Buy trade DE000BAY0017 BAYER AG O.N., quantity: 0.923305</t>
  </si>
  <si>
    <t>e709bce6-823f-4e7d-8a05-071baa944f5f</t>
  </si>
  <si>
    <t>019d977b-58a6-7264-aeb8-594b757b171f</t>
  </si>
  <si>
    <t>019d9b04-b541-7387-b9c8-b576d0a813af</t>
  </si>
  <si>
    <t>Netflix</t>
  </si>
  <si>
    <t>US64110L1061</t>
  </si>
  <si>
    <t>Buy trade US64110L1061 NETFLIX INC.      DL-,001, quantity: 0.43635</t>
  </si>
  <si>
    <t>e49cf297-fc8f-46dc-bd70-09b076fe262a</t>
  </si>
  <si>
    <t>Buy trade US64110L1061 NETFLIX INC.      DL-,001, quantity: 2</t>
  </si>
  <si>
    <t>c1318eea-5f78-4d21-8498-cc0587565a94</t>
  </si>
  <si>
    <t>019d9b6f-8400-7f00-8ea4-2a1ab2cc2d49</t>
  </si>
  <si>
    <t>019d9b70-168a-7c88-874f-0d99ef519719</t>
  </si>
  <si>
    <t>019d9d2e-31a2-7dd4-975d-2fcd9745e25e</t>
  </si>
  <si>
    <t>019d9d2e-e5ca-76cb-8a08-b5d606feb9a8</t>
  </si>
  <si>
    <t>Buy trade US7034811015 PATTERS.-UTI       DL-,01, quantity: 0.440905</t>
  </si>
  <si>
    <t>5539549b-2647-4d7e-84fc-f6dade548501</t>
  </si>
  <si>
    <t>Buy trade US7034811015 PATTERS.-UTI       DL-,01, quantity: 12.0</t>
  </si>
  <si>
    <t>70278dab-63e6-4376-9c56-de42fad7958b</t>
  </si>
  <si>
    <t>019db4da-02fb-7be2-912a-ff8f3657b606</t>
  </si>
  <si>
    <t>Sell trade US7034811015 PATTERS.-UTI       DL-,01, quantity: 0.059461</t>
  </si>
  <si>
    <t>5c6d2d20-e1ff-4a26-a5bb-74e9f142fc6f</t>
  </si>
  <si>
    <t>Sell trade US7034811015 PATTERS.-UTI       DL-,01, quantity: 33.0</t>
  </si>
  <si>
    <t>8870175f-c2ba-4256-b0e3-273ac493e914</t>
  </si>
  <si>
    <t>019dc430-f740-7953-8cfe-3b280036c13e</t>
  </si>
  <si>
    <t>019dd309-2b66-7623-b072-ff3f94978bdb</t>
  </si>
  <si>
    <t>Buy trade LU0274211480 Xtrackers - Xtrackers DAX UCITS ETF 1C, quantity: 0.442869</t>
  </si>
  <si>
    <t>6e0876da-e5dc-45af-bfb8-ec37b63d92bb</t>
  </si>
  <si>
    <t>Buy trade US72919P2020 PLUG POWER INC. DL-,01, quantity: 18</t>
  </si>
  <si>
    <t>129c8a66-6d7b-4eef-ad88-a1f5f197116b</t>
  </si>
  <si>
    <t>Buy trade US72919P2020 PLUG POWER INC. DL-,01, quantity: 0.45444</t>
  </si>
  <si>
    <t>ec7d2fa8-f6d7-45ea-a797-e3a8b505dc2e</t>
  </si>
  <si>
    <t>ROMEO TALLA FOTSING</t>
  </si>
  <si>
    <t>019dd5e2-d48a-7a62-a527-0700a1cd1bcc</t>
  </si>
  <si>
    <t>DE16300209005310514271</t>
  </si>
  <si>
    <t>Buy trade US26740W1099 D-WAVE QUATUM    DL-,0001, quantity: 0.385037</t>
  </si>
  <si>
    <t>5dd4ec5b-15c4-4ba8-aa25-bedca3051e5d</t>
  </si>
  <si>
    <t>Buy trade US26740W1099 D-WAVE QUATUM    DL-,0001, quantity: 6</t>
  </si>
  <si>
    <t>0440ca6d-36ca-468e-8185-9c97a8018d4a</t>
  </si>
  <si>
    <t>Cash Dividend for ISIN DE000BAY0017</t>
  </si>
  <si>
    <t>019dd84b-c7a4-76c6-9e0e-52028a47efc0</t>
  </si>
  <si>
    <t>019dd850-f1ed-7a13-9d3f-479d76734676</t>
  </si>
  <si>
    <t>Buy trade DE000BAY0017 BAYER AG O.N., quantity: 5</t>
  </si>
  <si>
    <t>b2617944-82ec-423a-a605-f09ce2996fc9</t>
  </si>
  <si>
    <t>Buy trade DE000BAY0017 BAYER AG O.N., quantity: 0.486968</t>
  </si>
  <si>
    <t>2bfc7d57-1ba5-45e9-b27a-0aa9dea6605a</t>
  </si>
  <si>
    <t>Buy trade US72919P2020 PLUG POWER INC. DL-,01, quantity: 0.935581</t>
  </si>
  <si>
    <t>cf3a22b5-b026-416c-98a8-aa5edf7c47b0</t>
  </si>
  <si>
    <t>Buy trade US72919P2020 PLUG POWER INC. DL-,01, quantity: 29</t>
  </si>
  <si>
    <t>6d87e23e-d187-404e-ac7e-f07eb25c0ce7</t>
  </si>
  <si>
    <t>019ddfe2-b29f-7bbe-a5ec-bdbad25d509d</t>
  </si>
  <si>
    <t>019ddfe1-86b1-736f-b121-58eb9af2920c</t>
  </si>
  <si>
    <t>Buy trade US9168961038 URANIUM ENERGY    DL-,001, quantity: 0.830853</t>
  </si>
  <si>
    <t>335b03b7-3aee-4460-b1b5-229d6f764786</t>
  </si>
  <si>
    <t>Buy trade US9168961038 URANIUM ENERGY    DL-,001, quantity: 7</t>
  </si>
  <si>
    <t>3bf299b4-f036-4622-92a1-c378bd2bce2e</t>
  </si>
  <si>
    <t>019ddfec-34a8-7d64-83d7-74d336a10784</t>
  </si>
  <si>
    <t>MSCI Robotics &amp; AI ESG Screened EUR (Acc)</t>
  </si>
  <si>
    <t>LU1861132840</t>
  </si>
  <si>
    <t>Buy trade LU1861132840 Amundi Index Solutions - Amundi MSCI Robotics &amp; AI UCITS ETF Acc, quantity: 4.0</t>
  </si>
  <si>
    <t>d00d7030-1fa9-40c9-bb2c-dfcb8fa86255</t>
  </si>
  <si>
    <t>Buy trade LU1861132840 Amundi Index Solutions - Amundi MSCI Robotics &amp; AI UCITS ETF Acc, quantity: 0.312031</t>
  </si>
  <si>
    <t>feacd1a3-a749-4962-8325-10b9cf794745</t>
  </si>
  <si>
    <t>019df7b1-4599-7d23-bd22-9540b5d9e0a3</t>
  </si>
  <si>
    <t>019df7be-26a6-714b-8d33-7c4d9e7296ce</t>
  </si>
  <si>
    <t>Romeo Talla Fotsing und Josiane Tefouemewe Tsamo</t>
  </si>
  <si>
    <t>019df7bf-13f4-7625-a99b-9cc11937f81a</t>
  </si>
  <si>
    <t>DE04731500000040868242</t>
  </si>
  <si>
    <t>019df835-c45e-7746-9d87-791e5ac6fcce</t>
  </si>
  <si>
    <t>Sell trade LU0274211480 Xtrackers - Xtrackers DAX UCITS ETF 1C, quantity: 2</t>
  </si>
  <si>
    <t>7d12fbcd-9d52-487c-89fb-e80b1138f853</t>
  </si>
  <si>
    <t>Sell trade LU0274211480 Xtrackers - Xtrackers DAX UCITS ETF 1C, quantity: 0.219067</t>
  </si>
  <si>
    <t>8ce0adac-392a-48c3-a367-6120dd8f12f5</t>
  </si>
  <si>
    <t>Core Stoxx Europe 600 EUR (Acc)</t>
  </si>
  <si>
    <t>LU0908500753</t>
  </si>
  <si>
    <t>Buy trade LU0908500753 Amundi Index Solutions - Amundi Core Stoxx Europe 600 UCITS ETF Acc, quantity: 1</t>
  </si>
  <si>
    <t>ae7cd5d1-eaa8-44d3-9990-ac6673a982e6</t>
  </si>
  <si>
    <t>Buy trade LU0908500753 Amundi Index Solutions - Amundi Core Stoxx Europe 600 UCITS ETF Acc, quantity: 0.692411</t>
  </si>
  <si>
    <t>078d75f3-d8b5-425c-80d7-4020032eaba6</t>
  </si>
  <si>
    <t>Sell trade US26740W1099 D-WAVE QUATUM    DL-,0001, quantity: 0.849733</t>
  </si>
  <si>
    <t>b40f0e0e-f020-4c7d-a394-531211107da5</t>
  </si>
  <si>
    <t>Sell trade US26740W1099 D-WAVE QUATUM    DL-,0001, quantity: 19</t>
  </si>
  <si>
    <t>620728c7-7008-4a6d-b650-62c80620f338</t>
  </si>
  <si>
    <t>Sell trade US72919P2020 PLUG POWER INC. DL-,01, quantity: 0.269513</t>
  </si>
  <si>
    <t>4dd3e2cc-0455-418b-952a-3c05c80d10ac</t>
  </si>
  <si>
    <t>Sell trade US72919P2020 PLUG POWER INC. DL-,01, quantity: 99</t>
  </si>
  <si>
    <t>5bea88e8-e986-4714-aacc-4d1fafd43bcf</t>
  </si>
  <si>
    <t>Buy trade GB0007980591 BP PLC, quantity: 15.0</t>
  </si>
  <si>
    <t>7c188116-0b5a-4678-a6f5-2dc91f205f88</t>
  </si>
  <si>
    <t>Buy trade GB0007980591 BP PLC, quantity: 0.805278</t>
  </si>
  <si>
    <t>a7ee9f9e-5645-489c-830b-69d8f59242f6</t>
  </si>
  <si>
    <t>Buy trade US26740W1099 D-WAVE QUATUM    DL-,0001, quantity: 18</t>
  </si>
  <si>
    <t>d4fef195-a36c-4cfd-8cd9-d5e28c1a05c9</t>
  </si>
  <si>
    <t>Buy trade US26740W1099 D-WAVE QUATUM    DL-,0001, quantity: 0.48917</t>
  </si>
  <si>
    <t>36ff94f2-58e0-456b-adbb-51f2570c05f7</t>
  </si>
  <si>
    <t>4297fffc-d9c4-4bc3-bf3a-4a5d6fdbad77</t>
  </si>
  <si>
    <t>Buy trade IE00B4L5Y983 iShares III plc - iShares Core MSCI World UCITS ETF USD (Acc), quantity: 0.256913</t>
  </si>
  <si>
    <t>8668f5b4-bc29-4e91-98e2-ebe0274b7016</t>
  </si>
  <si>
    <t>Buy trade US64110L1061 NETFLIX INC.      DL-,001, quantity: 0.537562</t>
  </si>
  <si>
    <t>ad5c8c33-8830-4940-9e48-d7baa0ce09b2</t>
  </si>
  <si>
    <t>019dfd4b-c68e-7065-b4f1-dd0674a1823b</t>
  </si>
  <si>
    <t>Buy trade IE00B5BMR087 iShares VII plc - iShares Core S&amp;P 500 UCITS ETF USD (Acc), quantity: 0.387283</t>
  </si>
  <si>
    <t>66c0cae3-67ac-4182-b9ad-3b8ae1d5c9ff</t>
  </si>
  <si>
    <t>Fotsing Kydan Talla</t>
  </si>
  <si>
    <t>Outgoing transfer for Fotsing Kydan Talla (DE67100123452517543211)</t>
  </si>
  <si>
    <t>019e01b8-6ef0-7fb5-9c29-b9a49c5bdfe2</t>
  </si>
  <si>
    <t>DE67100123452517543211</t>
  </si>
  <si>
    <t>019e01b7-d3dc-78d5-af51-1098c322db78</t>
  </si>
  <si>
    <t>Guetsa Kheri Talla</t>
  </si>
  <si>
    <t>019e01b9-8672-7e76-9c80-3afe411ba6d4</t>
  </si>
  <si>
    <t>DE93100123454609710911</t>
  </si>
  <si>
    <t>Tene Klever Talla</t>
  </si>
  <si>
    <t>Outgoing transfer for Tene Klever Talla (DE53100123454355905311)</t>
  </si>
  <si>
    <t>019e01ba-e23f-76ec-9c87-3d52ed1d4f7a</t>
  </si>
  <si>
    <t>DE53100123454355905311</t>
  </si>
  <si>
    <t>019e0300-90e4-7b24-bc69-fcec32e8518a</t>
  </si>
  <si>
    <t>019e0439-5569-7604-979d-1024076f80ea</t>
  </si>
  <si>
    <t>Buy trade US7034811015 PATTERS.-UTI       DL-,01, quantity: 0.556121</t>
  </si>
  <si>
    <t>e6c9e3ca-db65-4a93-bb05-4d8842904bd8</t>
  </si>
  <si>
    <t>Buy trade US7034811015 PATTERS.-UTI       DL-,01, quantity: 30.0</t>
  </si>
  <si>
    <t>396dc738-fa81-408a-9666-e9f3406db797</t>
  </si>
  <si>
    <t>019e1744-8218-743f-812b-6b5bbf64b7b3</t>
  </si>
  <si>
    <t>Pfizer</t>
  </si>
  <si>
    <t>US7170811035</t>
  </si>
  <si>
    <t>Buy trade US7170811035 PFIZER INC. DL-,05, quantity: 0.082652</t>
  </si>
  <si>
    <t>e2862c08-4179-497f-8447-51eeb8c18ec5</t>
  </si>
  <si>
    <t>Buy trade US7170811035 PFIZER INC. DL-,05, quantity: 9.0</t>
  </si>
  <si>
    <t>932130ce-99c7-4f0a-a55b-05fe84192591</t>
  </si>
  <si>
    <t>Sell trade US26740W1099 D-WAVE QUATUM    DL-,0001, quantity: 18</t>
  </si>
  <si>
    <t>7223938d-cb95-4c71-8243-12839cf2e9ca</t>
  </si>
  <si>
    <t>Sell trade US26740W1099 D-WAVE QUATUM    DL-,0001, quantity: 0.48917</t>
  </si>
  <si>
    <t>6e6c5928-46bc-4e1e-880d-34a21b7e999d</t>
  </si>
  <si>
    <t>Buy trade AU000000DRO2 DRONESHIELD LTD, quantity: 150.0</t>
  </si>
  <si>
    <t>bf302f9f-3ee0-40ed-a7e0-e42401561f8a</t>
  </si>
  <si>
    <t>Buy trade AU000000DRO2 DRONESHIELD LTD, quantity: 0.753768</t>
  </si>
  <si>
    <t>8b9f7a2f-0611-49b9-96f7-8050794b11b2</t>
  </si>
  <si>
    <t>Buy trade US64110L1061 NETFLIX INC.      DL-,001, quantity: 1</t>
  </si>
  <si>
    <t>9f902256-8efe-4f5f-a853-6b7165548272</t>
  </si>
  <si>
    <t>Buy trade US64110L1061 NETFLIX INC.      DL-,001, quantity: 0.226012</t>
  </si>
  <si>
    <t>44e10865-b532-41a4-8cf5-3b673abc4789</t>
  </si>
  <si>
    <t>Sell trade US7034811015 PATTERS.-UTI       DL-,01, quantity: 0.556121</t>
  </si>
  <si>
    <t>c0f467bf-799e-47d0-b19d-1fd8b27f9804</t>
  </si>
  <si>
    <t>Sell trade US7034811015 PATTERS.-UTI       DL-,01, quantity: 30.0</t>
  </si>
  <si>
    <t>876f34a2-28f1-4a5c-966f-2aabe31a1a3a</t>
  </si>
  <si>
    <t>Buy trade US26740W1099 D-WAVE QUATUM    DL-,0001, quantity: 19</t>
  </si>
  <si>
    <t>f3574165-9ae5-49a1-9e84-7af0037b3d01</t>
  </si>
  <si>
    <t>Buy trade US26740W1099 D-WAVE QUATUM    DL-,0001, quantity: 0.776119</t>
  </si>
  <si>
    <t>b26ea71d-6b38-4731-95ca-7b10ac0cc7ff</t>
  </si>
  <si>
    <t>019e3caa-6164-730f-876a-bfe7db368919</t>
  </si>
  <si>
    <t>Buy trade AU000000DRO2 DRONESHIELD LTD, quantity: 0.866528</t>
  </si>
  <si>
    <t>b5eb9da6-8a66-40ec-9666-e7a575807e43</t>
  </si>
  <si>
    <t>Buy trade AU000000DRO2 DRONESHIELD LTD, quantity: 25.0</t>
  </si>
  <si>
    <t>57953a32-0fa2-4daa-847b-661d5cfdf20c</t>
  </si>
  <si>
    <t>019e3ebc-6696-7972-b1c1-79e7b7b968ce</t>
  </si>
  <si>
    <t>Buy trade AU000000DRO2 DRONESHIELD LTD, quantity: 0.855153</t>
  </si>
  <si>
    <t>43d26ca8-4aab-4295-9383-53ebb62d490d</t>
  </si>
  <si>
    <t>Buy trade AU000000DRO2 DRONESHIELD LTD, quantity: 27.0</t>
  </si>
  <si>
    <t>43bf7cbe-87a1-4941-ab58-57a99aafc9b3</t>
  </si>
  <si>
    <t>019e3edf-d44f-7d33-aee7-c24036e8595a</t>
  </si>
  <si>
    <t>Buy trade CA0558691014 BTQ TECHNOLOGIES CORP., quantity: 40</t>
  </si>
  <si>
    <t>5cd4d867-a675-4e63-b4db-3a842cfc2265</t>
  </si>
  <si>
    <t>019e3efd-a50c-7113-8156-7e2eb657ab88</t>
  </si>
  <si>
    <t>7f6928a0-cb6d-49aa-8138-0cd39b2ee038</t>
  </si>
  <si>
    <t>Buy trade US26740W1099 D-WAVE QUATUM    DL-,0001, quantity: 0.080875</t>
  </si>
  <si>
    <t>3824fb67-995a-4f0e-931d-9c37e309150c</t>
  </si>
  <si>
    <t>019e4408-a069-7ad6-ba71-c5529e6226b3</t>
  </si>
  <si>
    <t>Buy trade AU000000DRO2 DRONESHIELD LTD, quantity: 0.743891</t>
  </si>
  <si>
    <t>bd7ba4ac-eb45-4d1b-9e28-8a47b8174324</t>
  </si>
  <si>
    <t>Buy trade AU000000DRO2 DRONESHIELD LTD, quantity: 28.0</t>
  </si>
  <si>
    <t>dc4bac1e-3f13-4cb0-9a35-7c9e55291296</t>
  </si>
  <si>
    <t>Sell trade US26740W1099 D-WAVE QUATUM    DL-,0001, quantity: 0.856994</t>
  </si>
  <si>
    <t>6deab65b-49c3-4720-b84b-251e945b3249</t>
  </si>
  <si>
    <t>Sell trade US26740W1099 D-WAVE QUATUM    DL-,0001, quantity: 25</t>
  </si>
  <si>
    <t>7508f863-8ec1-4f95-8766-3dfc8139b13a</t>
  </si>
  <si>
    <t>019e4b0f-aaee-79e9-869b-3630bf7b5a1e</t>
  </si>
  <si>
    <t>Sell trade GB0007980591 BP PLC, quantity: 47.0</t>
  </si>
  <si>
    <t>31f22158-5229-4c0d-ba60-34c69a14e7bd</t>
  </si>
  <si>
    <t>Sell trade GB0007980591 BP PLC, quantity: 0.271609</t>
  </si>
  <si>
    <t>fb43b49c-ff35-4bb2-8dd2-80a85db69dfd</t>
  </si>
  <si>
    <t>Sell trade US7170811035 PFIZER INC. DL-,05, quantity: 0.082652</t>
  </si>
  <si>
    <t>d36f3f94-3299-4b8d-ae45-8ad413ee3f92</t>
  </si>
  <si>
    <t>Sell trade US7170811035 PFIZER INC. DL-,05, quantity: 9.0</t>
  </si>
  <si>
    <t>052c6cc3-6845-4052-980c-1b9611c2dc50</t>
  </si>
  <si>
    <t>019e4b14-5ca7-77ba-acde-7fb18b3382a4</t>
  </si>
  <si>
    <t>019e5000-b474-7c47-b7d0-0943bfaa3b50</t>
  </si>
  <si>
    <t>Buy trade US26740W1099 D-WAVE QUATUM    DL-,0001, quantity: 0.894571</t>
  </si>
  <si>
    <t>bf89d20d-4beb-451b-8c7a-9d5cf973394e</t>
  </si>
  <si>
    <t>Buy trade US26740W1099 D-WAVE QUATUM    DL-,0001, quantity: 3</t>
  </si>
  <si>
    <t>7ba7e8f7-bef7-4454-af1f-ab6e76ce8469</t>
  </si>
  <si>
    <t>019e5eae-f15f-75ab-818d-8bd3cd156d04</t>
  </si>
  <si>
    <t>6b0e31ca-4d77-4ce0-824b-eadc1441ed8b</t>
  </si>
  <si>
    <t>019e60e7-36f0-7fdd-b8f6-10c614f5b14f</t>
  </si>
  <si>
    <t>Buy trade CA0558691014 BTQ TECHNOLOGIES CORP., quantity: 10</t>
  </si>
  <si>
    <t>292793af-3c08-45ab-bb33-450c96f6260c</t>
  </si>
  <si>
    <t>019e64a7-8eb0-7523-ae5c-d0d9ec7cc0e2</t>
  </si>
  <si>
    <t>Virgin Galactic</t>
  </si>
  <si>
    <t>US92766K4031</t>
  </si>
  <si>
    <t>Buy trade US92766K4031 VIRGIN GAL.HLDGS NEW O.N., quantity: 63.0</t>
  </si>
  <si>
    <t>b00b2ae3-2fa4-493f-a01f-03ecc3d572ff</t>
  </si>
  <si>
    <t>Buy trade US92766K4031 VIRGIN GAL.HLDGS NEW O.N., quantity: 0.734862</t>
  </si>
  <si>
    <t>0090623b-0914-45a5-b82d-ef7645aee6d2</t>
  </si>
  <si>
    <t>019e64b7-205a-7dac-9ef1-d2be1049e448</t>
  </si>
  <si>
    <t>Buy trade US26740W1099 D-WAVE QUATUM    DL-,0001, quantity: 0.306632</t>
  </si>
  <si>
    <t>b39552c0-9c4a-4f2b-b139-d5f44401d810</t>
  </si>
  <si>
    <t>eb937da4-6233-49ae-a942-80cf3797a6c7</t>
  </si>
  <si>
    <t>019e68d7-068e-7809-a3cb-480f169f2cad</t>
  </si>
  <si>
    <t>Space Innovators USD (Acc)</t>
  </si>
  <si>
    <t>IE000YU9K6K2</t>
  </si>
  <si>
    <t>Buy trade IE000YU9K6K2 VanEck UCITS ETFs plc - VanEck Space Innovators UCITS ETF, quantity: 2.0</t>
  </si>
  <si>
    <t>0801b89b-578c-468c-8088-96053194cd38</t>
  </si>
  <si>
    <t>Buy trade IE000YU9K6K2 VanEck UCITS ETFs plc - VanEck Space Innovators UCITS ETF, quantity: 0.482621</t>
  </si>
  <si>
    <t>7d90f2d4-9d27-424d-b771-7028a8e8b8b8</t>
  </si>
  <si>
    <t>019e6907-336c-7784-9397-87c6d1dd7a2d</t>
  </si>
  <si>
    <t>Quantum Computing USD (Acc)</t>
  </si>
  <si>
    <t>IE0007Y8Y157</t>
  </si>
  <si>
    <t>Buy trade IE0007Y8Y157 VanEck UCITS ETFs plc - VanEck Quantum Computing UCITS ETF, quantity: 0.685663</t>
  </si>
  <si>
    <t>fabeca8e-0641-40b7-93c8-b6887d3c63b8</t>
  </si>
  <si>
    <t>Buy trade IE0007Y8Y157 VanEck UCITS ETFs plc - VanEck Quantum Computing UCITS ETF, quantity: 10.0</t>
  </si>
  <si>
    <t>34d4d3d8-89e6-43ff-bfe2-4f57e80bb1f1</t>
  </si>
  <si>
    <t>019e6a34-03bc-73a1-9dcf-aad7fa8d4503</t>
  </si>
  <si>
    <t>Buy trade GB0007980591 BP PLC, quantity: 0.53454</t>
  </si>
  <si>
    <t>15efd4f1-ac86-4b7a-bc12-5db2485e138b</t>
  </si>
  <si>
    <t>Buy trade GB0007980591 BP PLC, quantity: 33.0</t>
  </si>
  <si>
    <t>4bf1eb3e-d086-4c73-af39-3cde6c17442f</t>
  </si>
  <si>
    <t>019e6b07-b1a7-70ba-baab-007173e3dcc6</t>
  </si>
  <si>
    <t>019e6b09-16ca-7ad1-8f52-83ce7421db96</t>
  </si>
  <si>
    <t>Buy trade LU1861132840 Amundi Index Solutions - Amundi MSCI Robotics &amp; AI UCITS ETF Acc, quantity: 0.999275</t>
  </si>
  <si>
    <t>516530aa-01ac-4156-9eed-4ca107d27f75</t>
  </si>
  <si>
    <t>019e6b1b-c940-7d44-87aa-2589e619f767</t>
  </si>
  <si>
    <t>Buy trade LU0908500753 Amundi Index Solutions - Amundi Core Stoxx Europe 600 UCITS ETF Acc, quantity: 0.323991</t>
  </si>
  <si>
    <t>bb6bf68e-1660-4c7e-b954-f3ed6e83b790</t>
  </si>
  <si>
    <t>019e6b24-a7c4-7f33-8391-ff5149e0a164</t>
  </si>
  <si>
    <t>Buy trade IE00B5BMR087 iShares VII plc - iShares Core S&amp;P 500 UCITS ETF USD (Acc), quantity: 0.371667</t>
  </si>
  <si>
    <t>254ee072-66b2-493a-856d-2c6d1fe19131</t>
  </si>
  <si>
    <t>63225551-a557-44b8-b50b-311722f5b679</t>
  </si>
  <si>
    <t>Buy trade IE00B4L5Y983 iShares III plc - iShares Core MSCI World UCITS ETF USD (Acc), quantity: 0.216643</t>
  </si>
  <si>
    <t>bc9b6478-d389-4684-bbfb-22c6e01070f2</t>
  </si>
  <si>
    <t>019e6b28-dcbe-75df-9886-8c64848ea904</t>
  </si>
  <si>
    <t>019e6b2e-f971-7642-bede-e29b40b1ba13</t>
  </si>
  <si>
    <t>019e6b27-32e8-7d6c-a41c-16e47018a65a</t>
  </si>
  <si>
    <t>Buy trade AU000000DRO2 DRONESHIELD LTD, quantity: 0.072522</t>
  </si>
  <si>
    <t>b3e45845-d613-474b-9f62-f0593dc4204c</t>
  </si>
  <si>
    <t>Buy trade AU000000DRO2 DRONESHIELD LTD, quantity: 51.0</t>
  </si>
  <si>
    <t>f6acc29e-4683-4c90-a77f-7986afbee4d6</t>
  </si>
  <si>
    <t>019e6b33-c5e8-77bb-8b57-e27751961360</t>
  </si>
  <si>
    <t>019e6b28-171b-70fa-a7ae-42bab0513b51</t>
  </si>
  <si>
    <t>019e6b27-a791-7aa2-9c5f-e9e978547298</t>
  </si>
  <si>
    <t>Buy trade US9168961038 URANIUM ENERGY    DL-,001, quantity: 8</t>
  </si>
  <si>
    <t>39ff99ec-2644-43f6-b50c-ea5fa8c9a625</t>
  </si>
  <si>
    <t>Buy trade US9168961038 URANIUM ENERGY    DL-,001, quantity: 0.58369</t>
  </si>
  <si>
    <t>b41c8095-e361-4624-9ac9-bfd4e3c1db8b</t>
  </si>
  <si>
    <t>019e6fcc-cc9c-7b89-ade2-c0327ee1a8b4</t>
  </si>
  <si>
    <t>Semiconductor USD (Acc)</t>
  </si>
  <si>
    <t>IE00BMC38736</t>
  </si>
  <si>
    <t>Buy trade IE00BMC38736 VanEck UCITS ETFs plc - VanEck Semiconductor UCITS ETF, quantity: 0.237006</t>
  </si>
  <si>
    <t>1470e7df-c65c-4cc3-9578-54202fb51e0b</t>
  </si>
  <si>
    <t>Buy trade IE00BMC38736 VanEck UCITS ETFs plc - VanEck Semiconductor UCITS ETF, quantity: 6.0</t>
  </si>
  <si>
    <t>4ad73349-c968-43d6-8983-4c43d4d88356</t>
  </si>
  <si>
    <t>Sell trade US92766K4031 VIRGIN GAL.HLDGS NEW O.N., quantity: 25</t>
  </si>
  <si>
    <t>cab78ead-390c-4ee4-a4de-971058c225f3</t>
  </si>
  <si>
    <t>019e7a50-f39a-7abd-bf40-fb4d5c2a6835</t>
  </si>
  <si>
    <t>019e81dc-2f1f-7712-b029-30faaa073665</t>
  </si>
  <si>
    <t>Drone USD (ACC)</t>
  </si>
  <si>
    <t>IE0003XW12I8</t>
  </si>
  <si>
    <t>Buy trade IE0003XW12I8 HANetf II ICAV - Drone UCITS ETF - Accumulating, quantity: 0.961223</t>
  </si>
  <si>
    <t>cf536c26-056a-40a1-904d-4e4724d23440</t>
  </si>
  <si>
    <t>Buy trade IE0003XW12I8 HANetf II ICAV - Drone UCITS ETF - Accumulating, quantity: 40.0</t>
  </si>
  <si>
    <t>9dc23b87-f545-4d3d-ac24-c611b11cd135</t>
  </si>
  <si>
    <t>019e81de-0b2c-71eb-90a2-cb214ef349ee</t>
  </si>
  <si>
    <t>New Energy EUR (Dist)</t>
  </si>
  <si>
    <t>FR0010524777</t>
  </si>
  <si>
    <t>Buy trade FR0010524777 MULTI UNITS FRANCE - Amundi MSCI New Energy UCITS ETF Dist, quantity: 6.0</t>
  </si>
  <si>
    <t>fd9f832b-bbe3-48c1-97b0-7a07c2050f8e</t>
  </si>
  <si>
    <t>Buy trade FR0010524777 MULTI UNITS FRANCE - Amundi MSCI New Energy UCITS ETF Dist, quantity: 0.355258</t>
  </si>
  <si>
    <t>6b09b683-56c5-483d-bec4-e21ef6fbf03f</t>
  </si>
  <si>
    <t>019e81e2-7989-7191-b66c-66df45d5d189</t>
  </si>
  <si>
    <t>Defense USD (Acc)</t>
  </si>
  <si>
    <t>IE000YYE6WK5</t>
  </si>
  <si>
    <t>Buy trade IE000YYE6WK5 VanEck UCITS ETFs plc - VanEck Defense UCITS ETF, quantity: 5</t>
  </si>
  <si>
    <t>36ae9ccd-2ebc-405c-84a1-d6ab34a0b57c</t>
  </si>
  <si>
    <t>Buy trade IE000YYE6WK5 VanEck UCITS ETFs plc - VanEck Defense UCITS ETF, quantity: 0.217391</t>
  </si>
  <si>
    <t>3a9ec870-4549-4cb5-b405-d6584d2e9057</t>
  </si>
  <si>
    <t>019e875c-3287-7a13-8c00-c9e02e657add</t>
  </si>
  <si>
    <t>Buy trade DE000BAY0017 BAYER AG O.N., quantity: 3</t>
  </si>
  <si>
    <t>96dbd4d4-e06b-4106-ac15-bcbf92d1a8f8</t>
  </si>
  <si>
    <t>019e88b5-e8dc-7edf-9724-8bee37bae16f</t>
  </si>
  <si>
    <t>Buy trade IE000YU9K6K2 VanEck UCITS ETFs plc - VanEck Space Innovators UCITS ETF, quantity: 0.467202</t>
  </si>
  <si>
    <t>a45089eb-2beb-4a94-b344-b1ddd9a23be4</t>
  </si>
  <si>
    <t>019e8915-328e-738a-9431-717cb3d157c9</t>
  </si>
  <si>
    <t>706be5ea-a3f9-4e17-aa19-8f9b7e6b0f8e</t>
  </si>
  <si>
    <t>019e8f3f-fb6f-7b8e-93b9-d8e150300995</t>
  </si>
  <si>
    <t>7aca696c-5f1f-48e5-a09b-34271430f964</t>
  </si>
  <si>
    <t>019e912c-040f-7e08-84ca-fc2e8aaedd0e</t>
  </si>
  <si>
    <t>019e912f-dfd8-7eb6-93b9-75be0cabccdb</t>
  </si>
  <si>
    <t>Buy trade AU000000DRO2 DRONESHIELD LTD, quantity: 0.322404</t>
  </si>
  <si>
    <t>7cd2444e-d99d-4368-adc1-a58805f20119</t>
  </si>
  <si>
    <t>05b7c26e-aa6c-43c8-a634-e6cce0a4756a</t>
  </si>
  <si>
    <t>52040166-c77f-4dcf-9411-582ea06733b2</t>
  </si>
  <si>
    <t>Buy trade IE000YU9K6K2 VanEck UCITS ETFs plc - VanEck Space Innovators UCITS ETF, quantity: 0.508181</t>
  </si>
  <si>
    <t>814cc615-f687-4970-bb4c-7d5d1e4a5d77</t>
  </si>
  <si>
    <t>26991b3d-cf67-4ebb-a7ee-f557d2c561a6</t>
  </si>
  <si>
    <t>Buy trade US26740W1099 D-WAVE QUATUM    DL-,0001, quantity: 0.126754</t>
  </si>
  <si>
    <t>72273e16-7d9c-4862-9571-1192eb90b0ac</t>
  </si>
  <si>
    <t>019e914a-6744-768d-93ef-cad86b455f19</t>
  </si>
  <si>
    <t>b8a6516d-1b93-426e-b708-262ac456bd44</t>
  </si>
  <si>
    <t>Buy trade XF000XRP0018 XRP, quantity: 38.094856</t>
  </si>
  <si>
    <t>a24b1b96-276e-4544-9773-6e5e380bb354</t>
  </si>
  <si>
    <t>Buy trade XF000ADA0018 Cardano, quantity: 310.015996</t>
  </si>
  <si>
    <t>bbb05ea9-b988-453f-94fa-a22c49cf6ffe</t>
  </si>
  <si>
    <t>019e9400-4ad5-79d0-8069-9de9a32103f1</t>
  </si>
  <si>
    <t>Buy trade IE0003XW12I8 HANetf II ICAV - Drone UCITS ETF - Accumulating, quantity: 7.0</t>
  </si>
  <si>
    <t>3bcd739c-8eab-4a9c-bce9-bb3020e45dfe</t>
  </si>
  <si>
    <t>Buy trade IE0003XW12I8 HANetf II ICAV - Drone UCITS ETF - Accumulating, quantity: 0.012622</t>
  </si>
  <si>
    <t>530152c5-118d-4e76-b11d-12f612fe6f61</t>
  </si>
  <si>
    <t>019e9417-73be-7e9a-89dc-a79de53a734a</t>
  </si>
  <si>
    <t>Sell trade GB0007980591 BP PLC, quantity: 33.53454</t>
  </si>
  <si>
    <t>17dd0e63-1c33-4cc3-9157-a9fabba3d2f8</t>
  </si>
  <si>
    <t>Buy trade IE000YU9K6K2 VanEck UCITS ETFs plc - VanEck Space Innovators UCITS ETF, quantity: 0.522466</t>
  </si>
  <si>
    <t>a382b85e-9a8c-4c09-b429-2c310b090fd3</t>
  </si>
  <si>
    <t>Buy trade IE0003XW12I8 HANetf II ICAV - Drone UCITS ETF - Accumulating, quantity: 0.599939</t>
  </si>
  <si>
    <t>2f88b10f-f804-4069-8118-de78b57ac7a4</t>
  </si>
  <si>
    <t>f7801ec8-c8d1-424a-b7f1-32c319c080ae</t>
  </si>
  <si>
    <t>Buy trade CA0558691014 BTQ TECHNOLOGIES CORP., quantity: 13</t>
  </si>
  <si>
    <t>b9b18fe2-d394-4ac0-b2dc-204e81100585</t>
  </si>
  <si>
    <t>019e9937-bd46-752a-95bc-d02f5e15a693</t>
  </si>
  <si>
    <t>Buy trade IE00B5BMR087 iShares VII plc - iShares Core S&amp;P 500 UCITS ETF USD (Acc), quantity: 0.377034</t>
  </si>
  <si>
    <t>4f7b39f1-f832-4fc6-af16-cd97a80459fe</t>
  </si>
  <si>
    <t>Buy trade LU1861132840 Amundi Index Solutions - Amundi MSCI Robotics &amp; AI UCITS ETF Acc, quantity: 0.72223</t>
  </si>
  <si>
    <t>09ca8ca2-74eb-473c-b602-d3ab3f09df13</t>
  </si>
  <si>
    <t>Sell trade US92766K4031 VIRGIN GAL.HLDGS NEW O.N., quantity: 0.734862</t>
  </si>
  <si>
    <t>dc0860e7-1a6e-45f0-82e8-c4003c10b824</t>
  </si>
  <si>
    <t>Sell trade US92766K4031 VIRGIN GAL.HLDGS NEW O.N., quantity: 38.0</t>
  </si>
  <si>
    <t>7d980948-0113-4ac3-9bf2-aa7d937b0010</t>
  </si>
  <si>
    <t>a78d0525-86f0-44af-9ade-57ba87eb3080</t>
  </si>
  <si>
    <t>Buy trade IE00BMC38736 VanEck UCITS ETFs plc - VanEck Semiconductor UCITS ETF, quantity: 1</t>
  </si>
  <si>
    <t>4158f519-60d6-4c75-99a8-150dcb20447a</t>
  </si>
  <si>
    <t>Buy trade FR0010524777 MULTI UNITS FRANCE - Amundi MSCI New Energy UCITS ETF Dist, quantity: 1.117443</t>
  </si>
  <si>
    <t>4889a69b-57c3-4266-8c3e-cc53b0105efe</t>
  </si>
  <si>
    <t>Buy trade CA0558691014 BTQ TECHNOLOGIES CORP., quantity: 9.0</t>
  </si>
  <si>
    <t>503c6b45-3083-4275-9be6-5a6ccc2213dd</t>
  </si>
  <si>
    <t>Buy trade CA0558691014 BTQ TECHNOLOGIES CORP., quantity: 0.444444</t>
  </si>
  <si>
    <t>7efaf3f2-36bb-4631-aa91-d210ef8042ec</t>
  </si>
  <si>
    <t>019e9982-c7a7-7dc4-8856-4e24d90f3f87</t>
  </si>
  <si>
    <t>Buy trade US9168961038 URANIUM ENERGY    DL-,001, quantity: 3</t>
  </si>
  <si>
    <t>b382fb06-512b-4869-9a33-848121a25fea</t>
  </si>
  <si>
    <t>019e9992-fe85-7b9a-a57b-3ce086e4fd57</t>
  </si>
  <si>
    <t>Buy trade IE000YYE6WK5 VanEck UCITS ETFs plc - VanEck Defense UCITS ETF, quantity: 0.943574</t>
  </si>
  <si>
    <t>e2aff59a-6cb4-4940-9f58-53b874553185</t>
  </si>
  <si>
    <t>019e9b8e-4d49-7f1b-943e-dac20a52bc33</t>
  </si>
  <si>
    <t>bffa1919-74a2-4215-a50a-c6f7bf0d2ef3</t>
  </si>
  <si>
    <t>019ead84-ba26-70c7-a696-720d177ce9e9</t>
  </si>
  <si>
    <t>019eadc9-dc65-7a00-b6cf-77e84df3a0f8</t>
  </si>
  <si>
    <t>019eb7c9-afcd-7f46-80f1-1343d0e86e03</t>
  </si>
  <si>
    <t>Buy trade US9168961038 URANIUM ENERGY    DL-,001, quantity: 11</t>
  </si>
  <si>
    <t>7e2b9113-491a-46fc-9e75-080a7930329b</t>
  </si>
  <si>
    <t>Buy trade AU000000DRO2 DRONESHIELD LTD, quantity: 29.0</t>
  </si>
  <si>
    <t>5f8e929f-571f-4b02-a312-e01d6ea0426f</t>
  </si>
  <si>
    <t>Buy trade AU000000DRO2 DRONESHIELD LTD, quantity: 0.612081</t>
  </si>
  <si>
    <t>b5082bdc-7ae7-4e0e-9cd9-163397b22fa9</t>
  </si>
  <si>
    <t>Buy trade CA0558691014 BTQ TECHNOLOGIES CORP., quantity: 0.401055</t>
  </si>
  <si>
    <t>af5f9f73-41b8-4aab-9878-c699d5a7c90f</t>
  </si>
  <si>
    <t>0a0a28ab-0ed3-4258-9c0b-c668a9ead7b1</t>
  </si>
  <si>
    <t>Sell trade CA0558691014 BTQ TECHNOLOGIES CORP., quantity: 147.771054</t>
  </si>
  <si>
    <t>e03a83de-40a4-4cde-8617-331c8dccbcaa</t>
  </si>
  <si>
    <t>019ecc5f-48e2-770b-b668-fe8175661a02</t>
  </si>
  <si>
    <t>TRANSFER_OUTBOUND</t>
  </si>
  <si>
    <t>019ecf7b-eae8-7626-9141-e38eafa65df2</t>
  </si>
  <si>
    <t>019ed139-a6c6-7dc7-ae23-985e7d6887c3</t>
  </si>
  <si>
    <t>Buy trade IE000YU9K6K2 VanEck UCITS ETFs plc - VanEck Space Innovators UCITS ETF, quantity: 0.582682</t>
  </si>
  <si>
    <t>69193d4f-545b-434a-bd0b-a23764243a70</t>
  </si>
  <si>
    <t>Buy trade IE0003XW12I8 HANetf II ICAV - Drone UCITS ETF - Accumulating, quantity: 8.745845</t>
  </si>
  <si>
    <t>3e0b2357-fd0a-4d18-8426-0724cf876228</t>
  </si>
  <si>
    <t>019eeff3-eaf1-7b63-8c0d-4d45504cedb7</t>
  </si>
  <si>
    <t>2bd66384-a27f-4ecb-8fe3-5b699aa8fda0</t>
  </si>
  <si>
    <t>019ef3c3-012d-7ae6-907e-2252f1bf9bbf</t>
  </si>
  <si>
    <t>Buy trade IE000YU9K6K2 VanEck UCITS ETFs plc - VanEck Space Innovators UCITS ETF, quantity: 0.631233</t>
  </si>
  <si>
    <t>ab3f2173-055a-487c-9450-2dc5839c0826</t>
  </si>
  <si>
    <t>019ef3c6-3e74-7347-8266-4891b56f0480</t>
  </si>
  <si>
    <t>Buy trade IE0003XW12I8 HANetf II ICAV - Drone UCITS ETF - Accumulating, quantity: 9.286775</t>
  </si>
  <si>
    <t>b1898d9c-1bec-4dc8-903c-858f6e02d095</t>
  </si>
  <si>
    <t>019ef4d8-d01e-7e4e-a936-9fd526545be6</t>
  </si>
  <si>
    <t>Buy trade AU000000DRO2 DRONESHIELD LTD, quantity: 31.269543</t>
  </si>
  <si>
    <t>92e18ad8-9ba4-4cb7-8dfa-c32f9fcf1e64</t>
  </si>
  <si>
    <t>019efdc1-0887-7da2-b195-dcf648320dca</t>
  </si>
  <si>
    <t>Buy trade AU000000DRO2 DRONESHIELD LTD, quantity: 34.843205</t>
  </si>
  <si>
    <t>e80a8d2d-3e05-4511-b811-d89fef774297</t>
  </si>
  <si>
    <t>Sell trade DE000BAY0017 BAYER AG O.N., quantity: 13.410273</t>
  </si>
  <si>
    <t>9d4bd456-7391-4519-81c4-1ec0720874b8</t>
  </si>
  <si>
    <t>Buy trade IE000YYE6WK5 VanEck UCITS ETFs plc - VanEck Defense UCITS ETF, quantity: 1.021137</t>
  </si>
  <si>
    <t>2f9965eb-7046-462d-a836-046afea32814</t>
  </si>
  <si>
    <t>Buy trade IE0003XW12I8 HANetf II ICAV - Drone UCITS ETF - Accumulating, quantity: 10.078613</t>
  </si>
  <si>
    <t>f194919d-5124-4fb4-86dd-1ed96cfa06bf</t>
  </si>
  <si>
    <t>Buy trade XF000XRP0018 XRP, quantity: 19</t>
  </si>
  <si>
    <t>4cca9baf-c4e8-420b-af95-69abfe9865b8</t>
  </si>
  <si>
    <t>GBP</t>
  </si>
  <si>
    <t>Cash Dividend for ISIN GB0007980591</t>
  </si>
  <si>
    <t>019f0422-8923-762b-980e-7ff9845a629b</t>
  </si>
  <si>
    <t>Buy trade AU000000DRO2 DRONESHIELD LTD, quantity: 38.639876</t>
  </si>
  <si>
    <t>372c3bd3-fa68-4256-bb4e-1ef983e59dc5</t>
  </si>
  <si>
    <t>Buy trade IE0007Y8Y157 VanEck UCITS ETFs plc - VanEck Quantum Computing UCITS ETF, quantity: 1.925669</t>
  </si>
  <si>
    <t>0a781a5c-6149-4550-b98c-b35929a60c03</t>
  </si>
  <si>
    <t>2ce18a8e-5f74-49a4-8d93-521540c81641</t>
  </si>
  <si>
    <t>Buy trade IE00B4L5Y983 iShares III plc - iShares Core MSCI World UCITS ETF USD (Acc), quantity: 1.215904</t>
  </si>
  <si>
    <t>28a8d163-a4a0-405e-ae05-26d143e94139</t>
  </si>
  <si>
    <t>019f0448-731a-7f61-bf59-1822d896393e</t>
  </si>
  <si>
    <t>019f0449-82eb-7bcf-8fac-e5991cdb49be</t>
  </si>
  <si>
    <t>019f044a-2089-7b65-b6e1-0ec4a79ef2f8</t>
  </si>
  <si>
    <t>019f0458-db10-7b3b-acc8-2a229137f8be</t>
  </si>
  <si>
    <t>Buy trade LU0908500753 Amundi Index Solutions - Amundi Core Stoxx Europe 600 UCITS ETF Acc, quantity: 0.320821</t>
  </si>
  <si>
    <t>92607da2-8dad-4531-8dfd-e147f34b1541</t>
  </si>
  <si>
    <t>019f05b1-e558-7211-b621-09d8e6a77a9c</t>
  </si>
  <si>
    <t>019f1519-7fcf-7fc5-b7dd-ecf49662cfed</t>
  </si>
  <si>
    <t>Core MSCI EM IMI USD (Acc)</t>
  </si>
  <si>
    <t>IE00BKM4GZ66</t>
  </si>
  <si>
    <t>Buy trade IE00BKM4GZ66 iShares plc - iShares Core MSCI EM IMI UCITS ETF USD (Acc), quantity: 14.461017</t>
  </si>
  <si>
    <t>483b638b-c797-4885-acd3-83b039adc166</t>
  </si>
  <si>
    <t>019f21a6-2ea4-7c9e-bb5c-e1dbddd2b6ea</t>
  </si>
  <si>
    <t>Buy trade US9168961038 URANIUM ENERGY    DL-,001, quantity: 8.476394</t>
  </si>
  <si>
    <t>4d8ad8b2-05d1-4fd0-bc6a-45636783a87c</t>
  </si>
  <si>
    <t>019f5f5d-f1d1-7831-9de4-3a12646f3aa1</t>
  </si>
  <si>
    <t>0d3b17e9-76cf-4844-af39-421c3fe6d00a</t>
  </si>
  <si>
    <t>019f6c6b-abba-71b8-8513-a452f53299d0</t>
  </si>
  <si>
    <t>Buy trade IE000YU9K6K2 VanEck UCITS ETFs plc - VanEck Space Innovators UCITS ETF, quantity: 0.713877</t>
  </si>
  <si>
    <t>11218e9a-2e52-44fb-bdad-5c1f931b7737</t>
  </si>
  <si>
    <t>Buy trade US9168961038 URANIUM ENERGY    DL-,001, quantity: 10</t>
  </si>
  <si>
    <t>68a0fda3-93a9-4c93-8dc1-2db33734a50b</t>
  </si>
  <si>
    <t>019f6c90-c638-73c0-99e0-7eabc3c28b61</t>
  </si>
  <si>
    <t>019f6c8d-279d-72af-87a3-1faa06f35019</t>
  </si>
  <si>
    <t>Buy trade US26740W1099 D-WAVE QUATUM    DL-,0001, quantity: 7</t>
  </si>
  <si>
    <t>072c0e6e-24b9-44e4-927f-ceeef9838054</t>
  </si>
  <si>
    <t>019f6e99-903e-7ff4-ad9e-7c2a86465506</t>
  </si>
  <si>
    <t>Buy trade IE0007Y8Y157 VanEck UCITS ETFs plc - VanEck Quantum Computing UCITS ETF, quantity: 2.117298</t>
  </si>
  <si>
    <t>86bf07db-de43-44c2-9ccb-e873d3d487be</t>
  </si>
  <si>
    <t>019f70f7-88e4-79b1-9a8a-8cfb7689ab1b</t>
  </si>
  <si>
    <t>f4d26144-7eff-483d-b0e4-3a686229f058</t>
  </si>
  <si>
    <t>019f9091-a2b4-73e2-ab9c-3e4c6d96507d</t>
  </si>
  <si>
    <t>MSCI World Health Care USD (Acc)</t>
  </si>
  <si>
    <t>IE00BM67HK77</t>
  </si>
  <si>
    <t>Buy trade IE00BM67HK77 Xtrackers (IE) Plc - Xtrackers MSCI World Health Care UCITS ETF 1C, quantity: 7.562866</t>
  </si>
  <si>
    <t>74f92c7e-e7c1-4591-a7dd-2ead11e044f4</t>
  </si>
  <si>
    <t>Nike (B)</t>
  </si>
  <si>
    <t>US6541061031</t>
  </si>
  <si>
    <t>Buy trade US6541061031 NIKE INC CL B, quantity: 5.768964</t>
  </si>
  <si>
    <t>1aed9601-b1f4-40c8-a60c-c4d238bfea4a</t>
  </si>
  <si>
    <t>019f92fe-def7-7c95-a352-5a75a272a749</t>
  </si>
  <si>
    <t>Buy trade DE0008232125 LUFTHANSA AG VNA O.N., quantity: 11.665888</t>
  </si>
  <si>
    <t>b5a1cf14-fd9e-4d36-aded-57056e1f4aab</t>
  </si>
  <si>
    <t>019fa7d9-b6b8-7669-b532-8b8255a0de7a</t>
  </si>
  <si>
    <t>Buy trade AU000000DRO2 DRONESHIELD LTD, quantity: 47.619047</t>
  </si>
  <si>
    <t>98782617-8dcf-42f9-bec8-3235c90816e1</t>
  </si>
  <si>
    <t>019fafa0-e1ef-7d1f-8722-f0fd125da5b5</t>
  </si>
  <si>
    <t>Buy trade FR0010524777 MULTI UNITS FRANCE - Amundi MSCI New Energy UCITS ETF Dist, quantity: 1.263264</t>
  </si>
  <si>
    <t>a9be735e-f484-446d-9239-a8a5e695e673</t>
  </si>
  <si>
    <t>019fafa4-77e4-73fe-a67c-349d46391690</t>
  </si>
  <si>
    <t>019fafa6-6494-73fc-b859-dac7865ed09d</t>
  </si>
  <si>
    <t>019fafa4-d028-7637-9e84-1417b0eab79e</t>
  </si>
  <si>
    <t>019fafa5-c65b-7da4-939d-67fbb8c00ad1</t>
  </si>
  <si>
    <t>CUSTOMER_INPAYMENT</t>
  </si>
  <si>
    <t>Roméo Talla Fotsing</t>
  </si>
  <si>
    <t>Direct Debit Top up with DE16300209005310514271</t>
  </si>
  <si>
    <t>019fc496-03ac-790a-a6c3-ae4bf729956a</t>
  </si>
  <si>
    <t>Savings plan execution IE00BM67HK77 Xtrackers (IE) Plc - Xtrackers MSCI World Health Care UCITS ETF 1C, quantity: 0.953652</t>
  </si>
  <si>
    <t>f48317a2-9a05-442d-9eb8-faeae27f50e2</t>
  </si>
  <si>
    <t>019fce8e-1a1e-7948-9fe0-dc41192b702c</t>
  </si>
  <si>
    <t>Buy trade DE0008232125 LUFTHANSA AG VNA O.N., quantity: 11.709601</t>
  </si>
  <si>
    <t>fab67c18-22ff-4b39-bc2e-a3305d889e15</t>
  </si>
  <si>
    <t>019fe65f-7c19-7008-b7da-4d43c4244609</t>
  </si>
  <si>
    <t>Buy trade XF000DOT0011 Polkadot, quantity: 35.61355</t>
  </si>
  <si>
    <t>8676de09-e1a3-4627-96d7-795b0522b0ca</t>
  </si>
  <si>
    <t>019ff487-cd65-7b2b-9dc1-87f14e84accf</t>
  </si>
  <si>
    <t>Buy trade IE0003XW12I8 HANetf II ICAV - Defiance Drone UCITS ETF - Accumulating, quantity: 8.631106</t>
  </si>
  <si>
    <t>1c656477-06d8-41d8-8426-3c0520b828a5</t>
  </si>
  <si>
    <t>Buy trade XF000XRP0018 XRP, quantity: 23.89141</t>
  </si>
  <si>
    <t>79aa3dfb-424c-406b-9e44-9ccb0a7b7b3f</t>
  </si>
  <si>
    <t>019ffa69-a5f4-7db4-8261-9cd8e04fce61</t>
  </si>
  <si>
    <t>Buy trade XF000LINK010 Chainlink, quantity: 6.598134</t>
  </si>
  <si>
    <t>a702207f-c830-407c-b22f-e998a9297267</t>
  </si>
  <si>
    <t>01a018ec-e9c1-7285-8c8d-8f6ec60e257e</t>
  </si>
  <si>
    <t>Buy trade DE0008232125 LUFTHANSA AG VNA O.N., quantity: 6.35324</t>
  </si>
  <si>
    <t>edf8e741-d828-4e8f-852a-9fe291b77c51</t>
  </si>
  <si>
    <t>01a018fd-7c9f-7808-b9b3-70b803a9782c</t>
  </si>
  <si>
    <t>Buy trade AU000000DRO2 DRONESHIELD LTD, quantity: 4.323389</t>
  </si>
  <si>
    <t>0c599dfa-d3f7-47e2-b295-e73dd0862ed5</t>
  </si>
  <si>
    <t>01a01b92-1caf-79e0-9a3d-6f60e056d4d3</t>
  </si>
  <si>
    <t>Buy trade AU000000DRO2 DRONESHIELD LTD, quantity: 43.233895</t>
  </si>
  <si>
    <t>a6bcb10a-3438-4589-b205-351f303952d1</t>
  </si>
  <si>
    <t>01a01e85-6b70-746e-843a-aa306aab5c0b</t>
  </si>
  <si>
    <t>Buy trade AU000000DRO2 DRONESHIELD LTD, quantity: 64.624422</t>
  </si>
  <si>
    <t>a085a22c-2692-4aa1-b364-2dec2f123cd6</t>
  </si>
  <si>
    <t>Buy trade XF000XRP0018 XRP, quantity: 12.15292</t>
  </si>
  <si>
    <t>5f3ba52c-e81f-46b9-b8f8-475c74a6235a</t>
  </si>
  <si>
    <t>01a022e4-8f4c-7769-845b-724b16a6969e</t>
  </si>
  <si>
    <t>Buy trade AU000000DRO2 DRONESHIELD LTD, quantity: 29.398663</t>
  </si>
  <si>
    <t>dc908105-bc72-4289-bad8-d326a46ed6b8</t>
  </si>
  <si>
    <t>01a033bc-79f7-70b3-9d6f-4266773e6917</t>
  </si>
  <si>
    <t>MSCI World Consumer Staples USD (Acc)</t>
  </si>
  <si>
    <t>IE00BM67HN09</t>
  </si>
  <si>
    <t>Buy trade IE00BM67HN09 Xtrackers (IE) Plc - Xtrackers MSCI World Consumer Staples UCITS ETF 1C, quantity: 8.333333</t>
  </si>
  <si>
    <t>e12245ee-66e8-46a1-b6f1-14a48d89a8fd</t>
  </si>
  <si>
    <t>01a03c98-f490-759d-b57f-71a2579f75be</t>
  </si>
  <si>
    <t>Buy trade AU000000DRO2 DRONESHIELD LTD, quantity: 46.104195</t>
  </si>
  <si>
    <t>cebfd72c-1354-409f-967f-4132b08561d1</t>
  </si>
  <si>
    <t>Asset</t>
  </si>
  <si>
    <t>Klasse</t>
  </si>
  <si>
    <t>Käufe Stück</t>
  </si>
  <si>
    <t>Verkäufe Stück</t>
  </si>
  <si>
    <t>Bestand</t>
  </si>
  <si>
    <t>Investiert €</t>
  </si>
  <si>
    <t>Verkauft €</t>
  </si>
  <si>
    <t>Gebühren €</t>
  </si>
  <si>
    <t>Netto P&amp;L €</t>
  </si>
  <si>
    <t>Status</t>
  </si>
  <si>
    <t>Portfolio KPIs</t>
  </si>
  <si>
    <t>Anzahl Assets</t>
  </si>
  <si>
    <t>Gebühren</t>
  </si>
  <si>
    <t>Aktueller Kurs €</t>
  </si>
  <si>
    <t>Aktuelle Position €</t>
  </si>
  <si>
    <t>KPI</t>
  </si>
  <si>
    <t>Bedeutung</t>
  </si>
  <si>
    <t>Portfolio-Wert</t>
  </si>
  <si>
    <t>Aktueller Gesamtwert aller Positionen</t>
  </si>
  <si>
    <t>Investiertes Kapital</t>
  </si>
  <si>
    <t>Summe aller Einzahlungen und Käufe</t>
  </si>
  <si>
    <t>Gewinn/Verlust (P&amp;L)</t>
  </si>
  <si>
    <t>Rendite (%)</t>
  </si>
  <si>
    <t>Anzahl Positionen</t>
  </si>
  <si>
    <t>Wie viele Wertpapiere/Kryptos im Portfolio sind</t>
  </si>
  <si>
    <t>Asset-Allokation</t>
  </si>
  <si>
    <t>Verteilung auf Aktien, ETFs, Krypto usw.</t>
  </si>
  <si>
    <t>Cash-Bestand</t>
  </si>
  <si>
    <t>Nicht investiertes Guthaben</t>
  </si>
  <si>
    <t>Summe aller Handelskosten</t>
  </si>
  <si>
    <t>Realisierte Gewinne</t>
  </si>
  <si>
    <t>Gewinne aus bereits verkauften Positionen</t>
  </si>
  <si>
    <t>Nicht realisierte Gewinne</t>
  </si>
  <si>
    <t>Gewinne/Verluste aus aktuellen Positionen</t>
  </si>
  <si>
    <t>Steuer</t>
  </si>
  <si>
    <t>Aktueller Portfolio-Wert</t>
  </si>
  <si>
    <t>Einstandskurs €</t>
  </si>
  <si>
    <t>Alle Portfolio Einzahlungen</t>
  </si>
  <si>
    <t>Alle Portfolio Auszahlungen</t>
  </si>
  <si>
    <t>Alle Portfolio Käufe</t>
  </si>
  <si>
    <t>Alle Portfolio Verkäufe</t>
  </si>
  <si>
    <t>Aktueller Portfolio-Wert STOCK&amp;FUND</t>
  </si>
  <si>
    <t>Aktueller Portfolio-Wert CRYPTO</t>
  </si>
  <si>
    <t>Anzahl STOCK</t>
  </si>
  <si>
    <t>Anzahl FUND</t>
  </si>
  <si>
    <t>Anzahl CRYPTO</t>
  </si>
  <si>
    <t>Offene STOCK</t>
  </si>
  <si>
    <t>Offene FUND</t>
  </si>
  <si>
    <t>Offene CRYPTO</t>
  </si>
  <si>
    <t>Offene Assets</t>
  </si>
  <si>
    <t>Closed Assets</t>
  </si>
  <si>
    <t>Closed STOCK</t>
  </si>
  <si>
    <t>Closed FUND</t>
  </si>
  <si>
    <t>Closed CRYPTO</t>
  </si>
  <si>
    <t>Realisierte Netto P&amp;L</t>
  </si>
  <si>
    <t>Realisierte Netto P&amp;L STOCK&amp;FUND</t>
  </si>
  <si>
    <t>Realisierte Netto P&amp;L CRYPTO</t>
  </si>
  <si>
    <t>Gebüren STOCK</t>
  </si>
  <si>
    <t>Gebüren FUND</t>
  </si>
  <si>
    <t>Gebühren CRYPTO</t>
  </si>
  <si>
    <t>Steuer STOCK</t>
  </si>
  <si>
    <t>Steuer FUND</t>
  </si>
  <si>
    <t>Steuer CRYPTO</t>
  </si>
  <si>
    <t>Steuerkorrektur</t>
  </si>
  <si>
    <t>Alle Portfolio Käufe STOCK</t>
  </si>
  <si>
    <t>Alle Portfolio Käufe FUND</t>
  </si>
  <si>
    <t>Alle Portfolio Käufe CRYPTO</t>
  </si>
  <si>
    <t>Alle Portfolio Verkäufe STOCK</t>
  </si>
  <si>
    <t>Alle Portfolio Verkäufe FUND</t>
  </si>
  <si>
    <t>Alle Portfolio Verkäufe CRYPTO</t>
  </si>
  <si>
    <t>Aktuelle Rendite</t>
  </si>
  <si>
    <r>
      <t>Wie viel Gewinn(</t>
    </r>
    <r>
      <rPr>
        <b/>
        <sz val="11"/>
        <color theme="1"/>
        <rFont val="Segoe UI"/>
        <family val="2"/>
      </rPr>
      <t>P</t>
    </r>
    <r>
      <rPr>
        <sz val="11"/>
        <color theme="1"/>
        <rFont val="Segoe UI"/>
        <family val="2"/>
      </rPr>
      <t>roft) oder Verlust(</t>
    </r>
    <r>
      <rPr>
        <b/>
        <sz val="11"/>
        <color theme="1"/>
        <rFont val="Segoe UI"/>
        <family val="2"/>
      </rPr>
      <t>L</t>
    </r>
    <r>
      <rPr>
        <sz val="11"/>
        <color theme="1"/>
        <rFont val="Segoe UI"/>
        <family val="2"/>
      </rPr>
      <t>ost) erzielt wurde</t>
    </r>
  </si>
  <si>
    <t>Gewinn oder Verlust im Verhältnis zum eingesetzten Kapital</t>
  </si>
  <si>
    <t>Aktueller Portfolio-Wert STOCK</t>
  </si>
  <si>
    <t>Aktueller Portfolio-Wert FUND</t>
  </si>
  <si>
    <t>Realisierte Netto P&amp;L STOCK</t>
  </si>
  <si>
    <t>Realisierte Netto P&amp;L FUND</t>
  </si>
  <si>
    <t>Aktuell Investiert €</t>
  </si>
  <si>
    <t>Aktuell Portofolio Investiert</t>
  </si>
  <si>
    <t>Aktuell Portfolio Investiert STOCK&amp;FUND</t>
  </si>
  <si>
    <t>Aktuell Portfolio Investiert STOCK</t>
  </si>
  <si>
    <t>Aktuell Portfolio Investiert FUND</t>
  </si>
  <si>
    <t>Aktuell Portfolio Investiert CRYPTO</t>
  </si>
  <si>
    <t>Gesamte Performance STOCK&amp;FUND</t>
  </si>
  <si>
    <t>Gesamte Performance CRYPTO</t>
  </si>
  <si>
    <t>Gesamte Performance</t>
  </si>
  <si>
    <t>Gesamte Rendite STOCK&amp;FUND</t>
  </si>
  <si>
    <t>Gesamte Rendite CRYPTO</t>
  </si>
  <si>
    <t>Gesamte Rendite Portfolio</t>
  </si>
  <si>
    <t>Realisierte P&amp;L Verkäufe</t>
  </si>
  <si>
    <t>Realisierte  P&amp;L STOCK&amp;FUND Verkäufe</t>
  </si>
  <si>
    <t>Realisierte P&amp;L STOCK Verkäufe</t>
  </si>
  <si>
    <t>Realisierte P&amp;L FUND Verkäufe</t>
  </si>
  <si>
    <t>Realisierte  P&amp;L CRYPTO Verkäufe</t>
  </si>
  <si>
    <t>Realisierte P&amp;L Verkäufe €</t>
  </si>
  <si>
    <t>Aktuell Nicht realisierte Lost</t>
  </si>
  <si>
    <t>Aktuell Nicht realisierte Lost STOCK&amp;FUND</t>
  </si>
  <si>
    <t>Aktuell Nicht realisierte Lost CRYPTO</t>
  </si>
  <si>
    <t>Aktuell Nicht realisierte Profit</t>
  </si>
  <si>
    <t>Aktuell Nicht realisierte Profit STOCK&amp;FUND</t>
  </si>
  <si>
    <t>Aktuell Nicht realisierte Profit CRYPTO</t>
  </si>
  <si>
    <t>Aktuell Nicht realisierte P&amp;L</t>
  </si>
  <si>
    <t>Aktuell Nicht realisierte P&amp;L STOCK&amp;FUND</t>
  </si>
  <si>
    <t>Aktuell Nicht realisierte P&amp;L CRYPTO</t>
  </si>
  <si>
    <t>Aktuell nicht realisierte P&amp;L €</t>
  </si>
  <si>
    <t>Investiertes Kapital Verkäufe €</t>
  </si>
  <si>
    <t>Gebühren Käufe</t>
  </si>
  <si>
    <t>Gebüren Käufe STOCK</t>
  </si>
  <si>
    <t>Gebüren Käufe FUND</t>
  </si>
  <si>
    <t>Gebüren Käufe CRYPTO</t>
  </si>
  <si>
    <t>Gebüren Verkäufe STOCK</t>
  </si>
  <si>
    <t>Gebühren Verkäufe</t>
  </si>
  <si>
    <t>Gebüren Verkäufe FUND</t>
  </si>
  <si>
    <t>Gebüren Verkäufe CRYPTO</t>
  </si>
  <si>
    <t>Aktuell Nicht realisierte Lost STOCK</t>
  </si>
  <si>
    <t>Aktuell Nicht realisierte Lost FUND</t>
  </si>
  <si>
    <t>Aktuell Nicht realisierte Profit STOCK</t>
  </si>
  <si>
    <t>Aktuell Nicht realisierte Profit FUND</t>
  </si>
  <si>
    <t>Rendite Verkäufe</t>
  </si>
  <si>
    <t>Gesamte Rendite</t>
  </si>
  <si>
    <t>Aktuell Nicht realisierte P&amp;L STOCK</t>
  </si>
  <si>
    <t>Aktuell Nicht realisierte P&amp;L FUND</t>
  </si>
  <si>
    <t>Gebüren STOCK&amp;FUND</t>
  </si>
  <si>
    <t>Gebüren Käufe STOCK&amp;FUND</t>
  </si>
  <si>
    <t>Gebüren Verkäufe STOCK&amp;FUND</t>
  </si>
  <si>
    <t>Aktuell Brutto Nicht realisierte P&amp;L</t>
  </si>
  <si>
    <t>Aktuell Brutto Nicht realisierte P&amp;L STOCK&amp;FUND</t>
  </si>
  <si>
    <t>Aktuell Brutto Nicht realisierte P&amp;L CRYPTO</t>
  </si>
  <si>
    <t>Brutto Investiert</t>
  </si>
  <si>
    <t>Brutto Investiert STOCK&amp;FUND</t>
  </si>
  <si>
    <t>Brutto Investiert STOCK</t>
  </si>
  <si>
    <t>Brutto Investiert FUND</t>
  </si>
  <si>
    <t>Brutto Investiert CRYPTO</t>
  </si>
  <si>
    <t>Netto  Investiert</t>
  </si>
  <si>
    <t>Netto Investiert STOCK&amp;FUND</t>
  </si>
  <si>
    <t>Netto  Investiert STOCK</t>
  </si>
  <si>
    <t>Netto Investiert FUND</t>
  </si>
  <si>
    <t>Netto Investiert CRYPTO</t>
  </si>
  <si>
    <t>Brutto Verkauft STOCK&amp;FUND</t>
  </si>
  <si>
    <t>Brutto Verkauft STOCK</t>
  </si>
  <si>
    <t>Brutto Verkauft FUND</t>
  </si>
  <si>
    <t>Brutto Verkauft CRYPTO</t>
  </si>
  <si>
    <t>Brutto Verkauft</t>
  </si>
  <si>
    <t>Netto Verkauft</t>
  </si>
  <si>
    <t>Netto Verkauft STOCK&amp;FUND</t>
  </si>
  <si>
    <t>Netto Verkauft STOCK</t>
  </si>
  <si>
    <t>Netto Verkauft FUND</t>
  </si>
  <si>
    <t>Netto Verkauft CRYPTO</t>
  </si>
  <si>
    <t>Steur STOCK&amp;FUND</t>
  </si>
  <si>
    <t>01a05fd1-594d-7475-88a2-6f77725e5253</t>
  </si>
  <si>
    <t>Savings plan execution IE00BM67HK77 Xtrackers (IE) Plc - Xtrackers MSCI World Health Care UCITS ETF 1C, quantity: 0.907441</t>
  </si>
  <si>
    <t>2d8c0e21-1c74-476a-8350-201be9299b33</t>
  </si>
  <si>
    <t>Symbol</t>
  </si>
  <si>
    <t>Anzahl Käufe mit Gebühren</t>
  </si>
  <si>
    <t>Anzahl Käufe STOCK&amp;FUND mit Gebühren</t>
  </si>
  <si>
    <t>Anzahl Käufe STOCK mit Gebühren</t>
  </si>
  <si>
    <t>Anzahl Käufe FUND mit Gebühren</t>
  </si>
  <si>
    <t>Anzahl Käufe CRYPTO mit Gebühren</t>
  </si>
  <si>
    <t>Anzahl Verkäufe mit Gebühren</t>
  </si>
  <si>
    <t>Anzahl Verkäufe STOCK&amp;FUND mit Gebühren</t>
  </si>
  <si>
    <t>Anzahl Verkäufe STOCK mit Gebühren</t>
  </si>
  <si>
    <t>Anzahl Verkäufe FUND mit Gebühren</t>
  </si>
  <si>
    <t>Anzahl Verkäufe CRYPTO mit Gebühren</t>
  </si>
  <si>
    <t>Anzahl Kauforders</t>
  </si>
  <si>
    <t>01a0a457-f711-7528-a506-b472a6060076</t>
  </si>
  <si>
    <t>Buy trade AU000000DRO2 DRONESHIELD LTD, quantity: 50</t>
  </si>
  <si>
    <t>507dc903-6fc3-4a95-9113-dc132feed07c</t>
  </si>
  <si>
    <t>01a0a593-dcfe-701d-a3d1-67923c602d99</t>
  </si>
  <si>
    <t>Buy trade IE0003XW12I8 HANetf II ICAV - Defiance Drone UCITS ETF - Accumulating, quantity: 10.483279</t>
  </si>
  <si>
    <t>d749894e-af0c-4498-aa23-6d4415060525</t>
  </si>
  <si>
    <t>Sell trade XF000SOL0012 Solana, quantity: 8.104124</t>
  </si>
  <si>
    <t>15b8f77d-1ecd-4b40-bdb5-c0a0307e04dd</t>
  </si>
  <si>
    <t>01a0a8a2-a2c9-7a5b-9106-6efd0127cda6</t>
  </si>
  <si>
    <t>Buy trade US6541061031 NIKE INC CL B, quantity: 1</t>
  </si>
  <si>
    <t>4c10e4d4-c3bd-4c0e-a5cb-4d8cf37e97bd</t>
  </si>
  <si>
    <t>01a0a8f6-4cb5-7fd7-919f-202e94e555a0</t>
  </si>
  <si>
    <t>Anzahl Verkaufsorders</t>
  </si>
  <si>
    <t>Dogecoin</t>
  </si>
  <si>
    <t>DOGE</t>
  </si>
  <si>
    <t>Buy trade XF000SOL0012 Solana, quantity: 2</t>
  </si>
  <si>
    <t>fe2ca668-3606-4655-ace6-1a162ea3ae84</t>
  </si>
  <si>
    <t>01a0b2a4-9a4d-7fe1-9f09-a9a6cccceaf1</t>
  </si>
  <si>
    <t>01a0b2a2-fd71-7ced-bdfe-60b4eb8fa41a</t>
  </si>
  <si>
    <t>070248b2-ea86-4dca-828b-7f58de5ca36e</t>
  </si>
  <si>
    <t>01a0b2bf-02e7-7d27-9f04-784945ed84a8</t>
  </si>
  <si>
    <t>Buy trade XF000DOGE012 Dogecoin, quantity: 1356.024137</t>
  </si>
  <si>
    <t>ba6199c9-09f0-41b9-bf37-8b567694a32a</t>
  </si>
  <si>
    <t>Gesamtergebnis</t>
  </si>
  <si>
    <t>Assets</t>
  </si>
  <si>
    <t>Aktueller Wert</t>
  </si>
  <si>
    <t>Einkaufswert</t>
  </si>
  <si>
    <t>G/V:</t>
  </si>
  <si>
    <t>Kurswert</t>
  </si>
  <si>
    <t>CRYPTO Ergebnis</t>
  </si>
  <si>
    <t>FUND Ergebnis</t>
  </si>
  <si>
    <t>STOCK Ergebnis</t>
  </si>
  <si>
    <t xml:space="preserve">Bestand </t>
  </si>
  <si>
    <t>Verkaufserlöse Gewinn/Verlust</t>
  </si>
  <si>
    <t/>
  </si>
  <si>
    <t>01a0f3f9-655c-7a49-a2a3-82fe1f75bb85</t>
  </si>
  <si>
    <t>Zinzino</t>
  </si>
  <si>
    <t>SE0002480442</t>
  </si>
  <si>
    <t>Buy trade SE0002480442 ZINZINO AB B, quantity: 8.503401</t>
  </si>
  <si>
    <t>6846f03f-eaef-44a4-bca2-43e995251319</t>
  </si>
  <si>
    <t>Einstandskurs:</t>
  </si>
  <si>
    <t>Bestand:</t>
  </si>
  <si>
    <t>Zielgewinn:</t>
  </si>
  <si>
    <t>Zielkurs:</t>
  </si>
  <si>
    <t>Ermittlung des Zielkurses</t>
  </si>
  <si>
    <t>Zielrendite</t>
  </si>
  <si>
    <t>Zielbestand:</t>
  </si>
  <si>
    <t>Tax</t>
  </si>
  <si>
    <t>Cash Dividend for ISIN US6541061031</t>
  </si>
  <si>
    <t>01a0f72a-aa0e-77d9-89f2-25e65f9dcfab</t>
  </si>
  <si>
    <t>01a0fa2a-9a94-7e2f-9dd0-4c5306e2e8cb</t>
  </si>
  <si>
    <t>01a0fb37-a589-7646-b2f6-f310756f1b57</t>
  </si>
  <si>
    <t>312bed99-7ca6-4df7-a90c-571ce6727fbb</t>
  </si>
  <si>
    <t>Savings plan execution IE00BM67HK77 Xtrackers (IE) Plc - Xtrackers MSCI World Health Care UCITS ETF 1C, quantity: 0.930232</t>
  </si>
  <si>
    <t>2031261a-95fc-404b-ad38-6248acb11889</t>
  </si>
  <si>
    <t>Sell trade IE00B5BMR087 iShares VII plc - iShares Core S&amp;P 500 UCITS ETF USD (Acc), quantity: 1</t>
  </si>
  <si>
    <t>5dff4e94-4b39-494f-8b1e-ff4b0f484646</t>
  </si>
  <si>
    <t>Sell trade IE00B4L5Y983 iShares III plc - iShares Core MSCI World UCITS ETF USD (Acc), quantity: 2.064302</t>
  </si>
  <si>
    <t>ee117477-0839-459b-97b1-8a552ed67040</t>
  </si>
  <si>
    <t>Sell trade IE00BMC38736 VanEck UCITS ETFs plc - VanEck Semiconductor UCITS ETF, quantity: 3.5</t>
  </si>
  <si>
    <t>91e6e73a-554c-439b-99c5-4b35a0128898</t>
  </si>
  <si>
    <t>01a0fda0-c917-7f20-9ee2-65f529110fe2</t>
  </si>
  <si>
    <t>Sell trade LU1861132840 Amundi Index Solutions - Amundi MSCI Robotics &amp; AI UCITS ETF Acc, quantity: 2.033536</t>
  </si>
  <si>
    <t>4070bfa6-9f8b-4ca4-8fd9-923bad262e59</t>
  </si>
  <si>
    <t>01a0fe19-9c3c-7f9a-a043-50b7a3eb3dbc</t>
  </si>
  <si>
    <t>Sell trade IE00B4L5Y983 iShares III plc - iShares Core MSCI World UCITS ETF USD (Acc), quantity: 7</t>
  </si>
  <si>
    <t>da0ef8bc-e82a-4dea-b682-eafccaf6b79e</t>
  </si>
  <si>
    <t>Sell trade IE00BMC38736 VanEck UCITS ETFs plc - VanEck Semiconductor UCITS ETF, quantity: 3.737006</t>
  </si>
  <si>
    <t>b7106677-5005-432b-9a62-77f7ea6e78ee</t>
  </si>
  <si>
    <t>01a0fe5b-0053-735a-a427-3e34b81a98e7</t>
  </si>
  <si>
    <t>01a10189-4bd8-7872-aafd-5cd9b64ccc1d</t>
  </si>
  <si>
    <t>Gesamt Investiertes Kapital aus Verkäufen</t>
  </si>
  <si>
    <t>Gesamt Investiertes Kapital aus Verkäufen STOCK&amp;FUND</t>
  </si>
  <si>
    <t>Gesamt Investiertes Kapital aus Verkäufen STOCK</t>
  </si>
  <si>
    <t>Gesamt Investiertes Kapital aus Verkäufen FUND</t>
  </si>
  <si>
    <t>Gesamt Investiertes Kapital aus Verkäufen CRYPTO</t>
  </si>
  <si>
    <t>Sell trade IE00B5BMR087 iShares VII plc - iShares Core S&amp;P 500 UCITS ETF USD (Acc), quantity: 0.526442</t>
  </si>
  <si>
    <t>8c6b01b8-538c-4d2e-94f0-b0650b7cb642</t>
  </si>
  <si>
    <t>01a11241-7e28-7625-ac0b-585e79794625</t>
  </si>
  <si>
    <t>01a11a17-6cb0-7894-a358-aac92420d399</t>
  </si>
  <si>
    <t>Buy trade AU000000DRO2 DRONESHIELD LTD, quantity: 294.98525</t>
  </si>
  <si>
    <t>eaada9e6-f32c-43ff-bd01-8ce8530e1f21</t>
  </si>
  <si>
    <t>Sell trade XF000SOL0012 Solana, quantity: 3</t>
  </si>
  <si>
    <t>c62f3cd3-beed-49bc-aa0a-4c11eb36c0f9</t>
  </si>
  <si>
    <t>Sell trade XF000LINK010 Chainlink, quantity: 24.110118</t>
  </si>
  <si>
    <t>80f20982-e9f2-4f84-b290-7f758b9a7481</t>
  </si>
  <si>
    <t>Buy trade US26740W1099 D-WAVE QUATUM    DL-,0001, quantity: 11.46</t>
  </si>
  <si>
    <t>2baa78ce-f689-4220-ab25-148c12eecf4c</t>
  </si>
  <si>
    <t>Buy trade DE0008232125 LUFTHANSA AG VNA O.N., quantity: 14</t>
  </si>
  <si>
    <t>de8ffdd7-8d73-4280-93e5-7c686586fafc</t>
  </si>
  <si>
    <t>Buy trade XF000LINK010 Chainlink, quantity: 12</t>
  </si>
  <si>
    <t>aa51ee64-8d5f-4dfd-8346-2b2a4c0d649c</t>
  </si>
  <si>
    <t>Buy trade XF000XRP0018 XRP, quantity: 44.223736</t>
  </si>
  <si>
    <t>d2a048e6-7ea0-474b-8999-58a47631cd30</t>
  </si>
  <si>
    <t>Buy trade US9168961038 URANIUM ENERGY    DL-,001, quantity: 12</t>
  </si>
  <si>
    <t>edc2a4b1-95be-43ce-99ec-af474309a56a</t>
  </si>
  <si>
    <t>01a11fd2-340c-7973-b6e1-d93d33ce3298</t>
  </si>
  <si>
    <t>01a11e6c-fa50-7f6c-91b8-f9436e3afb5e</t>
  </si>
  <si>
    <t>01a11f42-5441-7567-b0a5-59a758a7a548</t>
  </si>
  <si>
    <t>Buy trade XF000LINK010 Chainlink, quantity: 3.560573</t>
  </si>
  <si>
    <t>72e63d89-77af-4f7e-88fe-03dbfa8f2eef</t>
  </si>
  <si>
    <t>(Leer)</t>
  </si>
  <si>
    <t>Kaufgebüren</t>
  </si>
  <si>
    <t>Verkaufsgebühren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</si>
</sst>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0.00\ &quot;€&quot;"/>
    <numFmt numFmtId="165" formatCode="#,##0.00000\ &quot;€&quot;"/>
    <numFmt numFmtId="166" formatCode="#,##0.000\ &quot;€&quot;"/>
    <numFmt numFmtId="167" formatCode="#,##0.00000"/>
    <numFmt numFmtId="168" formatCode="#,##0.0000\ &quot;€&quot;"/>
    <numFmt numFmtId="169" formatCode="#,##0.00000000\ &quot;€&quot;"/>
  </numFmts>
  <fonts count="9" x14ac:knownFonts="1">
    <font>
      <sz val="11"/>
      <color theme="1"/>
      <name val="Calibri"/>
      <family val="2"/>
      <scheme val="minor"/>
    </font>
    <font>
      <b/>
      <sz val="11"/>
      <color rgb="FFFFFFFF"/>
      <name val="Calibri"/>
      <family val="2"/>
    </font>
    <font>
      <sz val="11"/>
      <color theme="1"/>
      <name val="Segoe UI"/>
      <family val="2"/>
    </font>
    <font>
      <b/>
      <sz val="11"/>
      <color theme="1"/>
      <name val="Segoe UI"/>
      <family val="2"/>
    </font>
    <font>
      <b/>
      <sz val="12"/>
      <name val="Times New Roman"/>
      <family val="1"/>
    </font>
    <font>
      <sz val="12"/>
      <color theme="1"/>
      <name val="Times New Roman"/>
      <family val="1"/>
    </font>
    <font>
      <b/>
      <sz val="11"/>
      <color rgb="FFFFFFFF"/>
      <name val="Calibri"/>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rgb="FF1F4E78"/>
      </patternFill>
    </fill>
    <fill>
      <patternFill patternType="solid">
        <fgColor rgb="FFF5F5F5"/>
        <bgColor indexed="64"/>
      </patternFill>
    </fill>
    <fill>
      <patternFill patternType="solid">
        <fgColor rgb="FF4472C4"/>
      </patternFill>
    </fill>
  </fills>
  <borders count="3">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44" fontId="7" fillId="0" borderId="0" applyFont="0" applyFill="0" applyBorder="0" applyAlignment="0" applyProtection="0"/>
  </cellStyleXfs>
  <cellXfs count="47">
    <xf numFmtId="0" fontId="0" fillId="0" borderId="0" xfId="0"/>
    <xf numFmtId="14" fontId="0" fillId="0" borderId="0" xfId="0" applyNumberFormat="1" applyAlignment="1">
      <alignment horizontal="center"/>
    </xf>
    <xf numFmtId="0" fontId="3" fillId="4" borderId="2" xfId="0" applyFont="1" applyFill="1" applyBorder="1" applyAlignment="1">
      <alignment horizontal="center" vertical="center" wrapText="1"/>
    </xf>
    <xf numFmtId="0" fontId="2" fillId="0" borderId="2" xfId="0" applyFont="1" applyBorder="1" applyAlignment="1">
      <alignment vertical="center" wrapText="1"/>
    </xf>
    <xf numFmtId="0" fontId="1" fillId="3"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1" fillId="3" borderId="0" xfId="0" applyFont="1" applyFill="1" applyAlignment="1">
      <alignment horizontal="left"/>
    </xf>
    <xf numFmtId="0" fontId="0" fillId="0" borderId="0" xfId="0" applyAlignment="1">
      <alignment horizontal="left"/>
    </xf>
    <xf numFmtId="0" fontId="4" fillId="0" borderId="0" xfId="0" applyFont="1" applyAlignment="1">
      <alignment horizontal="left"/>
    </xf>
    <xf numFmtId="0" fontId="5" fillId="0" borderId="0" xfId="0" applyFont="1" applyAlignment="1">
      <alignment horizontal="center"/>
    </xf>
    <xf numFmtId="0" fontId="5" fillId="0" borderId="0" xfId="0" applyFont="1"/>
    <xf numFmtId="0" fontId="5" fillId="0" borderId="0" xfId="0" applyFont="1" applyAlignment="1">
      <alignment horizontal="left"/>
    </xf>
    <xf numFmtId="164" fontId="5" fillId="0" borderId="0" xfId="0" applyNumberFormat="1" applyFont="1" applyAlignment="1">
      <alignment horizontal="center"/>
    </xf>
    <xf numFmtId="10" fontId="5" fillId="0" borderId="0" xfId="0" applyNumberFormat="1" applyFont="1" applyAlignment="1">
      <alignment horizontal="center"/>
    </xf>
    <xf numFmtId="164" fontId="1" fillId="3" borderId="0" xfId="0" applyNumberFormat="1" applyFont="1" applyFill="1" applyAlignment="1">
      <alignment horizontal="center"/>
    </xf>
    <xf numFmtId="10" fontId="1" fillId="2" borderId="0" xfId="0" applyNumberFormat="1" applyFont="1" applyFill="1" applyAlignment="1">
      <alignment horizontal="center"/>
    </xf>
    <xf numFmtId="10" fontId="1" fillId="3" borderId="0" xfId="0" applyNumberFormat="1" applyFont="1" applyFill="1" applyAlignment="1">
      <alignment horizontal="center"/>
    </xf>
    <xf numFmtId="165" fontId="0" fillId="0" borderId="0" xfId="0" applyNumberFormat="1"/>
    <xf numFmtId="166" fontId="1" fillId="3" borderId="0" xfId="0" applyNumberFormat="1" applyFont="1" applyFill="1" applyAlignment="1">
      <alignment horizontal="center"/>
    </xf>
    <xf numFmtId="166" fontId="0" fillId="0" borderId="0" xfId="0" applyNumberFormat="1" applyAlignment="1">
      <alignment horizontal="center"/>
    </xf>
    <xf numFmtId="164" fontId="5" fillId="0" borderId="0" xfId="0" applyNumberFormat="1" applyFont="1"/>
    <xf numFmtId="10" fontId="5" fillId="0" borderId="0" xfId="0" applyNumberFormat="1" applyFont="1"/>
    <xf numFmtId="0" fontId="6" fillId="5" borderId="1" xfId="0" applyFont="1" applyFill="1" applyBorder="1" applyAlignment="1">
      <alignment horizontal="center" vertical="top"/>
    </xf>
    <xf numFmtId="4" fontId="1" fillId="3" borderId="0" xfId="0" applyNumberFormat="1" applyFont="1" applyFill="1" applyAlignment="1">
      <alignment horizontal="center"/>
    </xf>
    <xf numFmtId="4" fontId="0" fillId="0" borderId="0" xfId="0" applyNumberFormat="1" applyAlignment="1">
      <alignment horizontal="center"/>
    </xf>
    <xf numFmtId="2" fontId="6" fillId="5" borderId="1" xfId="0" applyNumberFormat="1" applyFont="1" applyFill="1" applyBorder="1" applyAlignment="1">
      <alignment horizontal="center" vertical="top"/>
    </xf>
    <xf numFmtId="2" fontId="0" fillId="0" borderId="0" xfId="0" applyNumberFormat="1"/>
    <xf numFmtId="2" fontId="5" fillId="0" borderId="0" xfId="0" applyNumberFormat="1" applyFont="1" applyAlignment="1">
      <alignment horizontal="center"/>
    </xf>
    <xf numFmtId="14" fontId="6" fillId="5" borderId="1" xfId="0" applyNumberFormat="1" applyFont="1" applyFill="1" applyBorder="1" applyAlignment="1">
      <alignment horizontal="center" vertical="top"/>
    </xf>
    <xf numFmtId="22" fontId="6" fillId="5" borderId="1" xfId="0" applyNumberFormat="1" applyFont="1" applyFill="1" applyBorder="1" applyAlignment="1">
      <alignment horizontal="center" vertical="top"/>
    </xf>
    <xf numFmtId="22" fontId="0" fillId="0" borderId="0" xfId="0" applyNumberFormat="1" applyAlignment="1">
      <alignment horizontal="center"/>
    </xf>
    <xf numFmtId="0" fontId="0" fillId="0" borderId="0" xfId="0" pivotButton="1"/>
    <xf numFmtId="0" fontId="0" fillId="0" borderId="0" xfId="0" applyAlignment="1">
      <alignment horizontal="left" indent="1"/>
    </xf>
    <xf numFmtId="44" fontId="0" fillId="0" borderId="0" xfId="0" applyNumberFormat="1"/>
    <xf numFmtId="44" fontId="0" fillId="0" borderId="0" xfId="1" applyFont="1"/>
    <xf numFmtId="44" fontId="0" fillId="0" borderId="0" xfId="0" applyNumberFormat="1" applyAlignment="1">
      <alignment horizontal="center"/>
    </xf>
    <xf numFmtId="2" fontId="0" fillId="0" borderId="0" xfId="0" applyNumberFormat="1" applyAlignment="1">
      <alignment horizontal="center"/>
    </xf>
    <xf numFmtId="22" fontId="0" fillId="0" borderId="0" xfId="0" applyNumberFormat="1"/>
    <xf numFmtId="14" fontId="0" fillId="0" borderId="0" xfId="0" applyNumberFormat="1"/>
    <xf numFmtId="165" fontId="8" fillId="0" borderId="0" xfId="0" applyNumberFormat="1" applyFont="1"/>
    <xf numFmtId="10" fontId="8" fillId="0" borderId="0" xfId="0" applyNumberFormat="1" applyFont="1"/>
    <xf numFmtId="167" fontId="8" fillId="0" borderId="0" xfId="0" applyNumberFormat="1" applyFont="1"/>
    <xf numFmtId="168" fontId="0" fillId="0" borderId="0" xfId="0" applyNumberFormat="1" applyAlignment="1">
      <alignment horizontal="center"/>
    </xf>
    <xf numFmtId="169" fontId="0" fillId="0" borderId="0" xfId="0" applyNumberFormat="1" applyAlignment="1">
      <alignment horizontal="center"/>
    </xf>
    <xf numFmtId="44" fontId="5" fillId="0" borderId="0" xfId="1" applyFont="1" applyAlignment="1">
      <alignment horizontal="center"/>
    </xf>
  </cellXfs>
  <cellStyles count="2">
    <cellStyle name="Standard" xfId="0" builtinId="0"/>
    <cellStyle name="Währung" xfId="1" builtinId="4"/>
  </cellStyles>
  <dxfs count="22">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00B050"/>
        </patternFill>
      </fill>
    </dxf>
    <dxf>
      <fill>
        <patternFill>
          <bgColor rgb="FFFF0000"/>
        </patternFill>
      </fill>
    </dxf>
    <dxf>
      <numFmt numFmtId="2" formatCode="0.00"/>
    </dxf>
    <dxf>
      <numFmt numFmtId="2" formatCode="0.00"/>
    </dxf>
    <dxf>
      <alignment horizontal="center"/>
    </dxf>
    <dxf>
      <alignment horizontal="center"/>
    </dxf>
    <dxf>
      <alignment horizontal="center"/>
    </dxf>
    <dxf>
      <alignment horizontal="center"/>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[Portfolio_Profi_Analyse_B.xlsx]Pivot!PivotTable6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dLbl>
          <c:idx val="0"/>
          <c:layout>
            <c:manualLayout>
              <c:x val="-0.10300257345880551"/>
              <c:y val="-9.710982658959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dLbl>
          <c:idx val="0"/>
          <c:layout>
            <c:manualLayout>
              <c:x val="-6.7799807950835456E-2"/>
              <c:y val="-0.18188824662813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layout>
            <c:manualLayout>
              <c:x val="-5.7502080532616348E-4"/>
              <c:y val="-0.13564547206165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dLbl>
          <c:idx val="0"/>
          <c:layout>
            <c:manualLayout>
              <c:x val="2.4113180974329334E-2"/>
              <c:y val="-0.175722543352601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dLbl>
          <c:idx val="0"/>
          <c:layout>
            <c:manualLayout>
              <c:x val="0.20305906151974906"/>
              <c:y val="-0.19421965317919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dLbl>
          <c:idx val="0"/>
          <c:layout>
            <c:manualLayout>
              <c:x val="0.27393780167722936"/>
              <c:y val="-0.160308285163776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dLbl>
          <c:idx val="0"/>
          <c:layout>
            <c:manualLayout>
              <c:x val="3.1404493950451313E-2"/>
              <c:y val="-0.22196531791907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dLbl>
          <c:idx val="0"/>
          <c:layout>
            <c:manualLayout>
              <c:x val="-0.23953590679213885"/>
              <c:y val="-0.172639691714836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dLbl>
          <c:idx val="0"/>
          <c:layout>
            <c:manualLayout>
              <c:x val="0.24328347737020678"/>
              <c:y val="-0.126396917148362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dLbl>
          <c:idx val="0"/>
          <c:layout>
            <c:manualLayout>
              <c:x val="0.15850959605659048"/>
              <c:y val="-9.5568400770712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dLbl>
          <c:idx val="0"/>
          <c:layout>
            <c:manualLayout>
              <c:x val="0.13892058126880472"/>
              <c:y val="-2.46544384264105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dLbl>
          <c:idx val="0"/>
          <c:layout>
            <c:manualLayout>
              <c:x val="0.12588817617310022"/>
              <c:y val="9.66866020360171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dLbl>
          <c:idx val="0"/>
          <c:layout>
            <c:manualLayout>
              <c:x val="0.19569185834246064"/>
              <c:y val="5.4644808743169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dLbl>
          <c:idx val="0"/>
          <c:layout>
            <c:manualLayout>
              <c:x val="0.15480102227090178"/>
              <c:y val="7.4681238615664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dLbl>
          <c:idx val="0"/>
          <c:layout>
            <c:manualLayout>
              <c:x val="3.2128514056224897E-2"/>
              <c:y val="0.11657559198542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dLbl>
          <c:idx val="0"/>
          <c:layout>
            <c:manualLayout>
              <c:x val="-3.5049288061336309E-2"/>
              <c:y val="0.13661202185792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dLbl>
          <c:idx val="0"/>
          <c:layout>
            <c:manualLayout>
              <c:x val="-0.19102777030919915"/>
              <c:y val="0.13395245247523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dLbl>
          <c:idx val="0"/>
          <c:layout>
            <c:manualLayout>
              <c:x val="-0.20818016772293707"/>
              <c:y val="0.123865823130489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dLbl>
          <c:idx val="0"/>
          <c:layout>
            <c:manualLayout>
              <c:x val="-0.20005254465143077"/>
              <c:y val="8.65977879932638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dLbl>
          <c:idx val="0"/>
          <c:layout>
            <c:manualLayout>
              <c:x val="-0.16762716855515011"/>
              <c:y val="5.3949903660886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dLbl>
          <c:idx val="0"/>
          <c:layout>
            <c:manualLayout>
              <c:x val="-0.1497248063504257"/>
              <c:y val="1.0789980732177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dLbl>
          <c:idx val="0"/>
          <c:layout>
            <c:manualLayout>
              <c:x val="-0.14078674948240166"/>
              <c:y val="-3.85356454720616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dLbl>
          <c:idx val="0"/>
          <c:layout>
            <c:manualLayout>
              <c:x val="-0.13526566221475836"/>
              <c:y val="-0.1171483622350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dLbl>
          <c:idx val="0"/>
          <c:layout>
            <c:manualLayout>
              <c:x val="-0.13526570048309183"/>
              <c:y val="-0.160308285163776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dLbl>
          <c:idx val="0"/>
          <c:layout>
            <c:manualLayout>
              <c:x val="-0.14492753623188409"/>
              <c:y val="-6.01156069364162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dLbl>
          <c:idx val="0"/>
          <c:layout>
            <c:manualLayout>
              <c:x val="-4.2788129744651481E-2"/>
              <c:y val="-0.18034682080924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dLbl>
          <c:idx val="0"/>
          <c:layout>
            <c:manualLayout>
              <c:x val="9.7998619737750176E-2"/>
              <c:y val="-0.184971098265895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dLbl>
          <c:idx val="0"/>
          <c:layout>
            <c:manualLayout>
              <c:x val="-0.42097998619737759"/>
              <c:y val="-0.138728323699421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dLbl>
          <c:idx val="0"/>
          <c:layout>
            <c:manualLayout>
              <c:x val="-0.13813241654652322"/>
              <c:y val="-3.0828516377649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dLbl>
          <c:idx val="0"/>
          <c:layout>
            <c:manualLayout>
              <c:x val="-0.45548654244306419"/>
              <c:y val="-5.24084778420038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dLbl>
          <c:idx val="0"/>
          <c:layout>
            <c:manualLayout>
              <c:x val="-0.15971771333461365"/>
              <c:y val="-0.18959537572254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dLbl>
          <c:idx val="0"/>
          <c:layout>
            <c:manualLayout>
              <c:x val="-0.16517231931374432"/>
              <c:y val="-0.209633911368015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dLbl>
          <c:idx val="0"/>
          <c:layout>
            <c:manualLayout>
              <c:x val="3.036576949620428E-2"/>
              <c:y val="0.16339113680154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dLbl>
          <c:idx val="0"/>
          <c:layout>
            <c:manualLayout>
              <c:x val="9.1097308488612833E-2"/>
              <c:y val="7.3988439306358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dLbl>
          <c:idx val="0"/>
          <c:layout>
            <c:manualLayout>
              <c:x val="7.7294685990338161E-2"/>
              <c:y val="0.117148362235067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dLbl>
          <c:idx val="0"/>
          <c:layout>
            <c:manualLayout>
              <c:x val="0.22222222222222213"/>
              <c:y val="0.178805394990365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dLbl>
          <c:idx val="0"/>
          <c:layout>
            <c:manualLayout>
              <c:x val="-0.13502910185007361"/>
              <c:y val="-9.7109826589595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dLbl>
          <c:idx val="0"/>
          <c:layout>
            <c:manualLayout>
              <c:x val="-0.11180124223602485"/>
              <c:y val="8.3236994219653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dLbl>
          <c:idx val="0"/>
          <c:layout>
            <c:manualLayout>
              <c:x val="-0.30232594584213557"/>
              <c:y val="-0.191136801541425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dLbl>
          <c:idx val="0"/>
          <c:layout>
            <c:manualLayout>
              <c:x val="-0.14078674948240166"/>
              <c:y val="-7.86127167630057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dLbl>
          <c:idx val="0"/>
          <c:layout>
            <c:manualLayout>
              <c:x val="-0.15596963423050381"/>
              <c:y val="-0.35761078998073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dLbl>
          <c:idx val="0"/>
          <c:layout>
            <c:manualLayout>
              <c:x val="-0.14216701173222912"/>
              <c:y val="-0.3129094412331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dLbl>
          <c:idx val="0"/>
          <c:layout>
            <c:manualLayout>
              <c:x val="-0.14354727398205658"/>
              <c:y val="-0.243545279383429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dLbl>
          <c:idx val="0"/>
          <c:layout>
            <c:manualLayout>
              <c:x val="-0.15734989648033126"/>
              <c:y val="-0.195761078998073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dLbl>
          <c:idx val="0"/>
          <c:layout>
            <c:manualLayout>
              <c:x val="-0.13664596273291929"/>
              <c:y val="-0.161849710982659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dLbl>
          <c:idx val="0"/>
          <c:layout>
            <c:manualLayout>
              <c:x val="-0.12008281573498965"/>
              <c:y val="-0.131021194605009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dLbl>
          <c:idx val="0"/>
          <c:layout>
            <c:manualLayout>
              <c:x val="-0.13664596273291926"/>
              <c:y val="-7.3988439306358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dLbl>
          <c:idx val="0"/>
          <c:layout>
            <c:manualLayout>
              <c:x val="-0.15734989648033126"/>
              <c:y val="-6.165703275529865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dLbl>
          <c:idx val="0"/>
          <c:layout>
            <c:manualLayout>
              <c:x val="-0.16149068322981369"/>
              <c:y val="5.08670520231213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dLbl>
          <c:idx val="0"/>
          <c:layout>
            <c:manualLayout>
              <c:x val="-0.14078674948240166"/>
              <c:y val="-2.77456647398844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dLbl>
          <c:idx val="0"/>
          <c:layout>
            <c:manualLayout>
              <c:x val="-8.9717046238785375E-2"/>
              <c:y val="7.70712909441233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dLbl>
          <c:idx val="0"/>
          <c:layout>
            <c:manualLayout>
              <c:x val="-0.12836438923395446"/>
              <c:y val="-4.7784200385356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dLbl>
          <c:idx val="0"/>
          <c:layout>
            <c:manualLayout>
              <c:x val="-0.12284334023464458"/>
              <c:y val="-0.10019267822736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dLbl>
          <c:idx val="0"/>
          <c:layout>
            <c:manualLayout>
              <c:x val="-0.16011042097998621"/>
              <c:y val="2.6204238921001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dLbl>
          <c:idx val="0"/>
          <c:layout>
            <c:manualLayout>
              <c:x val="-0.23269742013955572"/>
              <c:y val="-0.172293659824313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dLbl>
          <c:idx val="0"/>
          <c:layout>
            <c:manualLayout>
              <c:x val="0.19047619047619047"/>
              <c:y val="-0.16339113680154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dLbl>
          <c:idx val="0"/>
          <c:layout>
            <c:manualLayout>
              <c:x val="0.270531400966183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dLbl>
          <c:idx val="0"/>
          <c:layout>
            <c:manualLayout>
              <c:x val="0.21532091097308489"/>
              <c:y val="-3.236994219653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dLbl>
          <c:idx val="0"/>
          <c:layout>
            <c:manualLayout>
              <c:x val="0.18909592822636301"/>
              <c:y val="-0.121772639691714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dLbl>
          <c:idx val="0"/>
          <c:layout>
            <c:manualLayout>
              <c:x val="0.19875776397515527"/>
              <c:y val="-7.55298651252408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dLbl>
          <c:idx val="0"/>
          <c:layout>
            <c:manualLayout>
              <c:x val="-0.14768806073153901"/>
              <c:y val="-0.120231213872832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pivotFmt>
    </c:pivotFmts>
    <c:plotArea>
      <c:layout>
        <c:manualLayout>
          <c:layoutTarget val="inner"/>
          <c:xMode val="edge"/>
          <c:yMode val="edge"/>
          <c:x val="0.21032271941617053"/>
          <c:y val="0.16062009011879294"/>
          <c:w val="0.61885497609622453"/>
          <c:h val="0.77187785952985388"/>
        </c:manualLayout>
      </c:layout>
      <c:doughnutChart>
        <c:varyColors val="1"/>
        <c:ser>
          <c:idx val="0"/>
          <c:order val="0"/>
          <c:tx>
            <c:strRef>
              <c:f>Pivot!$B$13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6-4142-BE23-5B37F030CE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6-4142-BE23-5B37F030CE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06-4142-BE23-5B37F030CE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06-4142-BE23-5B37F030CE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06-4142-BE23-5B37F030CE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06-4142-BE23-5B37F030CE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06-4142-BE23-5B37F030CEB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06-4142-BE23-5B37F030CEB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106-4142-BE23-5B37F030CEB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106-4142-BE23-5B37F030CEB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106-4142-BE23-5B37F030CEB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106-4142-BE23-5B37F030CEB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106-4142-BE23-5B37F030CEB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106-4142-BE23-5B37F030CEB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106-4142-BE23-5B37F030CEB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106-4142-BE23-5B37F030CEB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106-4142-BE23-5B37F030CEB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106-4142-BE23-5B37F030CEB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106-4142-BE23-5B37F030CEB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106-4142-BE23-5B37F030CEB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106-4142-BE23-5B37F030CEB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106-4142-BE23-5B37F030CEB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106-4142-BE23-5B37F030CEB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106-4142-BE23-5B37F030CEB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106-4142-BE23-5B37F030CEB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106-4142-BE23-5B37F030CEB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106-4142-BE23-5B37F030CEB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106-4142-BE23-5B37F030CEB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106-4142-BE23-5B37F030CEB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106-4142-BE23-5B37F030CEB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106-4142-BE23-5B37F030CEB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106-4142-BE23-5B37F030CEB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106-4142-BE23-5B37F030CEB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106-4142-BE23-5B37F030CEB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106-4142-BE23-5B37F030CEB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106-4142-BE23-5B37F030CEB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106-4142-BE23-5B37F030CEB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106-4142-BE23-5B37F030CEB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106-4142-BE23-5B37F030CEB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106-4142-BE23-5B37F030CEB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106-4142-BE23-5B37F030CEB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106-4142-BE23-5B37F030CEB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106-4142-BE23-5B37F030CEB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106-4142-BE23-5B37F030CEB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106-4142-BE23-5B37F030CEB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106-4142-BE23-5B37F030CEB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106-4142-BE23-5B37F030CEB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106-4142-BE23-5B37F030CEB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106-4142-BE23-5B37F030CEB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106-4142-BE23-5B37F030CEB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106-4142-BE23-5B37F030CEB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106-4142-BE23-5B37F030CEB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106-4142-BE23-5B37F030CEB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106-4142-BE23-5B37F030CEB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106-4142-BE23-5B37F030CEB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106-4142-BE23-5B37F030CEB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106-4142-BE23-5B37F030CEB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106-4142-BE23-5B37F030CEB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106-4142-BE23-5B37F030CEBC}"/>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B106-4142-BE23-5B37F030CEBC}"/>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B106-4142-BE23-5B37F030CEBC}"/>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B106-4142-BE23-5B37F030CEBC}"/>
              </c:ext>
            </c:extLst>
          </c:dPt>
          <c:dLbls>
            <c:dLbl>
              <c:idx val="0"/>
              <c:layout>
                <c:manualLayout>
                  <c:x val="-0.10300257345880551"/>
                  <c:y val="-9.710982658959539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06-4142-BE23-5B37F030CEBC}"/>
                </c:ext>
              </c:extLst>
            </c:dLbl>
            <c:dLbl>
              <c:idx val="1"/>
              <c:layout>
                <c:manualLayout>
                  <c:x val="-6.7799807950835456E-2"/>
                  <c:y val="-0.1818882466281310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06-4142-BE23-5B37F030CEBC}"/>
                </c:ext>
              </c:extLst>
            </c:dLbl>
            <c:dLbl>
              <c:idx val="2"/>
              <c:layout>
                <c:manualLayout>
                  <c:x val="-5.7502080532616348E-4"/>
                  <c:y val="-0.1356454720616570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106-4142-BE23-5B37F030CEBC}"/>
                </c:ext>
              </c:extLst>
            </c:dLbl>
            <c:dLbl>
              <c:idx val="3"/>
              <c:layout>
                <c:manualLayout>
                  <c:x val="2.4113180974329334E-2"/>
                  <c:y val="-0.1757225433526011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106-4142-BE23-5B37F030CEBC}"/>
                </c:ext>
              </c:extLst>
            </c:dLbl>
            <c:dLbl>
              <c:idx val="4"/>
              <c:layout>
                <c:manualLayout>
                  <c:x val="0.20305906151974906"/>
                  <c:y val="-0.1942196531791907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106-4142-BE23-5B37F030CEBC}"/>
                </c:ext>
              </c:extLst>
            </c:dLbl>
            <c:dLbl>
              <c:idx val="5"/>
              <c:layout>
                <c:manualLayout>
                  <c:x val="0.27393780167722936"/>
                  <c:y val="-0.1603082851637764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106-4142-BE23-5B37F030CEBC}"/>
                </c:ext>
              </c:extLst>
            </c:dLbl>
            <c:dLbl>
              <c:idx val="6"/>
              <c:layout>
                <c:manualLayout>
                  <c:x val="3.1404493950451313E-2"/>
                  <c:y val="-0.2219653179190751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B106-4142-BE23-5B37F030CEBC}"/>
                </c:ext>
              </c:extLst>
            </c:dLbl>
            <c:dLbl>
              <c:idx val="7"/>
              <c:layout>
                <c:manualLayout>
                  <c:x val="0.24328347737020678"/>
                  <c:y val="-0.1263969171483622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106-4142-BE23-5B37F030CEBC}"/>
                </c:ext>
              </c:extLst>
            </c:dLbl>
            <c:dLbl>
              <c:idx val="8"/>
              <c:layout>
                <c:manualLayout>
                  <c:x val="0.15850959605659048"/>
                  <c:y val="-9.556840077071290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B106-4142-BE23-5B37F030CEBC}"/>
                </c:ext>
              </c:extLst>
            </c:dLbl>
            <c:dLbl>
              <c:idx val="9"/>
              <c:layout>
                <c:manualLayout>
                  <c:x val="0.12588817617310022"/>
                  <c:y val="9.668660203601717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B106-4142-BE23-5B37F030CEBC}"/>
                </c:ext>
              </c:extLst>
            </c:dLbl>
            <c:dLbl>
              <c:idx val="10"/>
              <c:layout>
                <c:manualLayout>
                  <c:x val="0.19569185834246064"/>
                  <c:y val="5.464480874316939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B106-4142-BE23-5B37F030CEBC}"/>
                </c:ext>
              </c:extLst>
            </c:dLbl>
            <c:dLbl>
              <c:idx val="11"/>
              <c:layout>
                <c:manualLayout>
                  <c:x val="3.2128514056224897E-2"/>
                  <c:y val="0.1165755919854280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B106-4142-BE23-5B37F030CEBC}"/>
                </c:ext>
              </c:extLst>
            </c:dLbl>
            <c:dLbl>
              <c:idx val="12"/>
              <c:layout>
                <c:manualLayout>
                  <c:x val="-3.5049288061336309E-2"/>
                  <c:y val="0.1366120218579233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B106-4142-BE23-5B37F030CEBC}"/>
                </c:ext>
              </c:extLst>
            </c:dLbl>
            <c:dLbl>
              <c:idx val="13"/>
              <c:layout>
                <c:manualLayout>
                  <c:x val="-0.19102777030919915"/>
                  <c:y val="0.1339524524752324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B106-4142-BE23-5B37F030CEBC}"/>
                </c:ext>
              </c:extLst>
            </c:dLbl>
            <c:dLbl>
              <c:idx val="14"/>
              <c:layout>
                <c:manualLayout>
                  <c:x val="-0.20818016772293707"/>
                  <c:y val="0.1238658231304899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B106-4142-BE23-5B37F030CEBC}"/>
                </c:ext>
              </c:extLst>
            </c:dLbl>
            <c:dLbl>
              <c:idx val="15"/>
              <c:layout>
                <c:manualLayout>
                  <c:x val="-0.20005254465143077"/>
                  <c:y val="8.659778799326384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B106-4142-BE23-5B37F030CEBC}"/>
                </c:ext>
              </c:extLst>
            </c:dLbl>
            <c:dLbl>
              <c:idx val="16"/>
              <c:layout>
                <c:manualLayout>
                  <c:x val="-0.16762716855515011"/>
                  <c:y val="5.394990366088620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1-B106-4142-BE23-5B37F030CEBC}"/>
                </c:ext>
              </c:extLst>
            </c:dLbl>
            <c:dLbl>
              <c:idx val="17"/>
              <c:layout>
                <c:manualLayout>
                  <c:x val="-0.1497248063504257"/>
                  <c:y val="1.078998073217726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3-B106-4142-BE23-5B37F030CEBC}"/>
                </c:ext>
              </c:extLst>
            </c:dLbl>
            <c:dLbl>
              <c:idx val="18"/>
              <c:layout>
                <c:manualLayout>
                  <c:x val="-0.13526566221475836"/>
                  <c:y val="-0.117148362235067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5-B106-4142-BE23-5B37F030CEBC}"/>
                </c:ext>
              </c:extLst>
            </c:dLbl>
            <c:dLbl>
              <c:idx val="19"/>
              <c:layout>
                <c:manualLayout>
                  <c:x val="-0.13526570048309183"/>
                  <c:y val="-0.1603082851637765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7-B106-4142-BE23-5B37F030CEBC}"/>
                </c:ext>
              </c:extLst>
            </c:dLbl>
            <c:dLbl>
              <c:idx val="20"/>
              <c:layout>
                <c:manualLayout>
                  <c:x val="-0.13813241654652322"/>
                  <c:y val="-3.082851637764989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9-B106-4142-BE23-5B37F030CEBC}"/>
                </c:ext>
              </c:extLst>
            </c:dLbl>
            <c:dLbl>
              <c:idx val="21"/>
              <c:layout>
                <c:manualLayout>
                  <c:x val="-0.15971771333461365"/>
                  <c:y val="-0.1895953757225433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B-B106-4142-BE23-5B37F030CEBC}"/>
                </c:ext>
              </c:extLst>
            </c:dLbl>
            <c:dLbl>
              <c:idx val="22"/>
              <c:layout>
                <c:manualLayout>
                  <c:x val="-0.16517231931374432"/>
                  <c:y val="-0.2096339113680154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D-B106-4142-BE23-5B37F030CEBC}"/>
                </c:ext>
              </c:extLst>
            </c:dLbl>
            <c:dLbl>
              <c:idx val="23"/>
              <c:layout>
                <c:manualLayout>
                  <c:x val="-0.13502910185007361"/>
                  <c:y val="-9.710982658959536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F-B106-4142-BE23-5B37F030CEBC}"/>
                </c:ext>
              </c:extLst>
            </c:dLbl>
            <c:dLbl>
              <c:idx val="24"/>
              <c:layout>
                <c:manualLayout>
                  <c:x val="-0.30232594584213557"/>
                  <c:y val="-0.1911368015414258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1-B106-4142-BE23-5B37F030CEBC}"/>
                </c:ext>
              </c:extLst>
            </c:dLbl>
            <c:dLbl>
              <c:idx val="25"/>
              <c:layout>
                <c:manualLayout>
                  <c:x val="-0.14078674948240166"/>
                  <c:y val="-7.861271676300578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3-B106-4142-BE23-5B37F030CEBC}"/>
                </c:ext>
              </c:extLst>
            </c:dLbl>
            <c:dLbl>
              <c:idx val="26"/>
              <c:layout>
                <c:manualLayout>
                  <c:x val="-0.23269742013955572"/>
                  <c:y val="-0.1722936598243138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5-B106-4142-BE23-5B37F030CE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Pivot!$A$14:$A$45</c:f>
              <c:multiLvlStrCache>
                <c:ptCount val="28"/>
                <c:lvl>
                  <c:pt idx="0">
                    <c:v>Algorand</c:v>
                  </c:pt>
                  <c:pt idx="1">
                    <c:v>Cardano</c:v>
                  </c:pt>
                  <c:pt idx="2">
                    <c:v>Chainlink</c:v>
                  </c:pt>
                  <c:pt idx="3">
                    <c:v>Dogecoin</c:v>
                  </c:pt>
                  <c:pt idx="4">
                    <c:v>Polkadot</c:v>
                  </c:pt>
                  <c:pt idx="5">
                    <c:v>Polygon</c:v>
                  </c:pt>
                  <c:pt idx="6">
                    <c:v>Render</c:v>
                  </c:pt>
                  <c:pt idx="7">
                    <c:v>XRP</c:v>
                  </c:pt>
                  <c:pt idx="8">
                    <c:v>Core MSCI EM IMI USD (Acc)</c:v>
                  </c:pt>
                  <c:pt idx="9">
                    <c:v>Core S&amp;P 500 USD (Acc)</c:v>
                  </c:pt>
                  <c:pt idx="10">
                    <c:v>Core Stoxx Europe 600 EUR (Acc)</c:v>
                  </c:pt>
                  <c:pt idx="11">
                    <c:v>Defense USD (Acc)</c:v>
                  </c:pt>
                  <c:pt idx="12">
                    <c:v>Drone USD (ACC)</c:v>
                  </c:pt>
                  <c:pt idx="13">
                    <c:v>MSCI Robotics &amp; AI ESG Screened EUR (Acc)</c:v>
                  </c:pt>
                  <c:pt idx="14">
                    <c:v>MSCI World Consumer Staples USD (Acc)</c:v>
                  </c:pt>
                  <c:pt idx="15">
                    <c:v>MSCI World Health Care USD (Acc)</c:v>
                  </c:pt>
                  <c:pt idx="16">
                    <c:v>New Energy EUR (Dist)</c:v>
                  </c:pt>
                  <c:pt idx="17">
                    <c:v>Quantum Computing USD (Acc)</c:v>
                  </c:pt>
                  <c:pt idx="18">
                    <c:v>Space Innovators USD (Acc)</c:v>
                  </c:pt>
                  <c:pt idx="19">
                    <c:v>Bayer</c:v>
                  </c:pt>
                  <c:pt idx="20">
                    <c:v>Deutsche Konsum REIT</c:v>
                  </c:pt>
                  <c:pt idx="21">
                    <c:v>DroneShield</c:v>
                  </c:pt>
                  <c:pt idx="22">
                    <c:v>D-Wave Quantum</c:v>
                  </c:pt>
                  <c:pt idx="23">
                    <c:v>Lufthansa</c:v>
                  </c:pt>
                  <c:pt idx="24">
                    <c:v>Netflix</c:v>
                  </c:pt>
                  <c:pt idx="25">
                    <c:v>Nike (B)</c:v>
                  </c:pt>
                  <c:pt idx="26">
                    <c:v>Uranium Energy</c:v>
                  </c:pt>
                  <c:pt idx="27">
                    <c:v>Zinzino</c:v>
                  </c:pt>
                </c:lvl>
                <c:lvl>
                  <c:pt idx="0">
                    <c:v>CRYPTO</c:v>
                  </c:pt>
                  <c:pt idx="8">
                    <c:v>FUND</c:v>
                  </c:pt>
                  <c:pt idx="19">
                    <c:v>STOCK</c:v>
                  </c:pt>
                </c:lvl>
              </c:multiLvlStrCache>
            </c:multiLvlStrRef>
          </c:cat>
          <c:val>
            <c:numRef>
              <c:f>Pivot!$B$14:$B$45</c:f>
              <c:numCache>
                <c:formatCode>_("€"* #,##0.00_);_("€"* \(#,##0.00\);_("€"* "-"??_);_(@_)</c:formatCode>
                <c:ptCount val="28"/>
                <c:pt idx="0">
                  <c:v>17.028262449450001</c:v>
                </c:pt>
                <c:pt idx="1">
                  <c:v>152.088627153435</c:v>
                </c:pt>
                <c:pt idx="2">
                  <c:v>178.47977230999999</c:v>
                </c:pt>
                <c:pt idx="3">
                  <c:v>102.80425789838101</c:v>
                </c:pt>
                <c:pt idx="4">
                  <c:v>84.844857365999999</c:v>
                </c:pt>
                <c:pt idx="5">
                  <c:v>20.026190199509998</c:v>
                </c:pt>
                <c:pt idx="6">
                  <c:v>42.33</c:v>
                </c:pt>
                <c:pt idx="7">
                  <c:v>298.69430875</c:v>
                </c:pt>
                <c:pt idx="8">
                  <c:v>707.67878892900001</c:v>
                </c:pt>
                <c:pt idx="9">
                  <c:v>1001.1032262000002</c:v>
                </c:pt>
                <c:pt idx="10">
                  <c:v>727.9281033499999</c:v>
                </c:pt>
                <c:pt idx="11">
                  <c:v>359.96695224000001</c:v>
                </c:pt>
                <c:pt idx="12">
                  <c:v>461.82631348499996</c:v>
                </c:pt>
                <c:pt idx="13">
                  <c:v>625.67999999999995</c:v>
                </c:pt>
                <c:pt idx="14">
                  <c:v>404.58331714999997</c:v>
                </c:pt>
                <c:pt idx="15">
                  <c:v>564.82111904999999</c:v>
                </c:pt>
                <c:pt idx="16">
                  <c:v>360.40223607500002</c:v>
                </c:pt>
                <c:pt idx="17">
                  <c:v>376.75835539999997</c:v>
                </c:pt>
                <c:pt idx="18">
                  <c:v>403.77062508</c:v>
                </c:pt>
                <c:pt idx="19">
                  <c:v>25.002516923999973</c:v>
                </c:pt>
                <c:pt idx="20">
                  <c:v>44.7</c:v>
                </c:pt>
                <c:pt idx="21">
                  <c:v>1026.6783391327999</c:v>
                </c:pt>
                <c:pt idx="22">
                  <c:v>586.40832014400007</c:v>
                </c:pt>
                <c:pt idx="23">
                  <c:v>318.08277474599998</c:v>
                </c:pt>
                <c:pt idx="24">
                  <c:v>457.48173097520004</c:v>
                </c:pt>
                <c:pt idx="25">
                  <c:v>241.88669414000003</c:v>
                </c:pt>
                <c:pt idx="26">
                  <c:v>618.27505852000002</c:v>
                </c:pt>
                <c:pt idx="27">
                  <c:v>96.374995913700005</c:v>
                </c:pt>
              </c:numCache>
            </c:numRef>
          </c:val>
          <c:extLst>
            <c:ext xmlns:c16="http://schemas.microsoft.com/office/drawing/2014/chart" uri="{C3380CC4-5D6E-409C-BE32-E72D297353CC}">
              <c16:uniqueId val="{0000007C-B106-4142-BE23-5B37F030CEB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[Portfolio_Profi_Analyse_B.xlsx]Pivot!PivotTable5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Einkaufswert</c:v>
                </c:pt>
              </c:strCache>
            </c:strRef>
          </c:tx>
          <c:spPr>
            <a:solidFill>
              <a:schemeClr val="accent1"/>
            </a:solidFill>
            <a:ln>
              <a:noFill/>
            </a:ln>
            <a:effectLst/>
            <a:sp3d/>
          </c:spPr>
          <c:invertIfNegative val="0"/>
          <c:cat>
            <c:strRef>
              <c:f>Pivot!$A$4:$A$8</c:f>
              <c:strCache>
                <c:ptCount val="4"/>
                <c:pt idx="0">
                  <c:v>CRYPTO</c:v>
                </c:pt>
                <c:pt idx="1">
                  <c:v>FUND</c:v>
                </c:pt>
                <c:pt idx="2">
                  <c:v>STOCK</c:v>
                </c:pt>
                <c:pt idx="3">
                  <c:v>(Leer)</c:v>
                </c:pt>
              </c:strCache>
            </c:strRef>
          </c:cat>
          <c:val>
            <c:numRef>
              <c:f>Pivot!$B$4:$B$8</c:f>
              <c:numCache>
                <c:formatCode>_("€"* #,##0.00_);_("€"* \(#,##0.00\);_("€"* "-"??_);_(@_)</c:formatCode>
                <c:ptCount val="4"/>
                <c:pt idx="0">
                  <c:v>1000.3808372999</c:v>
                </c:pt>
                <c:pt idx="1">
                  <c:v>6252.4706348299997</c:v>
                </c:pt>
                <c:pt idx="2">
                  <c:v>4419.6001488920001</c:v>
                </c:pt>
              </c:numCache>
            </c:numRef>
          </c:val>
          <c:extLst>
            <c:ext xmlns:c16="http://schemas.microsoft.com/office/drawing/2014/chart" uri="{C3380CC4-5D6E-409C-BE32-E72D297353CC}">
              <c16:uniqueId val="{00000000-4563-4BB0-988F-946FB36922EA}"/>
            </c:ext>
          </c:extLst>
        </c:ser>
        <c:ser>
          <c:idx val="1"/>
          <c:order val="1"/>
          <c:tx>
            <c:strRef>
              <c:f>Pivot!$C$3</c:f>
              <c:strCache>
                <c:ptCount val="1"/>
                <c:pt idx="0">
                  <c:v>Aktueller Wert</c:v>
                </c:pt>
              </c:strCache>
            </c:strRef>
          </c:tx>
          <c:spPr>
            <a:solidFill>
              <a:schemeClr val="accent2"/>
            </a:solidFill>
            <a:ln>
              <a:noFill/>
            </a:ln>
            <a:effectLst/>
            <a:sp3d/>
          </c:spPr>
          <c:invertIfNegative val="0"/>
          <c:cat>
            <c:strRef>
              <c:f>Pivot!$A$4:$A$8</c:f>
              <c:strCache>
                <c:ptCount val="4"/>
                <c:pt idx="0">
                  <c:v>CRYPTO</c:v>
                </c:pt>
                <c:pt idx="1">
                  <c:v>FUND</c:v>
                </c:pt>
                <c:pt idx="2">
                  <c:v>STOCK</c:v>
                </c:pt>
                <c:pt idx="3">
                  <c:v>(Leer)</c:v>
                </c:pt>
              </c:strCache>
            </c:strRef>
          </c:cat>
          <c:val>
            <c:numRef>
              <c:f>Pivot!$C$4:$C$8</c:f>
              <c:numCache>
                <c:formatCode>_("€"* #,##0.00_);_("€"* \(#,##0.00\);_("€"* "-"??_);_(@_)</c:formatCode>
                <c:ptCount val="4"/>
                <c:pt idx="0">
                  <c:v>896.29627612677609</c:v>
                </c:pt>
                <c:pt idx="1">
                  <c:v>5994.5190369589991</c:v>
                </c:pt>
                <c:pt idx="2">
                  <c:v>3414.8904304957005</c:v>
                </c:pt>
              </c:numCache>
            </c:numRef>
          </c:val>
          <c:extLst>
            <c:ext xmlns:c16="http://schemas.microsoft.com/office/drawing/2014/chart" uri="{C3380CC4-5D6E-409C-BE32-E72D297353CC}">
              <c16:uniqueId val="{00000001-4563-4BB0-988F-946FB36922EA}"/>
            </c:ext>
          </c:extLst>
        </c:ser>
        <c:dLbls>
          <c:showLegendKey val="0"/>
          <c:showVal val="0"/>
          <c:showCatName val="0"/>
          <c:showSerName val="0"/>
          <c:showPercent val="0"/>
          <c:showBubbleSize val="0"/>
        </c:dLbls>
        <c:gapWidth val="150"/>
        <c:shape val="box"/>
        <c:axId val="1802496351"/>
        <c:axId val="1954608"/>
        <c:axId val="0"/>
      </c:bar3DChart>
      <c:catAx>
        <c:axId val="180249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54608"/>
        <c:crosses val="autoZero"/>
        <c:auto val="1"/>
        <c:lblAlgn val="ctr"/>
        <c:lblOffset val="100"/>
        <c:noMultiLvlLbl val="0"/>
      </c:catAx>
      <c:valAx>
        <c:axId val="1954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024963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[Portfolio_Profi_Analyse_B.xlsx]Pivot!PivotTable10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Pivot!$F$13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5-4739-B812-0A23089317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5-4739-B812-0A23089317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D5-4739-B812-0A23089317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D5-4739-B812-0A23089317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Pivot!$E$14:$E$18</c:f>
              <c:strCache>
                <c:ptCount val="4"/>
                <c:pt idx="0">
                  <c:v>CRYPTO</c:v>
                </c:pt>
                <c:pt idx="1">
                  <c:v>FUND</c:v>
                </c:pt>
                <c:pt idx="2">
                  <c:v>STOCK</c:v>
                </c:pt>
                <c:pt idx="3">
                  <c:v>(Leer)</c:v>
                </c:pt>
              </c:strCache>
            </c:strRef>
          </c:cat>
          <c:val>
            <c:numRef>
              <c:f>Pivot!$F$14:$F$18</c:f>
              <c:numCache>
                <c:formatCode>_("€"* #,##0.00_);_("€"* \(#,##0.00\);_("€"* "-"??_);_(@_)</c:formatCode>
                <c:ptCount val="4"/>
                <c:pt idx="0">
                  <c:v>896.29627612677609</c:v>
                </c:pt>
                <c:pt idx="1">
                  <c:v>5994.5190369589991</c:v>
                </c:pt>
                <c:pt idx="2">
                  <c:v>3414.8904304957005</c:v>
                </c:pt>
              </c:numCache>
            </c:numRef>
          </c:val>
          <c:extLst>
            <c:ext xmlns:c16="http://schemas.microsoft.com/office/drawing/2014/chart" uri="{C3380CC4-5D6E-409C-BE32-E72D297353CC}">
              <c16:uniqueId val="{00000008-91D5-4739-B812-0A230893178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171449</xdr:colOff>
      <xdr:row>7</xdr:row>
      <xdr:rowOff>9525</xdr:rowOff>
    </xdr:to>
    <xdr:sp macro="" textlink="">
      <xdr:nvSpPr>
        <xdr:cNvPr id="5" name="Rechteck 4">
          <a:extLst>
            <a:ext uri="{FF2B5EF4-FFF2-40B4-BE49-F238E27FC236}">
              <a16:creationId xmlns:a16="http://schemas.microsoft.com/office/drawing/2014/main" id="{5BA5FD27-17C5-3F05-7659-081C53BF9FA6}"/>
            </a:ext>
          </a:extLst>
        </xdr:cNvPr>
        <xdr:cNvSpPr/>
      </xdr:nvSpPr>
      <xdr:spPr>
        <a:xfrm>
          <a:off x="0" y="0"/>
          <a:ext cx="24545924" cy="13430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de-DE" sz="4800" b="1">
              <a:ln>
                <a:noFill/>
              </a:ln>
              <a:solidFill>
                <a:schemeClr val="bg2"/>
              </a:solidFill>
              <a:latin typeface="Times New Roman" panose="02020603050405020304" pitchFamily="18" charset="0"/>
              <a:cs typeface="Times New Roman" panose="02020603050405020304" pitchFamily="18" charset="0"/>
            </a:rPr>
            <a:t>Aktien-Portfolio</a:t>
          </a:r>
        </a:p>
      </xdr:txBody>
    </xdr:sp>
    <xdr:clientData/>
  </xdr:twoCellAnchor>
  <xdr:twoCellAnchor>
    <xdr:from>
      <xdr:col>5</xdr:col>
      <xdr:colOff>733425</xdr:colOff>
      <xdr:row>8</xdr:row>
      <xdr:rowOff>19049</xdr:rowOff>
    </xdr:from>
    <xdr:to>
      <xdr:col>18</xdr:col>
      <xdr:colOff>590550</xdr:colOff>
      <xdr:row>51</xdr:row>
      <xdr:rowOff>66674</xdr:rowOff>
    </xdr:to>
    <xdr:graphicFrame macro="">
      <xdr:nvGraphicFramePr>
        <xdr:cNvPr id="6" name="Diagramm 5">
          <a:extLst>
            <a:ext uri="{FF2B5EF4-FFF2-40B4-BE49-F238E27FC236}">
              <a16:creationId xmlns:a16="http://schemas.microsoft.com/office/drawing/2014/main" id="{F4A05941-4F01-48CF-8A2C-F06ECD34D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361950</xdr:colOff>
      <xdr:row>52</xdr:row>
      <xdr:rowOff>9524</xdr:rowOff>
    </xdr:from>
    <xdr:to>
      <xdr:col>18</xdr:col>
      <xdr:colOff>457200</xdr:colOff>
      <xdr:row>79</xdr:row>
      <xdr:rowOff>57149</xdr:rowOff>
    </xdr:to>
    <xdr:graphicFrame macro="">
      <xdr:nvGraphicFramePr>
        <xdr:cNvPr id="7" name="Diagramm 6">
          <a:extLst>
            <a:ext uri="{FF2B5EF4-FFF2-40B4-BE49-F238E27FC236}">
              <a16:creationId xmlns:a16="http://schemas.microsoft.com/office/drawing/2014/main" id="{D0EAAE2A-B877-473A-9204-4E68F9407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0</xdr:colOff>
      <xdr:row>57</xdr:row>
      <xdr:rowOff>0</xdr:rowOff>
    </xdr:from>
    <xdr:to>
      <xdr:col>22</xdr:col>
      <xdr:colOff>307383</xdr:colOff>
      <xdr:row>70</xdr:row>
      <xdr:rowOff>89600</xdr:rowOff>
    </xdr:to>
    <mc:AlternateContent xmlns:mc="http://schemas.openxmlformats.org/markup-compatibility/2006" xmlns:a14="http://schemas.microsoft.com/office/drawing/2010/main">
      <mc:Choice Requires="a14">
        <xdr:graphicFrame macro="">
          <xdr:nvGraphicFramePr>
            <xdr:cNvPr id="8" name="Asset">
              <a:extLst>
                <a:ext uri="{FF2B5EF4-FFF2-40B4-BE49-F238E27FC236}">
                  <a16:creationId xmlns:a16="http://schemas.microsoft.com/office/drawing/2014/main" id="{70935F7D-1944-4FC9-871F-CE746398BC37}"/>
                </a:ext>
              </a:extLst>
            </xdr:cNvPr>
            <xdr:cNvGraphicFramePr/>
          </xdr:nvGraphicFramePr>
          <xdr:xfrm>
            <a:off x="0" y="0"/>
            <a:ext cx="0" cy="0"/>
          </xdr:xfrm>
          <a:graphic>
            <a:graphicData uri="http://schemas.microsoft.com/office/drawing/2010/slicer">
              <sle:slicer xmlns:sle="http://schemas.microsoft.com/office/drawing/2010/slicer" name="Asset"/>
            </a:graphicData>
          </a:graphic>
        </xdr:graphicFrame>
      </mc:Choice>
      <mc:Fallback xmlns="">
        <xdr:sp macro="" textlink="">
          <xdr:nvSpPr>
            <xdr:cNvPr id="0" name=""/>
            <xdr:cNvSpPr>
              <a:spLocks noTextEdit="1"/>
            </xdr:cNvSpPr>
          </xdr:nvSpPr>
          <xdr:spPr>
            <a:xfrm>
              <a:off x="19040475" y="10858500"/>
              <a:ext cx="1831383" cy="25661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22</xdr:col>
      <xdr:colOff>554871</xdr:colOff>
      <xdr:row>57</xdr:row>
      <xdr:rowOff>4359</xdr:rowOff>
    </xdr:from>
    <xdr:to>
      <xdr:col>25</xdr:col>
      <xdr:colOff>95734</xdr:colOff>
      <xdr:row>70</xdr:row>
      <xdr:rowOff>93959</xdr:rowOff>
    </xdr:to>
    <mc:AlternateContent xmlns:mc="http://schemas.openxmlformats.org/markup-compatibility/2006" xmlns:a14="http://schemas.microsoft.com/office/drawing/2010/main">
      <mc:Choice Requires="a14">
        <xdr:graphicFrame macro="">
          <xdr:nvGraphicFramePr>
            <xdr:cNvPr id="9" name="Klasse">
              <a:extLst>
                <a:ext uri="{FF2B5EF4-FFF2-40B4-BE49-F238E27FC236}">
                  <a16:creationId xmlns:a16="http://schemas.microsoft.com/office/drawing/2014/main" id="{2A46ECE5-2AF8-4A59-A9C6-837D75003DD9}"/>
                </a:ext>
              </a:extLst>
            </xdr:cNvPr>
            <xdr:cNvGraphicFramePr/>
          </xdr:nvGraphicFramePr>
          <xdr:xfrm>
            <a:off x="0" y="0"/>
            <a:ext cx="0" cy="0"/>
          </xdr:xfrm>
          <a:graphic>
            <a:graphicData uri="http://schemas.microsoft.com/office/drawing/2010/slicer">
              <sle:slicer xmlns:sle="http://schemas.microsoft.com/office/drawing/2010/slicer" name="Klasse"/>
            </a:graphicData>
          </a:graphic>
        </xdr:graphicFrame>
      </mc:Choice>
      <mc:Fallback xmlns="">
        <xdr:sp macro="" textlink="">
          <xdr:nvSpPr>
            <xdr:cNvPr id="0" name=""/>
            <xdr:cNvSpPr>
              <a:spLocks noTextEdit="1"/>
            </xdr:cNvSpPr>
          </xdr:nvSpPr>
          <xdr:spPr>
            <a:xfrm>
              <a:off x="21119346" y="10862859"/>
              <a:ext cx="1826863" cy="2566100"/>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xdr:from>
      <xdr:col>18</xdr:col>
      <xdr:colOff>628649</xdr:colOff>
      <xdr:row>8</xdr:row>
      <xdr:rowOff>57150</xdr:rowOff>
    </xdr:from>
    <xdr:to>
      <xdr:col>27</xdr:col>
      <xdr:colOff>390524</xdr:colOff>
      <xdr:row>47</xdr:row>
      <xdr:rowOff>171450</xdr:rowOff>
    </xdr:to>
    <xdr:graphicFrame macro="">
      <xdr:nvGraphicFramePr>
        <xdr:cNvPr id="10" name="Diagramm 9">
          <a:extLst>
            <a:ext uri="{FF2B5EF4-FFF2-40B4-BE49-F238E27FC236}">
              <a16:creationId xmlns:a16="http://schemas.microsoft.com/office/drawing/2014/main" id="{DBFF8660-4E9B-449D-849C-E34D3C9EA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1085850</xdr:colOff>
      <xdr:row>0</xdr:row>
      <xdr:rowOff>161925</xdr:rowOff>
    </xdr:from>
    <xdr:to>
      <xdr:col>5</xdr:col>
      <xdr:colOff>409575</xdr:colOff>
      <xdr:row>3</xdr:row>
      <xdr:rowOff>95250</xdr:rowOff>
    </xdr:to>
    <xdr:sp macro="" textlink="">
      <xdr:nvSpPr>
        <xdr:cNvPr id="11" name="Rechteck 10">
          <a:extLst>
            <a:ext uri="{FF2B5EF4-FFF2-40B4-BE49-F238E27FC236}">
              <a16:creationId xmlns:a16="http://schemas.microsoft.com/office/drawing/2014/main" id="{A2452A51-EC96-45F0-B6F2-3EAE46BC1636}"/>
            </a:ext>
          </a:extLst>
        </xdr:cNvPr>
        <xdr:cNvSpPr/>
      </xdr:nvSpPr>
      <xdr:spPr>
        <a:xfrm>
          <a:off x="5238750" y="161925"/>
          <a:ext cx="2781300" cy="5048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Einkaufswert</a:t>
          </a:r>
        </a:p>
      </xdr:txBody>
    </xdr:sp>
    <xdr:clientData/>
  </xdr:twoCellAnchor>
  <xdr:twoCellAnchor>
    <xdr:from>
      <xdr:col>5</xdr:col>
      <xdr:colOff>152400</xdr:colOff>
      <xdr:row>0</xdr:row>
      <xdr:rowOff>161925</xdr:rowOff>
    </xdr:from>
    <xdr:to>
      <xdr:col>8</xdr:col>
      <xdr:colOff>647700</xdr:colOff>
      <xdr:row>3</xdr:row>
      <xdr:rowOff>47625</xdr:rowOff>
    </xdr:to>
    <xdr:sp macro="" textlink="">
      <xdr:nvSpPr>
        <xdr:cNvPr id="12" name="Rechteck 11">
          <a:extLst>
            <a:ext uri="{FF2B5EF4-FFF2-40B4-BE49-F238E27FC236}">
              <a16:creationId xmlns:a16="http://schemas.microsoft.com/office/drawing/2014/main" id="{D1654ECB-D746-47C9-A9FC-5DD38F9CCA37}"/>
            </a:ext>
          </a:extLst>
        </xdr:cNvPr>
        <xdr:cNvSpPr/>
      </xdr:nvSpPr>
      <xdr:spPr>
        <a:xfrm>
          <a:off x="7762875"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Aktueller Wert</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390525</xdr:colOff>
      <xdr:row>0</xdr:row>
      <xdr:rowOff>161925</xdr:rowOff>
    </xdr:from>
    <xdr:to>
      <xdr:col>12</xdr:col>
      <xdr:colOff>123825</xdr:colOff>
      <xdr:row>3</xdr:row>
      <xdr:rowOff>47625</xdr:rowOff>
    </xdr:to>
    <xdr:sp macro="" textlink="">
      <xdr:nvSpPr>
        <xdr:cNvPr id="13" name="Rechteck 12">
          <a:extLst>
            <a:ext uri="{FF2B5EF4-FFF2-40B4-BE49-F238E27FC236}">
              <a16:creationId xmlns:a16="http://schemas.microsoft.com/office/drawing/2014/main" id="{FDC5B0AB-AC01-4FDE-A8BC-B02985D9754B}"/>
            </a:ext>
          </a:extLst>
        </xdr:cNvPr>
        <xdr:cNvSpPr/>
      </xdr:nvSpPr>
      <xdr:spPr>
        <a:xfrm>
          <a:off x="10287000"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Gewinn/Verlust</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1038225</xdr:colOff>
      <xdr:row>2</xdr:row>
      <xdr:rowOff>161925</xdr:rowOff>
    </xdr:from>
    <xdr:to>
      <xdr:col>5</xdr:col>
      <xdr:colOff>361950</xdr:colOff>
      <xdr:row>5</xdr:row>
      <xdr:rowOff>95250</xdr:rowOff>
    </xdr:to>
    <xdr:sp macro="" textlink="Pivot!J6">
      <xdr:nvSpPr>
        <xdr:cNvPr id="21" name="Rechteck 20">
          <a:extLst>
            <a:ext uri="{FF2B5EF4-FFF2-40B4-BE49-F238E27FC236}">
              <a16:creationId xmlns:a16="http://schemas.microsoft.com/office/drawing/2014/main" id="{4E737B0B-42A4-41E2-869A-C55CC9C88075}"/>
            </a:ext>
          </a:extLst>
        </xdr:cNvPr>
        <xdr:cNvSpPr/>
      </xdr:nvSpPr>
      <xdr:spPr>
        <a:xfrm>
          <a:off x="5191125" y="542925"/>
          <a:ext cx="2781300" cy="5048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EA67862-88BB-405B-B71B-B57BE74D3CF1}" type="TxLink">
            <a:rPr lang="en-US" sz="1800" b="0" i="0" u="none" strike="noStrike">
              <a:ln>
                <a:noFill/>
              </a:ln>
              <a:solidFill>
                <a:schemeClr val="bg1"/>
              </a:solidFill>
              <a:latin typeface="Calibri"/>
              <a:ea typeface="Calibri"/>
              <a:cs typeface="Calibri"/>
            </a:rPr>
            <a:pPr algn="ctr"/>
            <a:t> 11.672,45 €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101600</xdr:colOff>
      <xdr:row>2</xdr:row>
      <xdr:rowOff>161925</xdr:rowOff>
    </xdr:from>
    <xdr:to>
      <xdr:col>8</xdr:col>
      <xdr:colOff>596900</xdr:colOff>
      <xdr:row>5</xdr:row>
      <xdr:rowOff>47625</xdr:rowOff>
    </xdr:to>
    <xdr:sp macro="" textlink="Pivot!G6">
      <xdr:nvSpPr>
        <xdr:cNvPr id="22" name="Rechteck 21">
          <a:extLst>
            <a:ext uri="{FF2B5EF4-FFF2-40B4-BE49-F238E27FC236}">
              <a16:creationId xmlns:a16="http://schemas.microsoft.com/office/drawing/2014/main" id="{4F40A7D9-3142-4EA0-9F59-1BB20506CB32}"/>
            </a:ext>
          </a:extLst>
        </xdr:cNvPr>
        <xdr:cNvSpPr/>
      </xdr:nvSpPr>
      <xdr:spPr>
        <a:xfrm>
          <a:off x="77120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A19CB3FF-4B09-4008-B0D9-B8EA99EA513D}" type="TxLink">
            <a:rPr lang="en-US" sz="1800" b="0" i="0" u="none" strike="noStrike">
              <a:ln>
                <a:noFill/>
              </a:ln>
              <a:solidFill>
                <a:schemeClr val="bg1"/>
              </a:solidFill>
              <a:latin typeface="Calibri"/>
              <a:ea typeface="Calibri"/>
              <a:cs typeface="Calibri"/>
            </a:rPr>
            <a:pPr algn="ctr"/>
            <a:t> 10.305,71 €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336550</xdr:colOff>
      <xdr:row>2</xdr:row>
      <xdr:rowOff>161925</xdr:rowOff>
    </xdr:from>
    <xdr:to>
      <xdr:col>12</xdr:col>
      <xdr:colOff>69850</xdr:colOff>
      <xdr:row>5</xdr:row>
      <xdr:rowOff>47625</xdr:rowOff>
    </xdr:to>
    <xdr:sp macro="" textlink="Pivot!I6">
      <xdr:nvSpPr>
        <xdr:cNvPr id="24" name="Rechteck 23">
          <a:extLst>
            <a:ext uri="{FF2B5EF4-FFF2-40B4-BE49-F238E27FC236}">
              <a16:creationId xmlns:a16="http://schemas.microsoft.com/office/drawing/2014/main" id="{C7B07C71-80E5-4CF1-B074-7DB9A2C8D131}"/>
            </a:ext>
          </a:extLst>
        </xdr:cNvPr>
        <xdr:cNvSpPr/>
      </xdr:nvSpPr>
      <xdr:spPr>
        <a:xfrm>
          <a:off x="102330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88856ACA-3FC3-4CD5-80A7-986A097C7E32}" type="TxLink">
            <a:rPr lang="en-US" sz="1800" b="0" i="0" u="none" strike="noStrike">
              <a:ln>
                <a:noFill/>
              </a:ln>
              <a:solidFill>
                <a:schemeClr val="bg1"/>
              </a:solidFill>
              <a:latin typeface="Calibri"/>
              <a:ea typeface="Calibri"/>
              <a:cs typeface="Calibri"/>
            </a:rPr>
            <a:pPr algn="ctr"/>
            <a:t>-1.366,75 €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628650</xdr:colOff>
      <xdr:row>0</xdr:row>
      <xdr:rowOff>161925</xdr:rowOff>
    </xdr:from>
    <xdr:to>
      <xdr:col>15</xdr:col>
      <xdr:colOff>361950</xdr:colOff>
      <xdr:row>3</xdr:row>
      <xdr:rowOff>47625</xdr:rowOff>
    </xdr:to>
    <xdr:sp macro="" textlink="">
      <xdr:nvSpPr>
        <xdr:cNvPr id="3" name="Rechteck 2">
          <a:extLst>
            <a:ext uri="{FF2B5EF4-FFF2-40B4-BE49-F238E27FC236}">
              <a16:creationId xmlns:a16="http://schemas.microsoft.com/office/drawing/2014/main" id="{C914F4BD-5783-477C-A83C-AFAB7527EE0C}"/>
            </a:ext>
          </a:extLst>
        </xdr:cNvPr>
        <xdr:cNvSpPr/>
      </xdr:nvSpPr>
      <xdr:spPr>
        <a:xfrm>
          <a:off x="12811125"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Verkaufserlöse</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104775</xdr:colOff>
      <xdr:row>0</xdr:row>
      <xdr:rowOff>133350</xdr:rowOff>
    </xdr:from>
    <xdr:to>
      <xdr:col>18</xdr:col>
      <xdr:colOff>600075</xdr:colOff>
      <xdr:row>3</xdr:row>
      <xdr:rowOff>19050</xdr:rowOff>
    </xdr:to>
    <xdr:sp macro="" textlink="">
      <xdr:nvSpPr>
        <xdr:cNvPr id="14" name="Rechteck 13">
          <a:extLst>
            <a:ext uri="{FF2B5EF4-FFF2-40B4-BE49-F238E27FC236}">
              <a16:creationId xmlns:a16="http://schemas.microsoft.com/office/drawing/2014/main" id="{BDA1536F-575C-4C9E-83EE-7C05DBD199B2}"/>
            </a:ext>
          </a:extLst>
        </xdr:cNvPr>
        <xdr:cNvSpPr/>
      </xdr:nvSpPr>
      <xdr:spPr>
        <a:xfrm>
          <a:off x="15335250" y="133350"/>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342900</xdr:colOff>
      <xdr:row>0</xdr:row>
      <xdr:rowOff>123825</xdr:rowOff>
    </xdr:from>
    <xdr:to>
      <xdr:col>22</xdr:col>
      <xdr:colOff>76200</xdr:colOff>
      <xdr:row>3</xdr:row>
      <xdr:rowOff>9525</xdr:rowOff>
    </xdr:to>
    <xdr:sp macro="" textlink="">
      <xdr:nvSpPr>
        <xdr:cNvPr id="15" name="Rechteck 14">
          <a:extLst>
            <a:ext uri="{FF2B5EF4-FFF2-40B4-BE49-F238E27FC236}">
              <a16:creationId xmlns:a16="http://schemas.microsoft.com/office/drawing/2014/main" id="{E5D4F733-FDAD-420B-95CB-92DBAF5CB56D}"/>
            </a:ext>
          </a:extLst>
        </xdr:cNvPr>
        <xdr:cNvSpPr/>
      </xdr:nvSpPr>
      <xdr:spPr>
        <a:xfrm>
          <a:off x="17859375" y="1238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 StocksFunds</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581025</xdr:colOff>
      <xdr:row>0</xdr:row>
      <xdr:rowOff>114300</xdr:rowOff>
    </xdr:from>
    <xdr:to>
      <xdr:col>25</xdr:col>
      <xdr:colOff>314325</xdr:colOff>
      <xdr:row>3</xdr:row>
      <xdr:rowOff>0</xdr:rowOff>
    </xdr:to>
    <xdr:sp macro="" textlink="">
      <xdr:nvSpPr>
        <xdr:cNvPr id="16" name="Rechteck 15">
          <a:extLst>
            <a:ext uri="{FF2B5EF4-FFF2-40B4-BE49-F238E27FC236}">
              <a16:creationId xmlns:a16="http://schemas.microsoft.com/office/drawing/2014/main" id="{1828B63B-0128-4904-90F1-260D3AE4B5D5}"/>
            </a:ext>
          </a:extLst>
        </xdr:cNvPr>
        <xdr:cNvSpPr/>
      </xdr:nvSpPr>
      <xdr:spPr>
        <a:xfrm>
          <a:off x="20383500" y="114300"/>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 Crypto</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571500</xdr:colOff>
      <xdr:row>2</xdr:row>
      <xdr:rowOff>161925</xdr:rowOff>
    </xdr:from>
    <xdr:to>
      <xdr:col>15</xdr:col>
      <xdr:colOff>304800</xdr:colOff>
      <xdr:row>5</xdr:row>
      <xdr:rowOff>47625</xdr:rowOff>
    </xdr:to>
    <xdr:sp macro="" textlink="Pivot!L6">
      <xdr:nvSpPr>
        <xdr:cNvPr id="17" name="Rechteck 16">
          <a:extLst>
            <a:ext uri="{FF2B5EF4-FFF2-40B4-BE49-F238E27FC236}">
              <a16:creationId xmlns:a16="http://schemas.microsoft.com/office/drawing/2014/main" id="{BCF4DC8A-BD68-4FF1-A756-88D4B9FAB4EB}"/>
            </a:ext>
          </a:extLst>
        </xdr:cNvPr>
        <xdr:cNvSpPr/>
      </xdr:nvSpPr>
      <xdr:spPr>
        <a:xfrm>
          <a:off x="127539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940C09A8-7F84-463D-B24C-707475E4B71D}" type="TxLink">
            <a:rPr lang="en-US" sz="1800" b="0" i="0" u="none" strike="noStrike">
              <a:ln>
                <a:noFill/>
              </a:ln>
              <a:solidFill>
                <a:schemeClr val="bg2"/>
              </a:solidFill>
              <a:latin typeface="Calibri"/>
              <a:ea typeface="Calibri"/>
              <a:cs typeface="Calibri"/>
            </a:rPr>
            <a:pPr algn="ctr"/>
            <a:t> 1.619,54 €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44450</xdr:colOff>
      <xdr:row>2</xdr:row>
      <xdr:rowOff>161925</xdr:rowOff>
    </xdr:from>
    <xdr:to>
      <xdr:col>18</xdr:col>
      <xdr:colOff>539750</xdr:colOff>
      <xdr:row>5</xdr:row>
      <xdr:rowOff>47625</xdr:rowOff>
    </xdr:to>
    <xdr:sp macro="" textlink="Dashboard!B134">
      <xdr:nvSpPr>
        <xdr:cNvPr id="18" name="Rechteck 17">
          <a:extLst>
            <a:ext uri="{FF2B5EF4-FFF2-40B4-BE49-F238E27FC236}">
              <a16:creationId xmlns:a16="http://schemas.microsoft.com/office/drawing/2014/main" id="{4929AE2B-018C-4171-9D9C-A3E43D3A6AF8}"/>
            </a:ext>
          </a:extLst>
        </xdr:cNvPr>
        <xdr:cNvSpPr/>
      </xdr:nvSpPr>
      <xdr:spPr>
        <a:xfrm>
          <a:off x="152749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FAB576F4-7559-4837-825F-BE07BAE89CF2}" type="TxLink">
            <a:rPr lang="en-US" sz="1800" b="0" i="0" u="none" strike="noStrike">
              <a:ln>
                <a:noFill/>
              </a:ln>
              <a:solidFill>
                <a:schemeClr val="bg2"/>
              </a:solidFill>
              <a:latin typeface="Times New Roman"/>
              <a:ea typeface="Calibri"/>
              <a:cs typeface="Times New Roman"/>
            </a:rPr>
            <a:pPr algn="ctr"/>
            <a:t>146,85 €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279400</xdr:colOff>
      <xdr:row>2</xdr:row>
      <xdr:rowOff>161925</xdr:rowOff>
    </xdr:from>
    <xdr:to>
      <xdr:col>22</xdr:col>
      <xdr:colOff>12700</xdr:colOff>
      <xdr:row>5</xdr:row>
      <xdr:rowOff>47625</xdr:rowOff>
    </xdr:to>
    <xdr:sp macro="" textlink="Dashboard!B135">
      <xdr:nvSpPr>
        <xdr:cNvPr id="19" name="Rechteck 18">
          <a:extLst>
            <a:ext uri="{FF2B5EF4-FFF2-40B4-BE49-F238E27FC236}">
              <a16:creationId xmlns:a16="http://schemas.microsoft.com/office/drawing/2014/main" id="{F988B82A-4110-4568-A4FF-BAF0C9500495}"/>
            </a:ext>
          </a:extLst>
        </xdr:cNvPr>
        <xdr:cNvSpPr/>
      </xdr:nvSpPr>
      <xdr:spPr>
        <a:xfrm>
          <a:off x="177958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EABED75-83A3-47A1-8BF2-105157BCCE53}" type="TxLink">
            <a:rPr lang="en-US" sz="1800" b="0" i="0" u="none" strike="noStrike">
              <a:ln>
                <a:noFill/>
              </a:ln>
              <a:solidFill>
                <a:schemeClr val="bg2"/>
              </a:solidFill>
              <a:latin typeface="Times New Roman"/>
              <a:ea typeface="Calibri"/>
              <a:cs typeface="Times New Roman"/>
            </a:rPr>
            <a:pPr algn="ctr"/>
            <a:t>145,70 €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514350</xdr:colOff>
      <xdr:row>2</xdr:row>
      <xdr:rowOff>161925</xdr:rowOff>
    </xdr:from>
    <xdr:to>
      <xdr:col>25</xdr:col>
      <xdr:colOff>247650</xdr:colOff>
      <xdr:row>5</xdr:row>
      <xdr:rowOff>47625</xdr:rowOff>
    </xdr:to>
    <xdr:sp macro="" textlink="Dashboard!B136">
      <xdr:nvSpPr>
        <xdr:cNvPr id="20" name="Rechteck 19">
          <a:extLst>
            <a:ext uri="{FF2B5EF4-FFF2-40B4-BE49-F238E27FC236}">
              <a16:creationId xmlns:a16="http://schemas.microsoft.com/office/drawing/2014/main" id="{10D2E417-E9C6-4159-9286-33F114C393CA}"/>
            </a:ext>
          </a:extLst>
        </xdr:cNvPr>
        <xdr:cNvSpPr/>
      </xdr:nvSpPr>
      <xdr:spPr>
        <a:xfrm>
          <a:off x="203168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D3C6D288-7C96-482B-AE1A-AC3CFCD0A655}" type="TxLink">
            <a:rPr lang="en-US" sz="1800" b="0" i="0" u="none" strike="noStrike">
              <a:ln>
                <a:noFill/>
              </a:ln>
              <a:solidFill>
                <a:schemeClr val="bg2"/>
              </a:solidFill>
              <a:latin typeface="Times New Roman"/>
              <a:ea typeface="Calibri"/>
              <a:cs typeface="Times New Roman"/>
            </a:rPr>
            <a:pPr algn="ctr"/>
            <a:t>-15,32 €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0.30408</cdr:x>
      <cdr:y>0.49158</cdr:y>
    </cdr:from>
    <cdr:to>
      <cdr:x>0.72422</cdr:x>
      <cdr:y>0.55219</cdr:y>
    </cdr:to>
    <cdr:sp macro="" textlink="Pivot!$E$6">
      <cdr:nvSpPr>
        <cdr:cNvPr id="2" name="Rechteck 1">
          <a:extLst xmlns:a="http://schemas.openxmlformats.org/drawingml/2006/main">
            <a:ext uri="{FF2B5EF4-FFF2-40B4-BE49-F238E27FC236}">
              <a16:creationId xmlns:a16="http://schemas.microsoft.com/office/drawing/2014/main" id="{4F40A7D9-3142-4EA0-9F59-1BB20506CB32}"/>
            </a:ext>
          </a:extLst>
        </cdr:cNvPr>
        <cdr:cNvSpPr/>
      </cdr:nvSpPr>
      <cdr:spPr>
        <a:xfrm xmlns:a="http://schemas.openxmlformats.org/drawingml/2006/main">
          <a:off x="2012950" y="3708400"/>
          <a:ext cx="2781300" cy="457200"/>
        </a:xfrm>
        <a:prstGeom xmlns:a="http://schemas.openxmlformats.org/drawingml/2006/main" prst="rect">
          <a:avLst/>
        </a:prstGeom>
        <a:solidFill xmlns:a="http://schemas.openxmlformats.org/drawingml/2006/main">
          <a:schemeClr val="tx1"/>
        </a:solidFill>
        <a:ln xmlns:a="http://schemas.openxmlformats.org/drawingml/2006/main">
          <a:noFill/>
        </a:ln>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26646A7A-48A9-4F2D-A85E-1CFE6EBBD509}" type="TxLink">
            <a:rPr lang="en-US" sz="1100" b="0" i="0" u="none" strike="noStrike">
              <a:ln>
                <a:noFill/>
              </a:ln>
              <a:solidFill>
                <a:schemeClr val="bg2"/>
              </a:solidFill>
              <a:latin typeface="Calibri"/>
              <a:ea typeface="Calibri"/>
              <a:cs typeface="Calibri"/>
            </a:rPr>
            <a:pPr algn="ctr"/>
            <a:t> 10.305,71 € </a:t>
          </a:fld>
          <a:endParaRPr lang="de-DE" sz="2800" b="1">
            <a:ln>
              <a:noFill/>
            </a:ln>
            <a:solidFill>
              <a:schemeClr val="bg2"/>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la Fotsing Roméo" refreshedDate="46304.561589467594" missingItemsLimit="0" createdVersion="8" refreshedVersion="8" minRefreshableVersion="3" recordCount="78" xr:uid="{AECC3722-4F33-446B-9A76-E2824C46E9CC}">
  <cacheSource type="worksheet">
    <worksheetSource ref="A1:X1048576" sheet="Auswertung"/>
  </cacheSource>
  <cacheFields count="24">
    <cacheField name="Asset" numFmtId="0">
      <sharedItems containsBlank="1" count="63">
        <s v="Algorand"/>
        <s v="Bayer"/>
        <s v="BP"/>
        <s v="BTQ Technologies"/>
        <s v="BYD"/>
        <s v="Cardano"/>
        <s v="Centrotherm Photovoltaics"/>
        <s v="Chainlink"/>
        <s v="Core MSCI EM IMI USD (Acc)"/>
        <s v="Core MSCI World USD (Acc)"/>
        <s v="Core S&amp;P 500 USD (Acc)"/>
        <s v="Core Stoxx Europe 600 EUR (Acc)"/>
        <s v="DAX EUR (Acc)"/>
        <s v="Defense USD (Acc)"/>
        <s v="Deutsche Konsum REIT"/>
        <s v="Dogecoin"/>
        <s v="Draganfly"/>
        <s v="Drone USD (ACC)"/>
        <s v="DroneShield"/>
        <s v="D-Wave Quantum"/>
        <s v="Eco Oil &amp; Gas"/>
        <s v="Evotec"/>
        <s v="Hensoldt"/>
        <s v="Infineon Technologies"/>
        <s v="Lufthansa"/>
        <s v="Metaplanet"/>
        <s v="MSCI Robotics &amp; AI ESG Screened EUR (Acc)"/>
        <s v="MSCI World Consumer Staples USD (Acc)"/>
        <s v="MSCI World Health Care USD (Acc)"/>
        <s v="Netflix"/>
        <s v="New Energy EUR (Dist)"/>
        <s v="Nike (B)"/>
        <s v="NVIDIA"/>
        <s v="Palantir Technologies"/>
        <s v="Patterson-UTI Energy"/>
        <s v="Pfizer"/>
        <s v="Plug Power"/>
        <s v="Polkadot"/>
        <s v="Polygon"/>
        <s v="Quantum Computing USD (Acc)"/>
        <s v="Quantum eMotion"/>
        <s v="Red Cat"/>
        <s v="Render"/>
        <s v="RENK Group"/>
        <s v="RWE"/>
        <s v="Semiconductor USD (Acc)"/>
        <s v="Siemens Energy"/>
        <s v="Siltronic"/>
        <s v="Solana"/>
        <s v="Space Innovators USD (Acc)"/>
        <s v="TeamViewer"/>
        <s v="ThyssenKrupp"/>
        <s v="UiPath "/>
        <s v="Uranium Energy"/>
        <s v="Virgin Galactic"/>
        <s v="Volatus Aerospace"/>
        <s v="Voltabox"/>
        <s v="Vulcan Energy Resources"/>
        <s v="Wizz Air"/>
        <s v="WuXi Biologics"/>
        <s v="XRP"/>
        <s v="Zinzino"/>
        <m/>
      </sharedItems>
    </cacheField>
    <cacheField name="Klasse" numFmtId="0">
      <sharedItems containsBlank="1" count="4">
        <s v="CRYPTO"/>
        <s v="STOCK"/>
        <s v="FUND"/>
        <m/>
      </sharedItems>
    </cacheField>
    <cacheField name="Symbol" numFmtId="0">
      <sharedItems containsBlank="1"/>
    </cacheField>
    <cacheField name="Käufe Stück" numFmtId="0">
      <sharedItems containsString="0" containsBlank="1" containsNumber="1" minValue="1.009325" maxValue="1655.3585759999999"/>
    </cacheField>
    <cacheField name="Verkäufe Stück" numFmtId="0">
      <sharedItems containsString="0" containsBlank="1" containsNumber="1" minValue="0" maxValue="629.09074399999997"/>
    </cacheField>
    <cacheField name="Bestand" numFmtId="0">
      <sharedItems containsString="0" containsBlank="1" containsNumber="1" minValue="0" maxValue="1356.0241370000001" count="31">
        <n v="160.77442500000001"/>
        <n v="0.58191399999999938"/>
        <n v="0"/>
        <n v="714.061285"/>
        <n v="15.560572999999998"/>
        <n v="14.461017"/>
        <n v="1.3358730000000003"/>
        <n v="2.3372229999999998"/>
        <n v="7.1821020000000004"/>
        <n v="30"/>
        <n v="1356.0241370000001"/>
        <n v="102.799402"/>
        <n v="1026.267832"/>
        <n v="43.787957000000006"/>
        <n v="43.728729000000001"/>
        <n v="4"/>
        <n v="8.3333329999999997"/>
        <n v="10.354191"/>
        <n v="7.1999240000000002"/>
        <n v="8.7359650000000002"/>
        <n v="7.7689640000000004"/>
        <n v="80.193626999999992"/>
        <n v="223.93145699999999"/>
        <n v="14.728630000000001"/>
        <n v="24.9"/>
        <n v="5.9082619999999997"/>
        <n v="74.851702000000003"/>
        <n v="238.95544699999999"/>
        <n v="8.5034010000000002"/>
        <m/>
        <n v="7"/>
      </sharedItems>
    </cacheField>
    <cacheField name="Investiert €" numFmtId="0">
      <sharedItems containsString="0" containsBlank="1" containsNumber="1" minValue="3.7758621485973274" maxValue="2889.5099999999993"/>
    </cacheField>
    <cacheField name="Verkauft €" numFmtId="0">
      <sharedItems containsString="0" containsBlank="1" containsNumber="1" minValue="0" maxValue="2118.5699999999997"/>
    </cacheField>
    <cacheField name="Gebühren €" numFmtId="164">
      <sharedItems containsString="0" containsBlank="1" containsNumber="1" containsInteger="1" minValue="1" maxValue="35"/>
    </cacheField>
    <cacheField name="Tax" numFmtId="164">
      <sharedItems containsString="0" containsBlank="1" containsNumber="1" minValue="0" maxValue="40.070000000000007"/>
    </cacheField>
    <cacheField name="Netto P&amp;L €" numFmtId="164">
      <sharedItems containsString="0" containsBlank="1" containsNumber="1" minValue="-1247.9599999999994" maxValue="104.41000000000008"/>
    </cacheField>
    <cacheField name="Status" numFmtId="0">
      <sharedItems containsBlank="1"/>
    </cacheField>
    <cacheField name="Einstandskurs €" numFmtId="0">
      <sharedItems containsString="0" containsBlank="1" containsNumber="1" minValue="0" maxValue="674.19"/>
    </cacheField>
    <cacheField name="Aktueller Kurs €" numFmtId="0">
      <sharedItems containsString="0" containsBlank="1" containsNumber="1" minValue="0" maxValue="749.4"/>
    </cacheField>
    <cacheField name="Aktuell nicht realisierte P&amp;L €" numFmtId="166">
      <sharedItems containsString="0" containsBlank="1" containsNumber="1" minValue="-411.12289349920002" maxValue="105.67999999999995"/>
    </cacheField>
    <cacheField name="Aktuelle Position €" numFmtId="164">
      <sharedItems containsString="0" containsBlank="1" containsNumber="1" minValue="0" maxValue="1026.6783391327999" count="30">
        <n v="17.028262449450001"/>
        <n v="25.002516923999973"/>
        <n v="0"/>
        <n v="152.088627153435"/>
        <n v="178.47977230999999"/>
        <n v="707.67878892900001"/>
        <n v="1001.1032262000002"/>
        <n v="727.9281033499999"/>
        <n v="359.96695224000001"/>
        <n v="44.7"/>
        <n v="102.80425789838101"/>
        <n v="461.82631348499996"/>
        <n v="1026.6783391327999"/>
        <n v="586.40832014400007"/>
        <n v="318.08277474599998"/>
        <n v="625.67999999999995"/>
        <n v="404.58331714999997"/>
        <n v="564.82111904999999"/>
        <n v="457.48173097520004"/>
        <n v="360.40223607500002"/>
        <n v="241.88669414000003"/>
        <n v="84.844857365999999"/>
        <n v="20.026190199509998"/>
        <n v="376.75835539999997"/>
        <n v="42.33"/>
        <n v="403.77062508"/>
        <n v="618.27505852000002"/>
        <n v="298.69430875"/>
        <n v="96.374995913700005"/>
        <m/>
      </sharedItems>
    </cacheField>
    <cacheField name="Aktuell Investiert €" numFmtId="164">
      <sharedItems containsString="0" containsBlank="1" containsNumber="1" minValue="0" maxValue="1437.8012326319999"/>
    </cacheField>
    <cacheField name="Aktuelle Rendite" numFmtId="10">
      <sharedItems containsString="0" containsBlank="1" containsNumber="1" minValue="-0.3348905109489051" maxValue="0.27647058823529425"/>
    </cacheField>
    <cacheField name="Realisierte P&amp;L Verkäufe €" numFmtId="164">
      <sharedItems containsString="0" containsBlank="1" containsNumber="1" minValue="-17.850000000000009" maxValue="229.91123263200052"/>
    </cacheField>
    <cacheField name="Investiertes Kapital Verkäufe €" numFmtId="164">
      <sharedItems containsString="0" containsBlank="1" containsNumber="1" minValue="0" maxValue="1890.0143137800001"/>
    </cacheField>
    <cacheField name="Anzahl Kauforders" numFmtId="4">
      <sharedItems containsString="0" containsBlank="1" containsNumber="1" containsInteger="1" minValue="1" maxValue="29"/>
    </cacheField>
    <cacheField name="Anzahl Verkaufsorders" numFmtId="4">
      <sharedItems containsString="0" containsBlank="1" containsNumber="1" containsInteger="1" minValue="0" maxValue="7"/>
    </cacheField>
    <cacheField name="Rendite Verkäufe" numFmtId="10">
      <sharedItems containsString="0" containsBlank="1" containsNumber="1" minValue="-0.15001260610135311" maxValue="0.51814814814814814"/>
    </cacheField>
    <cacheField name="Gesamte Rendite" numFmtId="10">
      <sharedItems containsString="0" containsBlank="1" containsNumber="1" minValue="-0.33878174669199751" maxValue="0.51814814814814814"/>
    </cacheField>
  </cacheFields>
  <extLst>
    <ext xmlns:x14="http://schemas.microsoft.com/office/spreadsheetml/2009/9/main" uri="{725AE2AE-9491-48be-B2B4-4EB974FC3084}">
      <x14:pivotCacheDefinition pivotCacheId="726541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x v="0"/>
    <s v="ALGO"/>
    <n v="160.77442500000001"/>
    <n v="0"/>
    <x v="0"/>
    <n v="19"/>
    <n v="0"/>
    <n v="1"/>
    <n v="0"/>
    <n v="-20"/>
    <s v="OFFEN"/>
    <n v="0.1244"/>
    <n v="0.10591399999999999"/>
    <n v="-2.9720760205499985"/>
    <x v="0"/>
    <n v="20.000338469999999"/>
    <n v="-0.14860128617363338"/>
    <n v="0"/>
    <n v="0"/>
    <n v="1"/>
    <n v="0"/>
    <n v="0"/>
    <n v="-0.15640723950263155"/>
  </r>
  <r>
    <x v="1"/>
    <x v="1"/>
    <s v="DE000BAY0017"/>
    <n v="15.014427"/>
    <n v="14.432513"/>
    <x v="1"/>
    <n v="555.97"/>
    <n v="660.92"/>
    <n v="8"/>
    <n v="0"/>
    <n v="96.949999999999932"/>
    <s v="OFFEN"/>
    <n v="33.659999999999997"/>
    <n v="42.966000000000001"/>
    <n v="5.4152916839999961"/>
    <x v="1"/>
    <n v="19.587225239999977"/>
    <n v="0.27647058823529425"/>
    <n v="117.1472252399999"/>
    <n v="544.38277476000007"/>
    <n v="5"/>
    <n v="3"/>
    <n v="0.21519274795505083"/>
    <n v="0.21935089469575686"/>
  </r>
  <r>
    <x v="2"/>
    <x v="1"/>
    <s v="GB0007980591"/>
    <n v="107.18673200000001"/>
    <n v="107.18673200000001"/>
    <x v="2"/>
    <n v="650"/>
    <n v="684.86"/>
    <n v="7"/>
    <n v="0"/>
    <n v="27.860000000000014"/>
    <s v="GESCHLOSSEN"/>
    <n v="0"/>
    <n v="0"/>
    <n v="0"/>
    <x v="2"/>
    <n v="0"/>
    <n v="0"/>
    <n v="31.260000000000012"/>
    <n v="657"/>
    <n v="4"/>
    <n v="3"/>
    <n v="4.7579908675799108E-2"/>
    <n v="4.2404870624048727E-2"/>
  </r>
  <r>
    <x v="3"/>
    <x v="1"/>
    <s v="CA0558691014"/>
    <n v="147.77105400000002"/>
    <n v="147.77105399999999"/>
    <x v="2"/>
    <n v="626"/>
    <n v="727.03"/>
    <n v="13"/>
    <n v="0"/>
    <n v="88.029999999999973"/>
    <s v="GESCHLOSSEN"/>
    <n v="0"/>
    <n v="0"/>
    <n v="0"/>
    <x v="2"/>
    <n v="0"/>
    <n v="0"/>
    <n v="88.029999999999973"/>
    <n v="639"/>
    <n v="12"/>
    <n v="1"/>
    <n v="0.13776212832550858"/>
    <n v="0.13776212832550858"/>
  </r>
  <r>
    <x v="4"/>
    <x v="1"/>
    <s v="CNE100000296"/>
    <n v="22.577082999999998"/>
    <n v="22.577083000000002"/>
    <x v="2"/>
    <n v="244"/>
    <n v="242.45999999999998"/>
    <n v="5"/>
    <n v="0"/>
    <n v="-6.5400000000000205"/>
    <s v="GESCHLOSSEN"/>
    <n v="0"/>
    <n v="0"/>
    <n v="0"/>
    <x v="2"/>
    <n v="0"/>
    <n v="0"/>
    <n v="-6.5400000000000205"/>
    <n v="249"/>
    <n v="3"/>
    <n v="2"/>
    <n v="-2.6265060240963936E-2"/>
    <n v="-2.6265060240963936E-2"/>
  </r>
  <r>
    <x v="5"/>
    <x v="0"/>
    <s v="ADA"/>
    <n v="714.061285"/>
    <n v="0"/>
    <x v="3"/>
    <n v="178.99"/>
    <n v="0"/>
    <n v="5"/>
    <n v="0"/>
    <n v="-183.99"/>
    <s v="OFFEN"/>
    <n v="0.25800000000000001"/>
    <n v="0.21299100000000001"/>
    <n v="-32.139184376564998"/>
    <x v="3"/>
    <n v="184.22781153"/>
    <n v="-0.17445348837209301"/>
    <n v="0"/>
    <n v="0"/>
    <n v="5"/>
    <n v="0"/>
    <n v="0"/>
    <n v="-0.17822991701528024"/>
  </r>
  <r>
    <x v="6"/>
    <x v="1"/>
    <s v="DE000A1TNMM9"/>
    <n v="23.832335"/>
    <n v="23.832335"/>
    <x v="2"/>
    <n v="199"/>
    <n v="252.62"/>
    <n v="3"/>
    <n v="0"/>
    <n v="50.620000000000005"/>
    <s v="GESCHLOSSEN"/>
    <n v="0"/>
    <n v="0"/>
    <n v="0"/>
    <x v="2"/>
    <n v="0"/>
    <n v="0"/>
    <n v="50.620000000000005"/>
    <n v="202"/>
    <n v="1"/>
    <n v="2"/>
    <n v="0.25059405940594059"/>
    <n v="0.25059405940594059"/>
  </r>
  <r>
    <x v="7"/>
    <x v="0"/>
    <s v="LINK"/>
    <n v="39.670690999999998"/>
    <n v="24.110118"/>
    <x v="4"/>
    <n v="422.62"/>
    <n v="263.52999999999997"/>
    <n v="8"/>
    <n v="0"/>
    <n v="-167.09000000000003"/>
    <s v="OFFEN"/>
    <n v="11.67"/>
    <n v="11.47"/>
    <n v="-3.112114599999984"/>
    <x v="4"/>
    <n v="181.59188690999997"/>
    <n v="-1.7137960582690574E-2"/>
    <n v="14.501886909999939"/>
    <n v="249.02811309000003"/>
    <n v="7"/>
    <n v="1"/>
    <n v="5.8233934835939118E-2"/>
    <n v="2.6950386422791055E-2"/>
  </r>
  <r>
    <x v="8"/>
    <x v="2"/>
    <s v="IE00BKM4GZ66"/>
    <n v="14.461017"/>
    <n v="0"/>
    <x v="5"/>
    <n v="698.08"/>
    <n v="0"/>
    <n v="1"/>
    <n v="0"/>
    <n v="-699.08"/>
    <s v="OFFEN"/>
    <n v="48.34"/>
    <n v="48.936999999999998"/>
    <n v="8.6332271489999357"/>
    <x v="5"/>
    <n v="699.04556178000007"/>
    <n v="1.2350020686801726E-2"/>
    <n v="0"/>
    <n v="0"/>
    <n v="1"/>
    <n v="0"/>
    <n v="0"/>
    <n v="1.2317770067900477E-2"/>
  </r>
  <r>
    <x v="9"/>
    <x v="2"/>
    <s v="IE00B4L5Y983"/>
    <n v="9.0643020000000014"/>
    <n v="9.0643019999999996"/>
    <x v="2"/>
    <n v="1049.99"/>
    <n v="1179.9000000000001"/>
    <n v="9"/>
    <n v="16.5"/>
    <n v="104.41000000000008"/>
    <s v="GESCHLOSSEN"/>
    <n v="0"/>
    <n v="0"/>
    <n v="0"/>
    <x v="2"/>
    <n v="0"/>
    <n v="0"/>
    <n v="120.91000000000008"/>
    <n v="1058.99"/>
    <n v="7"/>
    <n v="2"/>
    <n v="0.11417482695776171"/>
    <n v="9.8593943285583505E-2"/>
  </r>
  <r>
    <x v="10"/>
    <x v="2"/>
    <s v="IE00B5BMR087"/>
    <n v="2.8623150000000002"/>
    <n v="1.5264419999999999"/>
    <x v="6"/>
    <n v="1837.88"/>
    <n v="1134"/>
    <n v="10"/>
    <n v="13.16"/>
    <n v="-727.04000000000008"/>
    <s v="OFFEN"/>
    <n v="674.19"/>
    <n v="749.4"/>
    <n v="100.4710083299999"/>
    <x v="6"/>
    <n v="900.63221787000032"/>
    <n v="0.11155608952965766"/>
    <n v="186.75221787000021"/>
    <n v="947.24778212999979"/>
    <n v="8"/>
    <n v="2"/>
    <n v="0.19715244669147236"/>
    <n v="0.15627964078177042"/>
  </r>
  <r>
    <x v="11"/>
    <x v="2"/>
    <s v="LU0908500753"/>
    <n v="2.3372229999999998"/>
    <n v="0"/>
    <x v="7"/>
    <n v="703.81"/>
    <n v="0"/>
    <n v="3"/>
    <n v="0"/>
    <n v="-706.81"/>
    <s v="OFFEN"/>
    <n v="302.41000000000003"/>
    <n v="311.45"/>
    <n v="21.128495919999864"/>
    <x v="7"/>
    <n v="706.79960743000004"/>
    <n v="2.9893191362719292E-2"/>
    <n v="0"/>
    <n v="0"/>
    <n v="3"/>
    <n v="0"/>
    <n v="0"/>
    <n v="3.0005403944246258E-2"/>
  </r>
  <r>
    <x v="12"/>
    <x v="2"/>
    <s v="LU0274211480"/>
    <n v="2.2190669999999999"/>
    <n v="2.2190669999999999"/>
    <x v="2"/>
    <n v="500"/>
    <n v="506.61"/>
    <n v="3"/>
    <n v="0"/>
    <n v="3.6100000000000136"/>
    <s v="GESCHLOSSEN"/>
    <n v="0"/>
    <n v="0"/>
    <n v="0"/>
    <x v="2"/>
    <n v="0"/>
    <n v="0"/>
    <n v="3.6100000000000136"/>
    <n v="503"/>
    <n v="2"/>
    <n v="1"/>
    <n v="7.1769383697813391E-3"/>
    <n v="7.1769383697813391E-3"/>
  </r>
  <r>
    <x v="13"/>
    <x v="2"/>
    <s v="IE000YYE6WK5"/>
    <n v="7.1821020000000004"/>
    <n v="0"/>
    <x v="8"/>
    <n v="399.98999999999995"/>
    <n v="0"/>
    <n v="3"/>
    <n v="0"/>
    <n v="-402.98999999999995"/>
    <s v="OFFEN"/>
    <n v="56.11"/>
    <n v="50.12"/>
    <n v="-43.020790980000015"/>
    <x v="8"/>
    <n v="402.98774322000003"/>
    <n v="-0.10675458919978617"/>
    <n v="0"/>
    <n v="0"/>
    <n v="3"/>
    <n v="0"/>
    <n v="0"/>
    <n v="-0.10756030840771005"/>
  </r>
  <r>
    <x v="14"/>
    <x v="1"/>
    <s v="DE000A14KRD3"/>
    <n v="30"/>
    <n v="0"/>
    <x v="9"/>
    <n v="56.55"/>
    <n v="0"/>
    <n v="1"/>
    <n v="0"/>
    <n v="-57.55"/>
    <s v="OFFEN"/>
    <n v="1.9179999999999999"/>
    <n v="1.49"/>
    <n v="-12.839999999999996"/>
    <x v="9"/>
    <n v="57.54"/>
    <n v="-0.22314911366006251"/>
    <n v="0"/>
    <n v="0"/>
    <n v="1"/>
    <n v="0"/>
    <n v="0"/>
    <n v="-0.22723253757736508"/>
  </r>
  <r>
    <x v="15"/>
    <x v="0"/>
    <s v="DOGE"/>
    <n v="1356.0241370000001"/>
    <n v="0"/>
    <x v="10"/>
    <n v="100"/>
    <n v="0"/>
    <n v="1"/>
    <n v="0"/>
    <n v="-101"/>
    <s v="OFFEN"/>
    <n v="7.4499999999999997E-2"/>
    <n v="7.5813000000000005E-2"/>
    <n v="1.7804596918810063"/>
    <x v="10"/>
    <n v="101.0237982065"/>
    <n v="1.7624161073825566E-2"/>
    <n v="0"/>
    <n v="0"/>
    <n v="1"/>
    <n v="0"/>
    <n v="0"/>
    <n v="1.8042578983810103E-2"/>
  </r>
  <r>
    <x v="16"/>
    <x v="1"/>
    <s v="CA26142Q3044"/>
    <n v="14.905659999999999"/>
    <n v="14.905659999999999"/>
    <x v="2"/>
    <n v="79"/>
    <n v="122.97"/>
    <n v="2"/>
    <n v="0"/>
    <n v="41.97"/>
    <s v="GESCHLOSSEN"/>
    <n v="0"/>
    <n v="0"/>
    <n v="0"/>
    <x v="2"/>
    <n v="0"/>
    <n v="0"/>
    <n v="41.97"/>
    <n v="81"/>
    <n v="1"/>
    <n v="1"/>
    <n v="0.51814814814814814"/>
    <n v="0.51814814814814814"/>
  </r>
  <r>
    <x v="17"/>
    <x v="2"/>
    <s v="IE0003XW12I8"/>
    <n v="102.799402"/>
    <n v="0"/>
    <x v="11"/>
    <n v="649.91"/>
    <n v="0"/>
    <n v="8"/>
    <n v="0"/>
    <n v="-657.91"/>
    <s v="OFFEN"/>
    <n v="6.4"/>
    <n v="4.4924999999999997"/>
    <n v="-196.08985931500007"/>
    <x v="11"/>
    <n v="657.91617280000003"/>
    <n v="-0.2980468750000001"/>
    <n v="0"/>
    <n v="0"/>
    <n v="8"/>
    <n v="0"/>
    <n v="0"/>
    <n v="-0.30170898511332339"/>
  </r>
  <r>
    <x v="18"/>
    <x v="1"/>
    <s v="AU000000DRO2"/>
    <n v="1655.3585759999999"/>
    <n v="629.09074399999997"/>
    <x v="12"/>
    <n v="2889.5099999999993"/>
    <n v="1716.62"/>
    <n v="35"/>
    <n v="40.070000000000007"/>
    <n v="-1247.9599999999994"/>
    <s v="OFFEN"/>
    <n v="1.401"/>
    <n v="1.0004"/>
    <n v="-411.12289349920002"/>
    <x v="12"/>
    <n v="1437.8012326319999"/>
    <n v="-0.28593861527480374"/>
    <n v="229.91123263200052"/>
    <n v="1486.7087673679994"/>
    <n v="29"/>
    <n v="6"/>
    <n v="0.1546444318338317"/>
    <n v="-6.2713629946669E-2"/>
  </r>
  <r>
    <x v="19"/>
    <x v="1"/>
    <s v="US26740W1099"/>
    <n v="144.247488"/>
    <n v="100.459531"/>
    <x v="13"/>
    <n v="2670.34"/>
    <n v="2118.5699999999997"/>
    <n v="28"/>
    <n v="15.58"/>
    <n v="-595.35000000000048"/>
    <s v="OFFEN"/>
    <n v="18.46"/>
    <n v="13.391999999999999"/>
    <n v="-221.91736607600012"/>
    <x v="13"/>
    <n v="808.32568622000019"/>
    <n v="-0.27453954496208027"/>
    <n v="228.55568621999964"/>
    <n v="1890.0143137800001"/>
    <n v="21"/>
    <n v="7"/>
    <n v="0.12092801866822464"/>
    <n v="2.4859456638478277E-3"/>
  </r>
  <r>
    <x v="20"/>
    <x v="1"/>
    <s v="CA27887W1005"/>
    <n v="531.45139600000005"/>
    <n v="531.45139600000005"/>
    <x v="2"/>
    <n v="349"/>
    <n v="371.71000000000004"/>
    <n v="5"/>
    <n v="0"/>
    <n v="17.710000000000036"/>
    <s v="GESCHLOSSEN"/>
    <n v="0"/>
    <n v="0"/>
    <n v="0"/>
    <x v="2"/>
    <n v="0"/>
    <n v="0"/>
    <n v="17.710000000000036"/>
    <n v="354"/>
    <n v="3"/>
    <n v="2"/>
    <n v="5.0028248587570726E-2"/>
    <n v="5.0028248587570726E-2"/>
  </r>
  <r>
    <x v="21"/>
    <x v="1"/>
    <s v="DE0005664809"/>
    <n v="18.553222999999999"/>
    <n v="18.553222999999999"/>
    <x v="2"/>
    <n v="99"/>
    <n v="119.14999999999999"/>
    <n v="2"/>
    <n v="0"/>
    <n v="18.149999999999991"/>
    <s v="GESCHLOSSEN"/>
    <n v="0"/>
    <n v="0"/>
    <n v="0"/>
    <x v="2"/>
    <n v="0"/>
    <n v="0"/>
    <n v="18.149999999999991"/>
    <n v="101"/>
    <n v="1"/>
    <n v="1"/>
    <n v="0.17970297029702961"/>
    <n v="0.17970297029702961"/>
  </r>
  <r>
    <x v="22"/>
    <x v="1"/>
    <s v="DE000HAG0005"/>
    <n v="1.009325"/>
    <n v="1.009325"/>
    <x v="2"/>
    <n v="92"/>
    <n v="103.7"/>
    <n v="3"/>
    <n v="2.29"/>
    <n v="6.4100000000000028"/>
    <s v="GESCHLOSSEN"/>
    <n v="0"/>
    <n v="0"/>
    <n v="0"/>
    <x v="2"/>
    <n v="0"/>
    <n v="0"/>
    <n v="8.7000000000000028"/>
    <n v="95"/>
    <n v="1"/>
    <n v="2"/>
    <n v="9.1578947368421079E-2"/>
    <n v="6.7473684210526338E-2"/>
  </r>
  <r>
    <x v="23"/>
    <x v="1"/>
    <s v="DE0006231004"/>
    <n v="1.8711989999999998"/>
    <n v="1.8711989999999998"/>
    <x v="2"/>
    <n v="60"/>
    <n v="64.16"/>
    <n v="2"/>
    <n v="0.57000000000000006"/>
    <n v="1.5899999999999965"/>
    <s v="GESCHLOSSEN"/>
    <n v="0"/>
    <n v="0"/>
    <n v="0"/>
    <x v="2"/>
    <n v="0"/>
    <n v="0"/>
    <n v="2.1599999999999966"/>
    <n v="62"/>
    <n v="1"/>
    <n v="1"/>
    <n v="3.4838709677419297E-2"/>
    <n v="2.5645161290322526E-2"/>
  </r>
  <r>
    <x v="24"/>
    <x v="1"/>
    <s v="DE0008232125"/>
    <n v="70.051445000000001"/>
    <n v="26.322716"/>
    <x v="14"/>
    <n v="552.96"/>
    <n v="210.27"/>
    <n v="6"/>
    <n v="0"/>
    <n v="-348.69000000000005"/>
    <s v="OFFEN"/>
    <n v="8.16"/>
    <n v="7.274"/>
    <n v="-38.743653894000033"/>
    <x v="14"/>
    <n v="356.82642864000002"/>
    <n v="-0.10857843137254911"/>
    <n v="8.1364286399999912"/>
    <n v="202.13357136000002"/>
    <n v="5"/>
    <n v="1"/>
    <n v="4.0252732810568147E-2"/>
    <n v="-5.5351608170572934E-2"/>
  </r>
  <r>
    <x v="25"/>
    <x v="1"/>
    <s v="JP3481200008"/>
    <n v="39.442231"/>
    <n v="39.442231"/>
    <x v="2"/>
    <n v="99"/>
    <n v="116.35"/>
    <n v="2"/>
    <n v="0"/>
    <n v="15.349999999999994"/>
    <s v="GESCHLOSSEN"/>
    <n v="0"/>
    <n v="0"/>
    <n v="0"/>
    <x v="2"/>
    <n v="0"/>
    <n v="0"/>
    <n v="15.349999999999994"/>
    <n v="101"/>
    <n v="1"/>
    <n v="1"/>
    <n v="0.15198019801980192"/>
    <n v="0.15198019801980192"/>
  </r>
  <r>
    <x v="26"/>
    <x v="2"/>
    <s v="LU1861132840"/>
    <n v="6.0335359999999998"/>
    <n v="2.0335359999999998"/>
    <x v="15"/>
    <n v="766.99"/>
    <n v="316.42"/>
    <n v="4"/>
    <n v="12.07"/>
    <n v="-466.64"/>
    <s v="OFFEN"/>
    <n v="130"/>
    <n v="156.41999999999999"/>
    <n v="105.67999999999995"/>
    <x v="15"/>
    <n v="520"/>
    <n v="0.20323076923076913"/>
    <n v="65.430000000000007"/>
    <n v="250.99"/>
    <n v="3"/>
    <n v="1"/>
    <n v="0.26068767679987254"/>
    <n v="0.22309286952893767"/>
  </r>
  <r>
    <x v="27"/>
    <x v="2"/>
    <s v="IE00BM67HN09"/>
    <n v="8.3333329999999997"/>
    <n v="0"/>
    <x v="16"/>
    <n v="399.96"/>
    <n v="0"/>
    <n v="1"/>
    <n v="0"/>
    <n v="-400.96"/>
    <s v="OFFEN"/>
    <n v="48.12"/>
    <n v="48.55"/>
    <n v="3.5833331900000189"/>
    <x v="16"/>
    <n v="400.99998395999995"/>
    <n v="8.9359933499584855E-3"/>
    <n v="0"/>
    <n v="0"/>
    <n v="1"/>
    <n v="0"/>
    <n v="0"/>
    <n v="9.059198794879467E-3"/>
  </r>
  <r>
    <x v="28"/>
    <x v="2"/>
    <s v="IE00BM67HK77"/>
    <n v="10.354191"/>
    <n v="0"/>
    <x v="17"/>
    <n v="550"/>
    <n v="0"/>
    <n v="1"/>
    <n v="0"/>
    <n v="-551"/>
    <s v="OFFEN"/>
    <n v="53.22"/>
    <n v="54.55"/>
    <n v="13.771074030000023"/>
    <x v="17"/>
    <n v="551.05004501999997"/>
    <n v="2.4990605035700907E-2"/>
    <n v="0"/>
    <n v="0"/>
    <n v="1"/>
    <n v="0"/>
    <n v="0"/>
    <n v="2.512930736363635E-2"/>
  </r>
  <r>
    <x v="29"/>
    <x v="1"/>
    <s v="US64110L1061"/>
    <n v="7.1999240000000002"/>
    <n v="0"/>
    <x v="18"/>
    <n v="527.53"/>
    <n v="0"/>
    <n v="6"/>
    <n v="0"/>
    <n v="-533.53"/>
    <s v="OFFEN"/>
    <n v="74.099999999999994"/>
    <n v="63.5398"/>
    <n v="-76.03263742479993"/>
    <x v="18"/>
    <n v="533.51436839999997"/>
    <n v="-0.14251282051282038"/>
    <n v="0"/>
    <n v="0"/>
    <n v="6"/>
    <n v="0"/>
    <n v="0"/>
    <n v="-0.14415913602032102"/>
  </r>
  <r>
    <x v="30"/>
    <x v="2"/>
    <s v="FR0010524777"/>
    <n v="8.7359650000000002"/>
    <n v="0"/>
    <x v="19"/>
    <n v="400.01"/>
    <n v="0"/>
    <n v="3"/>
    <n v="0"/>
    <n v="-403.01"/>
    <s v="OFFEN"/>
    <n v="46.13"/>
    <n v="41.255000000000003"/>
    <n v="-42.587829375000013"/>
    <x v="19"/>
    <n v="402.99006545000003"/>
    <n v="-0.1056796011272491"/>
    <n v="0"/>
    <n v="0"/>
    <n v="3"/>
    <n v="0"/>
    <n v="0"/>
    <n v="-0.10651674689382759"/>
  </r>
  <r>
    <x v="31"/>
    <x v="1"/>
    <s v="US6541061031"/>
    <n v="7.7689640000000004"/>
    <n v="0"/>
    <x v="20"/>
    <n v="268.15999999999997"/>
    <n v="0"/>
    <n v="3"/>
    <n v="0"/>
    <n v="-271.15999999999997"/>
    <s v="OFFEN"/>
    <n v="34.9"/>
    <n v="31.135000000000002"/>
    <n v="-29.250149459999989"/>
    <x v="20"/>
    <n v="271.13684360000002"/>
    <n v="-0.1078796561604584"/>
    <n v="0"/>
    <n v="0"/>
    <n v="3"/>
    <n v="0"/>
    <n v="0"/>
    <n v="-0.10916358092183749"/>
  </r>
  <r>
    <x v="32"/>
    <x v="1"/>
    <s v="US67066G1040"/>
    <n v="1.3543989999999999"/>
    <n v="1.3543989999999999"/>
    <x v="2"/>
    <n v="196"/>
    <n v="205.19"/>
    <n v="4"/>
    <n v="1.6"/>
    <n v="3.5899999999999976"/>
    <s v="GESCHLOSSEN"/>
    <n v="0"/>
    <n v="0"/>
    <n v="0"/>
    <x v="2"/>
    <n v="0"/>
    <n v="0"/>
    <n v="5.1999999999999975"/>
    <n v="200"/>
    <n v="2"/>
    <n v="2"/>
    <n v="2.5999999999999988E-2"/>
    <n v="1.7949999999999987E-2"/>
  </r>
  <r>
    <x v="33"/>
    <x v="1"/>
    <s v="US69608A1088"/>
    <n v="1.052408"/>
    <n v="1.052408"/>
    <x v="2"/>
    <n v="149"/>
    <n v="161.5"/>
    <n v="2"/>
    <n v="2.7600000000000002"/>
    <n v="7.74"/>
    <s v="GESCHLOSSEN"/>
    <n v="0"/>
    <n v="0"/>
    <n v="0"/>
    <x v="2"/>
    <n v="0"/>
    <n v="0"/>
    <n v="10.5"/>
    <n v="151"/>
    <n v="1"/>
    <n v="1"/>
    <n v="6.9536423841059597E-2"/>
    <n v="5.1258278145695363E-2"/>
  </r>
  <r>
    <x v="34"/>
    <x v="1"/>
    <s v="US7034811015"/>
    <n v="63.615581999999996"/>
    <n v="63.615581999999996"/>
    <x v="2"/>
    <n v="600"/>
    <n v="633.09999999999991"/>
    <n v="5"/>
    <n v="0"/>
    <n v="28.099999999999909"/>
    <s v="GESCHLOSSEN"/>
    <n v="0"/>
    <n v="0"/>
    <n v="0"/>
    <x v="2"/>
    <n v="0"/>
    <n v="0"/>
    <n v="28.099999999999909"/>
    <n v="605"/>
    <n v="3"/>
    <n v="2"/>
    <n v="4.6446280991735388E-2"/>
    <n v="4.6446280991735388E-2"/>
  </r>
  <r>
    <x v="35"/>
    <x v="1"/>
    <s v="US7170811035"/>
    <n v="9.0826519999999995"/>
    <n v="9.0826519999999995"/>
    <x v="2"/>
    <n v="200"/>
    <n v="202.27"/>
    <n v="2"/>
    <n v="0"/>
    <n v="0.27000000000001023"/>
    <s v="GESCHLOSSEN"/>
    <n v="0"/>
    <n v="0"/>
    <n v="0"/>
    <x v="2"/>
    <n v="0"/>
    <n v="0"/>
    <n v="0.27000000000001023"/>
    <n v="202"/>
    <n v="1"/>
    <n v="1"/>
    <n v="1.3366336633663873E-3"/>
    <n v="1.3366336633663873E-3"/>
  </r>
  <r>
    <x v="36"/>
    <x v="1"/>
    <s v="US72919P2020"/>
    <n v="99.269513000000003"/>
    <n v="99.269513000000003"/>
    <x v="2"/>
    <n v="268"/>
    <n v="279.45"/>
    <n v="5"/>
    <n v="0"/>
    <n v="6.4499999999999886"/>
    <s v="GESCHLOSSEN"/>
    <n v="0"/>
    <n v="0"/>
    <n v="0"/>
    <x v="2"/>
    <n v="0"/>
    <n v="0"/>
    <n v="6.4499999999999886"/>
    <n v="273"/>
    <n v="4"/>
    <n v="1"/>
    <n v="2.3626373626373584E-2"/>
    <n v="2.3626373626373584E-2"/>
  </r>
  <r>
    <x v="37"/>
    <x v="0"/>
    <s v="DOT"/>
    <n v="80.193626999999992"/>
    <n v="0"/>
    <x v="21"/>
    <n v="112.99"/>
    <n v="0"/>
    <n v="5"/>
    <n v="0"/>
    <n v="-117.99"/>
    <s v="OFFEN"/>
    <n v="1.4710000000000001"/>
    <n v="1.0580000000000001"/>
    <n v="-33.119967950999992"/>
    <x v="21"/>
    <n v="117.96482531699999"/>
    <n v="-0.28076138681169266"/>
    <n v="0"/>
    <n v="0"/>
    <n v="5"/>
    <n v="0"/>
    <n v="0"/>
    <n v="-0.29334580612443578"/>
  </r>
  <r>
    <x v="38"/>
    <x v="0"/>
    <s v="MATIC"/>
    <n v="223.93145699999999"/>
    <n v="0"/>
    <x v="22"/>
    <n v="23"/>
    <n v="0"/>
    <n v="1"/>
    <n v="0"/>
    <n v="-24"/>
    <s v="OFFEN"/>
    <n v="0.1072"/>
    <n v="8.9429999999999996E-2"/>
    <n v="-3.9792619908900022"/>
    <x v="22"/>
    <n v="24.0054521904"/>
    <n v="-0.16576492537313442"/>
    <n v="0"/>
    <n v="0"/>
    <n v="1"/>
    <n v="0"/>
    <n v="0"/>
    <n v="-0.17277433915173923"/>
  </r>
  <r>
    <x v="39"/>
    <x v="2"/>
    <s v="IE0007Y8Y157"/>
    <n v="14.728630000000001"/>
    <n v="0"/>
    <x v="23"/>
    <n v="399.95"/>
    <n v="0"/>
    <n v="3"/>
    <n v="0"/>
    <n v="-402.95"/>
    <s v="OFFEN"/>
    <n v="27.36"/>
    <n v="25.58"/>
    <n v="-26.216961400000059"/>
    <x v="23"/>
    <n v="402.97531680000003"/>
    <n v="-6.5058479532163885E-2"/>
    <n v="0"/>
    <n v="0"/>
    <n v="3"/>
    <n v="0"/>
    <n v="0"/>
    <n v="-6.5487297412176571E-2"/>
  </r>
  <r>
    <x v="40"/>
    <x v="1"/>
    <s v="CA74767K1030"/>
    <n v="28.343948999999999"/>
    <n v="28.343948999999999"/>
    <x v="2"/>
    <n v="89"/>
    <n v="108.83999999999999"/>
    <n v="2"/>
    <n v="0"/>
    <n v="17.839999999999989"/>
    <s v="GESCHLOSSEN"/>
    <n v="0"/>
    <n v="0"/>
    <n v="0"/>
    <x v="2"/>
    <n v="0"/>
    <n v="0"/>
    <n v="17.839999999999989"/>
    <n v="91"/>
    <n v="1"/>
    <n v="1"/>
    <n v="0.19604395604395591"/>
    <n v="0.19604395604395591"/>
  </r>
  <r>
    <x v="41"/>
    <x v="1"/>
    <s v="US75644T1007"/>
    <n v="14.265129"/>
    <n v="14.265129"/>
    <x v="2"/>
    <n v="98.71"/>
    <n v="145.5"/>
    <n v="2"/>
    <n v="0"/>
    <n v="44.790000000000006"/>
    <s v="GESCHLOSSEN"/>
    <n v="0"/>
    <n v="0"/>
    <n v="0"/>
    <x v="2"/>
    <n v="0"/>
    <n v="0"/>
    <n v="44.790000000000006"/>
    <n v="100.71"/>
    <n v="1"/>
    <n v="1"/>
    <n v="0.4447423294608282"/>
    <n v="0.4447423294608282"/>
  </r>
  <r>
    <x v="42"/>
    <x v="0"/>
    <s v="XF0RENDER015"/>
    <n v="24.9"/>
    <n v="0"/>
    <x v="24"/>
    <n v="55.97"/>
    <n v="0"/>
    <n v="3"/>
    <n v="0"/>
    <n v="-58.97"/>
    <s v="OFFEN"/>
    <n v="2.37"/>
    <n v="1.7"/>
    <n v="-16.683"/>
    <x v="24"/>
    <n v="59.012999999999998"/>
    <n v="-0.28270042194092826"/>
    <n v="0"/>
    <n v="0"/>
    <n v="3"/>
    <n v="0"/>
    <n v="0"/>
    <n v="-0.29730212613900303"/>
  </r>
  <r>
    <x v="43"/>
    <x v="1"/>
    <s v="DE000RENK730"/>
    <n v="1.1348940000000001"/>
    <n v="1.1348940000000001"/>
    <x v="2"/>
    <n v="79"/>
    <n v="88.28"/>
    <n v="2"/>
    <n v="1.92"/>
    <n v="5.3600000000000012"/>
    <s v="GESCHLOSSEN"/>
    <n v="0"/>
    <n v="0"/>
    <n v="0"/>
    <x v="2"/>
    <n v="0"/>
    <n v="0"/>
    <n v="7.2800000000000011"/>
    <n v="81"/>
    <n v="1"/>
    <n v="1"/>
    <n v="8.9876543209876564E-2"/>
    <n v="6.6172839506172851E-2"/>
  </r>
  <r>
    <x v="44"/>
    <x v="1"/>
    <s v="DE0007037129"/>
    <n v="1.3683320000000001"/>
    <n v="1.3683320000000001"/>
    <x v="2"/>
    <n v="49"/>
    <n v="53.47"/>
    <n v="2"/>
    <n v="0.64"/>
    <n v="1.8299999999999987"/>
    <s v="GESCHLOSSEN"/>
    <n v="0"/>
    <n v="0"/>
    <n v="0"/>
    <x v="2"/>
    <n v="0"/>
    <n v="0"/>
    <n v="2.4699999999999989"/>
    <n v="51"/>
    <n v="1"/>
    <n v="1"/>
    <n v="4.8431372549019587E-2"/>
    <n v="3.5882352941176449E-2"/>
  </r>
  <r>
    <x v="45"/>
    <x v="2"/>
    <s v="IE00BMC38736"/>
    <n v="7.237006"/>
    <n v="7.237006"/>
    <x v="2"/>
    <n v="693.54"/>
    <n v="756.62"/>
    <n v="4"/>
    <n v="10.210000000000001"/>
    <n v="48.87000000000004"/>
    <s v="GESCHLOSSEN"/>
    <n v="0"/>
    <n v="0"/>
    <n v="0"/>
    <x v="2"/>
    <n v="0"/>
    <n v="0"/>
    <n v="59.080000000000041"/>
    <n v="697.54"/>
    <n v="2"/>
    <n v="2"/>
    <n v="8.4697651747570102E-2"/>
    <n v="7.0060498322676898E-2"/>
  </r>
  <r>
    <x v="46"/>
    <x v="1"/>
    <s v="DE000ENER6Y0"/>
    <n v="1.0174080000000001"/>
    <n v="1.0174080000000001"/>
    <x v="2"/>
    <n v="90"/>
    <n v="100.19"/>
    <n v="2"/>
    <n v="2.16"/>
    <n v="6.0299999999999976"/>
    <s v="GESCHLOSSEN"/>
    <n v="0"/>
    <n v="0"/>
    <n v="0"/>
    <x v="2"/>
    <n v="0"/>
    <n v="0"/>
    <n v="8.1899999999999977"/>
    <n v="92"/>
    <n v="1"/>
    <n v="1"/>
    <n v="8.9021739130434763E-2"/>
    <n v="6.5543478260869537E-2"/>
  </r>
  <r>
    <x v="47"/>
    <x v="1"/>
    <s v="DE000WAF3001"/>
    <n v="2"/>
    <n v="2"/>
    <x v="2"/>
    <n v="80"/>
    <n v="92.300000000000011"/>
    <n v="3"/>
    <n v="2.2000000000000002"/>
    <n v="7.1000000000000112"/>
    <s v="GESCHLOSSEN"/>
    <n v="0"/>
    <n v="0"/>
    <n v="0"/>
    <x v="2"/>
    <n v="0"/>
    <n v="0"/>
    <n v="9.3000000000000114"/>
    <n v="83"/>
    <n v="1"/>
    <n v="2"/>
    <n v="0.11204819277108448"/>
    <n v="8.5542168674698923E-2"/>
  </r>
  <r>
    <x v="48"/>
    <x v="0"/>
    <s v="SOL"/>
    <n v="12.108418"/>
    <n v="12.108418"/>
    <x v="2"/>
    <n v="1062.25"/>
    <n v="1148.51"/>
    <n v="12"/>
    <n v="0"/>
    <n v="74.259999999999991"/>
    <s v="GESCHLOSSEN"/>
    <n v="0"/>
    <n v="0"/>
    <n v="0"/>
    <x v="2"/>
    <n v="0"/>
    <n v="0"/>
    <n v="74.259999999999991"/>
    <n v="1074.25"/>
    <n v="9"/>
    <n v="3"/>
    <n v="6.9127298114963917E-2"/>
    <n v="6.9127298114963917E-2"/>
  </r>
  <r>
    <x v="49"/>
    <x v="2"/>
    <s v="IE000YU9K6K2"/>
    <n v="5.9082619999999997"/>
    <n v="0"/>
    <x v="25"/>
    <n v="600.06000000000006"/>
    <n v="0"/>
    <n v="7"/>
    <n v="0"/>
    <n v="-607.06000000000006"/>
    <s v="OFFEN"/>
    <n v="102.75"/>
    <n v="68.34"/>
    <n v="-203.30329541999998"/>
    <x v="25"/>
    <n v="607.07392049999999"/>
    <n v="-0.3348905109489051"/>
    <n v="0"/>
    <n v="0"/>
    <n v="7"/>
    <n v="0"/>
    <n v="0"/>
    <n v="-0.33878174669199751"/>
  </r>
  <r>
    <x v="50"/>
    <x v="1"/>
    <s v="DE000A2YN900"/>
    <n v="16.737109"/>
    <n v="16.737109"/>
    <x v="2"/>
    <n v="99"/>
    <n v="108.5"/>
    <n v="3"/>
    <n v="0"/>
    <n v="6.5"/>
    <s v="GESCHLOSSEN"/>
    <n v="0"/>
    <n v="0"/>
    <n v="0"/>
    <x v="2"/>
    <n v="0"/>
    <n v="0"/>
    <n v="6.5"/>
    <n v="102"/>
    <n v="1"/>
    <n v="2"/>
    <n v="6.3725490196078427E-2"/>
    <n v="6.3725490196078427E-2"/>
  </r>
  <r>
    <x v="51"/>
    <x v="1"/>
    <s v="DE0007500001"/>
    <n v="2.1868780000000001"/>
    <n v="2.1868780000000001"/>
    <x v="2"/>
    <n v="21.99"/>
    <n v="25.43"/>
    <n v="2"/>
    <n v="0.37"/>
    <n v="1.0700000000000012"/>
    <s v="GESCHLOSSEN"/>
    <n v="0"/>
    <n v="0"/>
    <n v="0"/>
    <x v="2"/>
    <n v="0"/>
    <n v="0"/>
    <n v="1.4400000000000013"/>
    <n v="23.99"/>
    <n v="1"/>
    <n v="1"/>
    <n v="6.0025010421008808E-2"/>
    <n v="4.4601917465610721E-2"/>
  </r>
  <r>
    <x v="52"/>
    <x v="1"/>
    <s v="US90364P1057"/>
    <n v="7.211239"/>
    <n v="7.211239"/>
    <x v="2"/>
    <n v="115.99000000000001"/>
    <n v="101.14"/>
    <n v="3"/>
    <n v="0"/>
    <n v="-17.850000000000009"/>
    <s v="GESCHLOSSEN"/>
    <n v="0"/>
    <n v="0"/>
    <n v="0"/>
    <x v="2"/>
    <n v="0"/>
    <n v="0"/>
    <n v="-17.850000000000009"/>
    <n v="118.99000000000001"/>
    <n v="1"/>
    <n v="2"/>
    <n v="-0.15001260610135311"/>
    <n v="-0.15001260610135311"/>
  </r>
  <r>
    <x v="53"/>
    <x v="1"/>
    <s v="US9168961038"/>
    <n v="74.851702000000003"/>
    <n v="0"/>
    <x v="26"/>
    <n v="825.58000000000015"/>
    <n v="0"/>
    <n v="8"/>
    <n v="0"/>
    <n v="-833.58000000000015"/>
    <s v="OFFEN"/>
    <n v="11.14"/>
    <n v="8.26"/>
    <n v="-215.57290176000004"/>
    <x v="26"/>
    <n v="833.84796028000005"/>
    <n v="-0.25852782764811494"/>
    <n v="0"/>
    <n v="0"/>
    <n v="8"/>
    <n v="0"/>
    <n v="0"/>
    <n v="-0.26079234172339461"/>
  </r>
  <r>
    <x v="54"/>
    <x v="1"/>
    <s v="US92766K4031"/>
    <n v="63.734862"/>
    <n v="63.734862"/>
    <x v="2"/>
    <n v="200"/>
    <n v="281.63"/>
    <n v="3"/>
    <n v="0"/>
    <n v="78.63"/>
    <s v="GESCHLOSSEN"/>
    <n v="0"/>
    <n v="0"/>
    <n v="0"/>
    <x v="2"/>
    <n v="0"/>
    <n v="0"/>
    <n v="78.63"/>
    <n v="203"/>
    <n v="1"/>
    <n v="2"/>
    <n v="0.38733990147783248"/>
    <n v="0.38733990147783248"/>
  </r>
  <r>
    <x v="55"/>
    <x v="1"/>
    <s v="CA92865M1023"/>
    <n v="50"/>
    <n v="50"/>
    <x v="2"/>
    <n v="17.8"/>
    <n v="21.1"/>
    <n v="2"/>
    <n v="0"/>
    <n v="1.3000000000000007"/>
    <s v="GESCHLOSSEN"/>
    <n v="0"/>
    <n v="0"/>
    <n v="0"/>
    <x v="2"/>
    <n v="0"/>
    <n v="0"/>
    <n v="1.3000000000000007"/>
    <n v="19.8"/>
    <n v="1"/>
    <n v="1"/>
    <n v="6.5656565656565691E-2"/>
    <n v="6.5656565656565691E-2"/>
  </r>
  <r>
    <x v="56"/>
    <x v="1"/>
    <s v="DE000A2E4LE9"/>
    <n v="15.401785"/>
    <n v="15.401785"/>
    <x v="2"/>
    <n v="69"/>
    <n v="81.63"/>
    <n v="2"/>
    <n v="0"/>
    <n v="10.629999999999995"/>
    <s v="GESCHLOSSEN"/>
    <n v="0"/>
    <n v="0"/>
    <n v="0"/>
    <x v="2"/>
    <n v="0"/>
    <n v="0"/>
    <n v="10.629999999999995"/>
    <n v="71"/>
    <n v="1"/>
    <n v="1"/>
    <n v="0.14971830985915485"/>
    <n v="0.14971830985915485"/>
  </r>
  <r>
    <x v="57"/>
    <x v="1"/>
    <s v="AU0000066086"/>
    <n v="12.345679000000001"/>
    <n v="12.345679000000001"/>
    <x v="2"/>
    <n v="28"/>
    <n v="33.159999999999997"/>
    <n v="2"/>
    <n v="0"/>
    <n v="3.1599999999999966"/>
    <s v="GESCHLOSSEN"/>
    <n v="0"/>
    <n v="0"/>
    <n v="0"/>
    <x v="2"/>
    <n v="0"/>
    <n v="0"/>
    <n v="3.1599999999999966"/>
    <n v="30"/>
    <n v="1"/>
    <n v="1"/>
    <n v="0.10533333333333322"/>
    <n v="0.10533333333333322"/>
  </r>
  <r>
    <x v="58"/>
    <x v="1"/>
    <s v="JE00BN574F90"/>
    <n v="19.212295000000001"/>
    <n v="19.212295000000001"/>
    <x v="2"/>
    <n v="200"/>
    <n v="221.32999999999998"/>
    <n v="2"/>
    <n v="0"/>
    <n v="19.329999999999984"/>
    <s v="GESCHLOSSEN"/>
    <n v="0"/>
    <n v="0"/>
    <n v="0"/>
    <x v="2"/>
    <n v="0"/>
    <n v="0"/>
    <n v="19.329999999999984"/>
    <n v="202"/>
    <n v="1"/>
    <n v="1"/>
    <n v="9.5693069306930612E-2"/>
    <n v="9.5693069306930612E-2"/>
  </r>
  <r>
    <x v="59"/>
    <x v="1"/>
    <s v="KYG970081173"/>
    <n v="7.0017500000000004"/>
    <n v="7.0017500000000004"/>
    <x v="2"/>
    <n v="28"/>
    <n v="30.310000000000002"/>
    <n v="2"/>
    <n v="0"/>
    <n v="0.31000000000000227"/>
    <s v="GESCHLOSSEN"/>
    <n v="0"/>
    <n v="0"/>
    <n v="0"/>
    <x v="2"/>
    <n v="0"/>
    <n v="0"/>
    <n v="0.31000000000000227"/>
    <n v="30"/>
    <n v="1"/>
    <n v="1"/>
    <n v="1.033333333333341E-2"/>
    <n v="1.033333333333341E-2"/>
  </r>
  <r>
    <x v="60"/>
    <x v="0"/>
    <s v="XRP"/>
    <n v="238.95544699999999"/>
    <n v="0"/>
    <x v="27"/>
    <n v="302.45"/>
    <n v="0"/>
    <n v="10"/>
    <n v="0"/>
    <n v="-312.45"/>
    <s v="OFFEN"/>
    <n v="1.3080000000000001"/>
    <n v="1.25"/>
    <n v="-13.859415925999997"/>
    <x v="27"/>
    <n v="312.553724676"/>
    <n v="-4.4342507645259932E-2"/>
    <n v="0"/>
    <n v="0"/>
    <n v="10"/>
    <n v="0"/>
    <n v="0"/>
    <n v="-4.5480877004463495E-2"/>
  </r>
  <r>
    <x v="61"/>
    <x v="1"/>
    <s v="SE0002480442"/>
    <n v="8.5034010000000002"/>
    <n v="0"/>
    <x v="28"/>
    <n v="100"/>
    <n v="0"/>
    <n v="1"/>
    <n v="0"/>
    <n v="-101"/>
    <s v="OFFEN"/>
    <n v="11.88"/>
    <n v="11.3337"/>
    <n v="-4.6454079662999987"/>
    <x v="28"/>
    <n v="101.02040388"/>
    <n v="-4.5984848484848469E-2"/>
    <n v="0"/>
    <n v="0"/>
    <n v="1"/>
    <n v="0"/>
    <n v="0"/>
    <n v="-4.6250040862999955E-2"/>
  </r>
  <r>
    <x v="62"/>
    <x v="3"/>
    <m/>
    <m/>
    <m/>
    <x v="29"/>
    <m/>
    <m/>
    <m/>
    <m/>
    <m/>
    <m/>
    <m/>
    <m/>
    <m/>
    <x v="29"/>
    <m/>
    <m/>
    <m/>
    <m/>
    <m/>
    <m/>
    <m/>
    <m/>
  </r>
  <r>
    <x v="62"/>
    <x v="3"/>
    <m/>
    <m/>
    <m/>
    <x v="29"/>
    <m/>
    <m/>
    <m/>
    <m/>
    <m/>
    <m/>
    <m/>
    <m/>
    <m/>
    <x v="29"/>
    <m/>
    <m/>
    <m/>
    <m/>
    <m/>
    <m/>
    <m/>
    <m/>
  </r>
  <r>
    <x v="62"/>
    <x v="3"/>
    <m/>
    <m/>
    <m/>
    <x v="29"/>
    <m/>
    <m/>
    <m/>
    <m/>
    <m/>
    <m/>
    <m/>
    <m/>
    <m/>
    <x v="29"/>
    <m/>
    <m/>
    <m/>
    <m/>
    <m/>
    <m/>
    <m/>
    <m/>
  </r>
  <r>
    <x v="62"/>
    <x v="3"/>
    <m/>
    <m/>
    <m/>
    <x v="29"/>
    <m/>
    <m/>
    <m/>
    <m/>
    <m/>
    <m/>
    <m/>
    <m/>
    <m/>
    <x v="29"/>
    <m/>
    <m/>
    <m/>
    <m/>
    <m/>
    <m/>
    <m/>
    <m/>
  </r>
  <r>
    <x v="62"/>
    <x v="3"/>
    <m/>
    <m/>
    <m/>
    <x v="29"/>
    <m/>
    <m/>
    <m/>
    <m/>
    <m/>
    <m/>
    <m/>
    <m/>
    <m/>
    <x v="29"/>
    <m/>
    <m/>
    <m/>
    <m/>
    <m/>
    <m/>
    <m/>
    <m/>
  </r>
  <r>
    <x v="62"/>
    <x v="3"/>
    <m/>
    <m/>
    <m/>
    <x v="29"/>
    <m/>
    <m/>
    <m/>
    <m/>
    <m/>
    <m/>
    <m/>
    <m/>
    <m/>
    <x v="29"/>
    <m/>
    <m/>
    <m/>
    <m/>
    <m/>
    <m/>
    <m/>
    <m/>
  </r>
  <r>
    <x v="62"/>
    <x v="3"/>
    <m/>
    <m/>
    <m/>
    <x v="29"/>
    <m/>
    <m/>
    <m/>
    <m/>
    <m/>
    <m/>
    <m/>
    <m/>
    <m/>
    <x v="29"/>
    <m/>
    <m/>
    <m/>
    <m/>
    <m/>
    <m/>
    <m/>
    <m/>
  </r>
  <r>
    <x v="62"/>
    <x v="3"/>
    <m/>
    <m/>
    <m/>
    <x v="29"/>
    <m/>
    <m/>
    <m/>
    <m/>
    <m/>
    <m/>
    <m/>
    <m/>
    <m/>
    <x v="29"/>
    <m/>
    <m/>
    <m/>
    <m/>
    <m/>
    <m/>
    <m/>
    <m/>
  </r>
  <r>
    <x v="62"/>
    <x v="3"/>
    <m/>
    <m/>
    <n v="600.06206581999993"/>
    <x v="30"/>
    <n v="102.74799354192484"/>
    <m/>
    <m/>
    <m/>
    <m/>
    <m/>
    <m/>
    <m/>
    <m/>
    <x v="29"/>
    <m/>
    <m/>
    <m/>
    <m/>
    <m/>
    <m/>
    <m/>
    <m/>
  </r>
  <r>
    <x v="62"/>
    <x v="3"/>
    <m/>
    <m/>
    <n v="0"/>
    <x v="2"/>
    <n v="3.7758621485973274"/>
    <n v="0"/>
    <m/>
    <m/>
    <m/>
    <m/>
    <m/>
    <m/>
    <m/>
    <x v="29"/>
    <m/>
    <m/>
    <m/>
    <m/>
    <m/>
    <m/>
    <m/>
    <m/>
  </r>
  <r>
    <x v="62"/>
    <x v="3"/>
    <m/>
    <m/>
    <m/>
    <x v="29"/>
    <m/>
    <m/>
    <m/>
    <m/>
    <m/>
    <m/>
    <m/>
    <m/>
    <m/>
    <x v="29"/>
    <m/>
    <m/>
    <m/>
    <m/>
    <m/>
    <m/>
    <m/>
    <m/>
  </r>
  <r>
    <x v="62"/>
    <x v="3"/>
    <m/>
    <m/>
    <m/>
    <x v="29"/>
    <m/>
    <n v="868.48849283571201"/>
    <m/>
    <m/>
    <m/>
    <m/>
    <m/>
    <m/>
    <m/>
    <x v="29"/>
    <m/>
    <m/>
    <m/>
    <m/>
    <m/>
    <m/>
    <m/>
    <m/>
  </r>
  <r>
    <x v="62"/>
    <x v="3"/>
    <m/>
    <m/>
    <m/>
    <x v="29"/>
    <m/>
    <m/>
    <m/>
    <m/>
    <m/>
    <m/>
    <m/>
    <m/>
    <m/>
    <x v="29"/>
    <m/>
    <m/>
    <m/>
    <m/>
    <m/>
    <m/>
    <m/>
    <m/>
  </r>
  <r>
    <x v="62"/>
    <x v="3"/>
    <m/>
    <m/>
    <m/>
    <x v="29"/>
    <m/>
    <m/>
    <m/>
    <m/>
    <m/>
    <m/>
    <m/>
    <m/>
    <m/>
    <x v="29"/>
    <m/>
    <m/>
    <m/>
    <m/>
    <m/>
    <m/>
    <m/>
    <m/>
  </r>
  <r>
    <x v="62"/>
    <x v="3"/>
    <m/>
    <m/>
    <m/>
    <x v="29"/>
    <m/>
    <m/>
    <m/>
    <m/>
    <m/>
    <m/>
    <m/>
    <m/>
    <m/>
    <x v="29"/>
    <m/>
    <m/>
    <m/>
    <m/>
    <m/>
    <m/>
    <m/>
    <m/>
  </r>
  <r>
    <x v="62"/>
    <x v="3"/>
    <m/>
    <m/>
    <m/>
    <x v="29"/>
    <m/>
    <m/>
    <m/>
    <m/>
    <m/>
    <m/>
    <m/>
    <m/>
    <m/>
    <x v="29"/>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326F01-EA15-4A93-82D4-848E4D2615C7}" name="PivotTable9" cacheId="1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J3:J4"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Einkaufswert" fld="16"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3E5646-EA4E-4DBC-8347-0CFCE76D5F19}" name="PivotTable5" cacheId="1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rowHeaderCaption="Assets">
  <location ref="A3:C8" firstHeaderRow="0" firstDataRow="1" firstDataCol="1"/>
  <pivotFields count="24">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Einkaufswert" fld="16" baseField="0" baseItem="0"/>
    <dataField name="Aktueller Wert" fld="15" baseField="0" baseItem="0"/>
  </dataFields>
  <formats count="1">
    <format dxfId="17">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769888-D3D4-498F-9981-49DFC80F5D0F}" name="PivotTable8" cacheId="1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G3:G4"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ktueller Wert" fld="15" baseField="0" baseItem="0" numFmtId="4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F31EA-6894-49F2-AD85-69A514AE323F}" name="PivotTable1" cacheId="1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L3:L4" firstHeaderRow="1" firstDataRow="1" firstDataCol="0"/>
  <pivotFields count="24">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Verkaufserlöse Gewinn/Verlust" fld="18"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691FC7-B584-44C9-8056-E4ED1D6024DD}" name="PivotTable11" cacheId="1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E3:E4" firstHeaderRow="1" firstDataRow="1" firstDataCol="0"/>
  <pivotFields count="24">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ktueller Wert" fld="15" baseField="0" baseItem="0" numFmtId="4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46C2F3-32F0-4399-B83F-C10E1649A49F}" name="PivotTable6" cacheId="14" applyNumberFormats="0" applyBorderFormats="0" applyFontFormats="0" applyPatternFormats="0" applyAlignmentFormats="0" applyWidthHeightFormats="1" dataCaption="Werte" updatedVersion="8" minRefreshableVersion="3" preserveFormatting="0" useAutoFormatting="1" itemPrintTitles="1" createdVersion="8" indent="0" outline="1" outlineData="1" multipleFieldFilters="0" chartFormat="11" rowHeaderCaption="Assets">
  <location ref="A13:B45" firstHeaderRow="1" firstDataRow="1" firstDataCol="1"/>
  <pivotFields count="24">
    <pivotField axis="axisRow" showAll="0" measureFilter="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1"/>
        <item t="default"/>
      </items>
    </pivotField>
    <pivotField axis="axisRow" showAll="0">
      <items count="5">
        <item x="0"/>
        <item x="2"/>
        <item x="1"/>
        <item x="3"/>
        <item t="default"/>
      </items>
    </pivotField>
    <pivotField showAll="0"/>
    <pivotField showAll="0"/>
    <pivotField showAll="0"/>
    <pivotField showAll="0" measureFilter="1"/>
    <pivotField showAll="0"/>
    <pivotField showAll="0"/>
    <pivotField showAll="0"/>
    <pivotField showAll="0"/>
    <pivotField showAll="0"/>
    <pivotField showAll="0"/>
    <pivotField showAll="0"/>
    <pivotField showAll="0"/>
    <pivotField showAll="0"/>
    <pivotField dataField="1" showAll="0">
      <items count="31">
        <item x="2"/>
        <item x="0"/>
        <item x="22"/>
        <item x="1"/>
        <item x="24"/>
        <item x="9"/>
        <item x="21"/>
        <item x="28"/>
        <item x="10"/>
        <item x="3"/>
        <item x="4"/>
        <item x="20"/>
        <item x="27"/>
        <item x="14"/>
        <item x="8"/>
        <item x="19"/>
        <item x="23"/>
        <item x="25"/>
        <item x="16"/>
        <item x="18"/>
        <item x="11"/>
        <item x="17"/>
        <item x="13"/>
        <item x="26"/>
        <item x="15"/>
        <item x="5"/>
        <item x="7"/>
        <item x="6"/>
        <item x="12"/>
        <item x="29"/>
        <item t="default"/>
      </items>
    </pivotField>
    <pivotField showAll="0"/>
    <pivotField showAll="0"/>
    <pivotField showAll="0"/>
    <pivotField showAll="0"/>
    <pivotField showAll="0"/>
    <pivotField showAll="0"/>
    <pivotField showAll="0"/>
    <pivotField showAll="0"/>
  </pivotFields>
  <rowFields count="2">
    <field x="1"/>
    <field x="0"/>
  </rowFields>
  <rowItems count="32">
    <i>
      <x/>
    </i>
    <i r="1">
      <x/>
    </i>
    <i r="1">
      <x v="5"/>
    </i>
    <i r="1">
      <x v="7"/>
    </i>
    <i r="1">
      <x v="15"/>
    </i>
    <i r="1">
      <x v="37"/>
    </i>
    <i r="1">
      <x v="38"/>
    </i>
    <i r="1">
      <x v="42"/>
    </i>
    <i r="1">
      <x v="60"/>
    </i>
    <i>
      <x v="1"/>
    </i>
    <i r="1">
      <x v="8"/>
    </i>
    <i r="1">
      <x v="10"/>
    </i>
    <i r="1">
      <x v="11"/>
    </i>
    <i r="1">
      <x v="13"/>
    </i>
    <i r="1">
      <x v="17"/>
    </i>
    <i r="1">
      <x v="26"/>
    </i>
    <i r="1">
      <x v="27"/>
    </i>
    <i r="1">
      <x v="28"/>
    </i>
    <i r="1">
      <x v="30"/>
    </i>
    <i r="1">
      <x v="39"/>
    </i>
    <i r="1">
      <x v="49"/>
    </i>
    <i>
      <x v="2"/>
    </i>
    <i r="1">
      <x v="1"/>
    </i>
    <i r="1">
      <x v="14"/>
    </i>
    <i r="1">
      <x v="18"/>
    </i>
    <i r="1">
      <x v="19"/>
    </i>
    <i r="1">
      <x v="24"/>
    </i>
    <i r="1">
      <x v="29"/>
    </i>
    <i r="1">
      <x v="31"/>
    </i>
    <i r="1">
      <x v="53"/>
    </i>
    <i r="1">
      <x v="62"/>
    </i>
    <i t="grand">
      <x/>
    </i>
  </rowItems>
  <colItems count="1">
    <i/>
  </colItems>
  <dataFields count="1">
    <dataField name="Aktueller Wert" fld="15" baseField="0" baseItem="0" numFmtId="44"/>
  </dataFields>
  <chartFormats count="64">
    <chartFormat chart="5" format="64" series="1">
      <pivotArea type="data" outline="0" fieldPosition="0">
        <references count="1">
          <reference field="4294967294" count="1" selected="0">
            <x v="0"/>
          </reference>
        </references>
      </pivotArea>
    </chartFormat>
    <chartFormat chart="5" format="65">
      <pivotArea type="data" outline="0" fieldPosition="0">
        <references count="3">
          <reference field="4294967294" count="1" selected="0">
            <x v="0"/>
          </reference>
          <reference field="0" count="1" selected="0">
            <x v="0"/>
          </reference>
          <reference field="1" count="1" selected="0">
            <x v="0"/>
          </reference>
        </references>
      </pivotArea>
    </chartFormat>
    <chartFormat chart="5" format="66">
      <pivotArea type="data" outline="0" fieldPosition="0">
        <references count="3">
          <reference field="4294967294" count="1" selected="0">
            <x v="0"/>
          </reference>
          <reference field="0" count="1" selected="0">
            <x v="5"/>
          </reference>
          <reference field="1" count="1" selected="0">
            <x v="0"/>
          </reference>
        </references>
      </pivotArea>
    </chartFormat>
    <chartFormat chart="5" format="67">
      <pivotArea type="data" outline="0" fieldPosition="0">
        <references count="3">
          <reference field="4294967294" count="1" selected="0">
            <x v="0"/>
          </reference>
          <reference field="0" count="1" selected="0">
            <x v="7"/>
          </reference>
          <reference field="1" count="1" selected="0">
            <x v="0"/>
          </reference>
        </references>
      </pivotArea>
    </chartFormat>
    <chartFormat chart="5" format="68">
      <pivotArea type="data" outline="0" fieldPosition="0">
        <references count="3">
          <reference field="4294967294" count="1" selected="0">
            <x v="0"/>
          </reference>
          <reference field="0" count="1" selected="0">
            <x v="15"/>
          </reference>
          <reference field="1" count="1" selected="0">
            <x v="0"/>
          </reference>
        </references>
      </pivotArea>
    </chartFormat>
    <chartFormat chart="5" format="69">
      <pivotArea type="data" outline="0" fieldPosition="0">
        <references count="3">
          <reference field="4294967294" count="1" selected="0">
            <x v="0"/>
          </reference>
          <reference field="0" count="1" selected="0">
            <x v="37"/>
          </reference>
          <reference field="1" count="1" selected="0">
            <x v="0"/>
          </reference>
        </references>
      </pivotArea>
    </chartFormat>
    <chartFormat chart="5" format="70">
      <pivotArea type="data" outline="0" fieldPosition="0">
        <references count="3">
          <reference field="4294967294" count="1" selected="0">
            <x v="0"/>
          </reference>
          <reference field="0" count="1" selected="0">
            <x v="38"/>
          </reference>
          <reference field="1" count="1" selected="0">
            <x v="0"/>
          </reference>
        </references>
      </pivotArea>
    </chartFormat>
    <chartFormat chart="5" format="71">
      <pivotArea type="data" outline="0" fieldPosition="0">
        <references count="3">
          <reference field="4294967294" count="1" selected="0">
            <x v="0"/>
          </reference>
          <reference field="0" count="1" selected="0">
            <x v="42"/>
          </reference>
          <reference field="1" count="1" selected="0">
            <x v="0"/>
          </reference>
        </references>
      </pivotArea>
    </chartFormat>
    <chartFormat chart="5" format="72">
      <pivotArea type="data" outline="0" fieldPosition="0">
        <references count="3">
          <reference field="4294967294" count="1" selected="0">
            <x v="0"/>
          </reference>
          <reference field="0" count="1" selected="0">
            <x v="48"/>
          </reference>
          <reference field="1" count="1" selected="0">
            <x v="0"/>
          </reference>
        </references>
      </pivotArea>
    </chartFormat>
    <chartFormat chart="5" format="73">
      <pivotArea type="data" outline="0" fieldPosition="0">
        <references count="3">
          <reference field="4294967294" count="1" selected="0">
            <x v="0"/>
          </reference>
          <reference field="0" count="1" selected="0">
            <x v="60"/>
          </reference>
          <reference field="1" count="1" selected="0">
            <x v="0"/>
          </reference>
        </references>
      </pivotArea>
    </chartFormat>
    <chartFormat chart="5" format="74">
      <pivotArea type="data" outline="0" fieldPosition="0">
        <references count="3">
          <reference field="4294967294" count="1" selected="0">
            <x v="0"/>
          </reference>
          <reference field="0" count="1" selected="0">
            <x v="8"/>
          </reference>
          <reference field="1" count="1" selected="0">
            <x v="1"/>
          </reference>
        </references>
      </pivotArea>
    </chartFormat>
    <chartFormat chart="5" format="75">
      <pivotArea type="data" outline="0" fieldPosition="0">
        <references count="3">
          <reference field="4294967294" count="1" selected="0">
            <x v="0"/>
          </reference>
          <reference field="0" count="1" selected="0">
            <x v="9"/>
          </reference>
          <reference field="1" count="1" selected="0">
            <x v="1"/>
          </reference>
        </references>
      </pivotArea>
    </chartFormat>
    <chartFormat chart="5" format="76">
      <pivotArea type="data" outline="0" fieldPosition="0">
        <references count="3">
          <reference field="4294967294" count="1" selected="0">
            <x v="0"/>
          </reference>
          <reference field="0" count="1" selected="0">
            <x v="10"/>
          </reference>
          <reference field="1" count="1" selected="0">
            <x v="1"/>
          </reference>
        </references>
      </pivotArea>
    </chartFormat>
    <chartFormat chart="5" format="77">
      <pivotArea type="data" outline="0" fieldPosition="0">
        <references count="3">
          <reference field="4294967294" count="1" selected="0">
            <x v="0"/>
          </reference>
          <reference field="0" count="1" selected="0">
            <x v="11"/>
          </reference>
          <reference field="1" count="1" selected="0">
            <x v="1"/>
          </reference>
        </references>
      </pivotArea>
    </chartFormat>
    <chartFormat chart="5" format="78">
      <pivotArea type="data" outline="0" fieldPosition="0">
        <references count="3">
          <reference field="4294967294" count="1" selected="0">
            <x v="0"/>
          </reference>
          <reference field="0" count="1" selected="0">
            <x v="12"/>
          </reference>
          <reference field="1" count="1" selected="0">
            <x v="1"/>
          </reference>
        </references>
      </pivotArea>
    </chartFormat>
    <chartFormat chart="5" format="79">
      <pivotArea type="data" outline="0" fieldPosition="0">
        <references count="3">
          <reference field="4294967294" count="1" selected="0">
            <x v="0"/>
          </reference>
          <reference field="0" count="1" selected="0">
            <x v="13"/>
          </reference>
          <reference field="1" count="1" selected="0">
            <x v="1"/>
          </reference>
        </references>
      </pivotArea>
    </chartFormat>
    <chartFormat chart="5" format="80">
      <pivotArea type="data" outline="0" fieldPosition="0">
        <references count="3">
          <reference field="4294967294" count="1" selected="0">
            <x v="0"/>
          </reference>
          <reference field="0" count="1" selected="0">
            <x v="17"/>
          </reference>
          <reference field="1" count="1" selected="0">
            <x v="1"/>
          </reference>
        </references>
      </pivotArea>
    </chartFormat>
    <chartFormat chart="5" format="81">
      <pivotArea type="data" outline="0" fieldPosition="0">
        <references count="3">
          <reference field="4294967294" count="1" selected="0">
            <x v="0"/>
          </reference>
          <reference field="0" count="1" selected="0">
            <x v="26"/>
          </reference>
          <reference field="1" count="1" selected="0">
            <x v="1"/>
          </reference>
        </references>
      </pivotArea>
    </chartFormat>
    <chartFormat chart="5" format="82">
      <pivotArea type="data" outline="0" fieldPosition="0">
        <references count="3">
          <reference field="4294967294" count="1" selected="0">
            <x v="0"/>
          </reference>
          <reference field="0" count="1" selected="0">
            <x v="27"/>
          </reference>
          <reference field="1" count="1" selected="0">
            <x v="1"/>
          </reference>
        </references>
      </pivotArea>
    </chartFormat>
    <chartFormat chart="5" format="83">
      <pivotArea type="data" outline="0" fieldPosition="0">
        <references count="3">
          <reference field="4294967294" count="1" selected="0">
            <x v="0"/>
          </reference>
          <reference field="0" count="1" selected="0">
            <x v="28"/>
          </reference>
          <reference field="1" count="1" selected="0">
            <x v="1"/>
          </reference>
        </references>
      </pivotArea>
    </chartFormat>
    <chartFormat chart="5" format="84">
      <pivotArea type="data" outline="0" fieldPosition="0">
        <references count="3">
          <reference field="4294967294" count="1" selected="0">
            <x v="0"/>
          </reference>
          <reference field="0" count="1" selected="0">
            <x v="30"/>
          </reference>
          <reference field="1" count="1" selected="0">
            <x v="1"/>
          </reference>
        </references>
      </pivotArea>
    </chartFormat>
    <chartFormat chart="5" format="85">
      <pivotArea type="data" outline="0" fieldPosition="0">
        <references count="3">
          <reference field="4294967294" count="1" selected="0">
            <x v="0"/>
          </reference>
          <reference field="0" count="1" selected="0">
            <x v="39"/>
          </reference>
          <reference field="1" count="1" selected="0">
            <x v="1"/>
          </reference>
        </references>
      </pivotArea>
    </chartFormat>
    <chartFormat chart="5" format="86">
      <pivotArea type="data" outline="0" fieldPosition="0">
        <references count="3">
          <reference field="4294967294" count="1" selected="0">
            <x v="0"/>
          </reference>
          <reference field="0" count="1" selected="0">
            <x v="45"/>
          </reference>
          <reference field="1" count="1" selected="0">
            <x v="1"/>
          </reference>
        </references>
      </pivotArea>
    </chartFormat>
    <chartFormat chart="5" format="87">
      <pivotArea type="data" outline="0" fieldPosition="0">
        <references count="3">
          <reference field="4294967294" count="1" selected="0">
            <x v="0"/>
          </reference>
          <reference field="0" count="1" selected="0">
            <x v="49"/>
          </reference>
          <reference field="1" count="1" selected="0">
            <x v="1"/>
          </reference>
        </references>
      </pivotArea>
    </chartFormat>
    <chartFormat chart="5" format="88">
      <pivotArea type="data" outline="0" fieldPosition="0">
        <references count="3">
          <reference field="4294967294" count="1" selected="0">
            <x v="0"/>
          </reference>
          <reference field="0" count="1" selected="0">
            <x v="1"/>
          </reference>
          <reference field="1" count="1" selected="0">
            <x v="2"/>
          </reference>
        </references>
      </pivotArea>
    </chartFormat>
    <chartFormat chart="5" format="89">
      <pivotArea type="data" outline="0" fieldPosition="0">
        <references count="3">
          <reference field="4294967294" count="1" selected="0">
            <x v="0"/>
          </reference>
          <reference field="0" count="1" selected="0">
            <x v="2"/>
          </reference>
          <reference field="1" count="1" selected="0">
            <x v="2"/>
          </reference>
        </references>
      </pivotArea>
    </chartFormat>
    <chartFormat chart="5" format="90">
      <pivotArea type="data" outline="0" fieldPosition="0">
        <references count="3">
          <reference field="4294967294" count="1" selected="0">
            <x v="0"/>
          </reference>
          <reference field="0" count="1" selected="0">
            <x v="3"/>
          </reference>
          <reference field="1" count="1" selected="0">
            <x v="2"/>
          </reference>
        </references>
      </pivotArea>
    </chartFormat>
    <chartFormat chart="5" format="91">
      <pivotArea type="data" outline="0" fieldPosition="0">
        <references count="3">
          <reference field="4294967294" count="1" selected="0">
            <x v="0"/>
          </reference>
          <reference field="0" count="1" selected="0">
            <x v="4"/>
          </reference>
          <reference field="1" count="1" selected="0">
            <x v="2"/>
          </reference>
        </references>
      </pivotArea>
    </chartFormat>
    <chartFormat chart="5" format="92">
      <pivotArea type="data" outline="0" fieldPosition="0">
        <references count="3">
          <reference field="4294967294" count="1" selected="0">
            <x v="0"/>
          </reference>
          <reference field="0" count="1" selected="0">
            <x v="6"/>
          </reference>
          <reference field="1" count="1" selected="0">
            <x v="2"/>
          </reference>
        </references>
      </pivotArea>
    </chartFormat>
    <chartFormat chart="5" format="93">
      <pivotArea type="data" outline="0" fieldPosition="0">
        <references count="3">
          <reference field="4294967294" count="1" selected="0">
            <x v="0"/>
          </reference>
          <reference field="0" count="1" selected="0">
            <x v="14"/>
          </reference>
          <reference field="1" count="1" selected="0">
            <x v="2"/>
          </reference>
        </references>
      </pivotArea>
    </chartFormat>
    <chartFormat chart="5" format="94">
      <pivotArea type="data" outline="0" fieldPosition="0">
        <references count="3">
          <reference field="4294967294" count="1" selected="0">
            <x v="0"/>
          </reference>
          <reference field="0" count="1" selected="0">
            <x v="16"/>
          </reference>
          <reference field="1" count="1" selected="0">
            <x v="2"/>
          </reference>
        </references>
      </pivotArea>
    </chartFormat>
    <chartFormat chart="5" format="95">
      <pivotArea type="data" outline="0" fieldPosition="0">
        <references count="3">
          <reference field="4294967294" count="1" selected="0">
            <x v="0"/>
          </reference>
          <reference field="0" count="1" selected="0">
            <x v="18"/>
          </reference>
          <reference field="1" count="1" selected="0">
            <x v="2"/>
          </reference>
        </references>
      </pivotArea>
    </chartFormat>
    <chartFormat chart="5" format="96">
      <pivotArea type="data" outline="0" fieldPosition="0">
        <references count="3">
          <reference field="4294967294" count="1" selected="0">
            <x v="0"/>
          </reference>
          <reference field="0" count="1" selected="0">
            <x v="19"/>
          </reference>
          <reference field="1" count="1" selected="0">
            <x v="2"/>
          </reference>
        </references>
      </pivotArea>
    </chartFormat>
    <chartFormat chart="5" format="97">
      <pivotArea type="data" outline="0" fieldPosition="0">
        <references count="3">
          <reference field="4294967294" count="1" selected="0">
            <x v="0"/>
          </reference>
          <reference field="0" count="1" selected="0">
            <x v="20"/>
          </reference>
          <reference field="1" count="1" selected="0">
            <x v="2"/>
          </reference>
        </references>
      </pivotArea>
    </chartFormat>
    <chartFormat chart="5" format="98">
      <pivotArea type="data" outline="0" fieldPosition="0">
        <references count="3">
          <reference field="4294967294" count="1" selected="0">
            <x v="0"/>
          </reference>
          <reference field="0" count="1" selected="0">
            <x v="21"/>
          </reference>
          <reference field="1" count="1" selected="0">
            <x v="2"/>
          </reference>
        </references>
      </pivotArea>
    </chartFormat>
    <chartFormat chart="5" format="99">
      <pivotArea type="data" outline="0" fieldPosition="0">
        <references count="3">
          <reference field="4294967294" count="1" selected="0">
            <x v="0"/>
          </reference>
          <reference field="0" count="1" selected="0">
            <x v="22"/>
          </reference>
          <reference field="1" count="1" selected="0">
            <x v="2"/>
          </reference>
        </references>
      </pivotArea>
    </chartFormat>
    <chartFormat chart="5" format="100">
      <pivotArea type="data" outline="0" fieldPosition="0">
        <references count="3">
          <reference field="4294967294" count="1" selected="0">
            <x v="0"/>
          </reference>
          <reference field="0" count="1" selected="0">
            <x v="23"/>
          </reference>
          <reference field="1" count="1" selected="0">
            <x v="2"/>
          </reference>
        </references>
      </pivotArea>
    </chartFormat>
    <chartFormat chart="5" format="101">
      <pivotArea type="data" outline="0" fieldPosition="0">
        <references count="3">
          <reference field="4294967294" count="1" selected="0">
            <x v="0"/>
          </reference>
          <reference field="0" count="1" selected="0">
            <x v="24"/>
          </reference>
          <reference field="1" count="1" selected="0">
            <x v="2"/>
          </reference>
        </references>
      </pivotArea>
    </chartFormat>
    <chartFormat chart="5" format="102">
      <pivotArea type="data" outline="0" fieldPosition="0">
        <references count="3">
          <reference field="4294967294" count="1" selected="0">
            <x v="0"/>
          </reference>
          <reference field="0" count="1" selected="0">
            <x v="25"/>
          </reference>
          <reference field="1" count="1" selected="0">
            <x v="2"/>
          </reference>
        </references>
      </pivotArea>
    </chartFormat>
    <chartFormat chart="5" format="103">
      <pivotArea type="data" outline="0" fieldPosition="0">
        <references count="3">
          <reference field="4294967294" count="1" selected="0">
            <x v="0"/>
          </reference>
          <reference field="0" count="1" selected="0">
            <x v="29"/>
          </reference>
          <reference field="1" count="1" selected="0">
            <x v="2"/>
          </reference>
        </references>
      </pivotArea>
    </chartFormat>
    <chartFormat chart="5" format="104">
      <pivotArea type="data" outline="0" fieldPosition="0">
        <references count="3">
          <reference field="4294967294" count="1" selected="0">
            <x v="0"/>
          </reference>
          <reference field="0" count="1" selected="0">
            <x v="31"/>
          </reference>
          <reference field="1" count="1" selected="0">
            <x v="2"/>
          </reference>
        </references>
      </pivotArea>
    </chartFormat>
    <chartFormat chart="5" format="105">
      <pivotArea type="data" outline="0" fieldPosition="0">
        <references count="3">
          <reference field="4294967294" count="1" selected="0">
            <x v="0"/>
          </reference>
          <reference field="0" count="1" selected="0">
            <x v="32"/>
          </reference>
          <reference field="1" count="1" selected="0">
            <x v="2"/>
          </reference>
        </references>
      </pivotArea>
    </chartFormat>
    <chartFormat chart="5" format="106">
      <pivotArea type="data" outline="0" fieldPosition="0">
        <references count="3">
          <reference field="4294967294" count="1" selected="0">
            <x v="0"/>
          </reference>
          <reference field="0" count="1" selected="0">
            <x v="33"/>
          </reference>
          <reference field="1" count="1" selected="0">
            <x v="2"/>
          </reference>
        </references>
      </pivotArea>
    </chartFormat>
    <chartFormat chart="5" format="107">
      <pivotArea type="data" outline="0" fieldPosition="0">
        <references count="3">
          <reference field="4294967294" count="1" selected="0">
            <x v="0"/>
          </reference>
          <reference field="0" count="1" selected="0">
            <x v="34"/>
          </reference>
          <reference field="1" count="1" selected="0">
            <x v="2"/>
          </reference>
        </references>
      </pivotArea>
    </chartFormat>
    <chartFormat chart="5" format="108">
      <pivotArea type="data" outline="0" fieldPosition="0">
        <references count="3">
          <reference field="4294967294" count="1" selected="0">
            <x v="0"/>
          </reference>
          <reference field="0" count="1" selected="0">
            <x v="35"/>
          </reference>
          <reference field="1" count="1" selected="0">
            <x v="2"/>
          </reference>
        </references>
      </pivotArea>
    </chartFormat>
    <chartFormat chart="5" format="109">
      <pivotArea type="data" outline="0" fieldPosition="0">
        <references count="3">
          <reference field="4294967294" count="1" selected="0">
            <x v="0"/>
          </reference>
          <reference field="0" count="1" selected="0">
            <x v="36"/>
          </reference>
          <reference field="1" count="1" selected="0">
            <x v="2"/>
          </reference>
        </references>
      </pivotArea>
    </chartFormat>
    <chartFormat chart="5" format="110">
      <pivotArea type="data" outline="0" fieldPosition="0">
        <references count="3">
          <reference field="4294967294" count="1" selected="0">
            <x v="0"/>
          </reference>
          <reference field="0" count="1" selected="0">
            <x v="40"/>
          </reference>
          <reference field="1" count="1" selected="0">
            <x v="2"/>
          </reference>
        </references>
      </pivotArea>
    </chartFormat>
    <chartFormat chart="5" format="111">
      <pivotArea type="data" outline="0" fieldPosition="0">
        <references count="3">
          <reference field="4294967294" count="1" selected="0">
            <x v="0"/>
          </reference>
          <reference field="0" count="1" selected="0">
            <x v="41"/>
          </reference>
          <reference field="1" count="1" selected="0">
            <x v="2"/>
          </reference>
        </references>
      </pivotArea>
    </chartFormat>
    <chartFormat chart="5" format="112">
      <pivotArea type="data" outline="0" fieldPosition="0">
        <references count="3">
          <reference field="4294967294" count="1" selected="0">
            <x v="0"/>
          </reference>
          <reference field="0" count="1" selected="0">
            <x v="43"/>
          </reference>
          <reference field="1" count="1" selected="0">
            <x v="2"/>
          </reference>
        </references>
      </pivotArea>
    </chartFormat>
    <chartFormat chart="5" format="113">
      <pivotArea type="data" outline="0" fieldPosition="0">
        <references count="3">
          <reference field="4294967294" count="1" selected="0">
            <x v="0"/>
          </reference>
          <reference field="0" count="1" selected="0">
            <x v="44"/>
          </reference>
          <reference field="1" count="1" selected="0">
            <x v="2"/>
          </reference>
        </references>
      </pivotArea>
    </chartFormat>
    <chartFormat chart="5" format="114">
      <pivotArea type="data" outline="0" fieldPosition="0">
        <references count="3">
          <reference field="4294967294" count="1" selected="0">
            <x v="0"/>
          </reference>
          <reference field="0" count="1" selected="0">
            <x v="46"/>
          </reference>
          <reference field="1" count="1" selected="0">
            <x v="2"/>
          </reference>
        </references>
      </pivotArea>
    </chartFormat>
    <chartFormat chart="5" format="115">
      <pivotArea type="data" outline="0" fieldPosition="0">
        <references count="3">
          <reference field="4294967294" count="1" selected="0">
            <x v="0"/>
          </reference>
          <reference field="0" count="1" selected="0">
            <x v="47"/>
          </reference>
          <reference field="1" count="1" selected="0">
            <x v="2"/>
          </reference>
        </references>
      </pivotArea>
    </chartFormat>
    <chartFormat chart="5" format="116">
      <pivotArea type="data" outline="0" fieldPosition="0">
        <references count="3">
          <reference field="4294967294" count="1" selected="0">
            <x v="0"/>
          </reference>
          <reference field="0" count="1" selected="0">
            <x v="50"/>
          </reference>
          <reference field="1" count="1" selected="0">
            <x v="2"/>
          </reference>
        </references>
      </pivotArea>
    </chartFormat>
    <chartFormat chart="5" format="117">
      <pivotArea type="data" outline="0" fieldPosition="0">
        <references count="3">
          <reference field="4294967294" count="1" selected="0">
            <x v="0"/>
          </reference>
          <reference field="0" count="1" selected="0">
            <x v="51"/>
          </reference>
          <reference field="1" count="1" selected="0">
            <x v="2"/>
          </reference>
        </references>
      </pivotArea>
    </chartFormat>
    <chartFormat chart="5" format="118">
      <pivotArea type="data" outline="0" fieldPosition="0">
        <references count="3">
          <reference field="4294967294" count="1" selected="0">
            <x v="0"/>
          </reference>
          <reference field="0" count="1" selected="0">
            <x v="52"/>
          </reference>
          <reference field="1" count="1" selected="0">
            <x v="2"/>
          </reference>
        </references>
      </pivotArea>
    </chartFormat>
    <chartFormat chart="5" format="119">
      <pivotArea type="data" outline="0" fieldPosition="0">
        <references count="3">
          <reference field="4294967294" count="1" selected="0">
            <x v="0"/>
          </reference>
          <reference field="0" count="1" selected="0">
            <x v="53"/>
          </reference>
          <reference field="1" count="1" selected="0">
            <x v="2"/>
          </reference>
        </references>
      </pivotArea>
    </chartFormat>
    <chartFormat chart="5" format="120">
      <pivotArea type="data" outline="0" fieldPosition="0">
        <references count="3">
          <reference field="4294967294" count="1" selected="0">
            <x v="0"/>
          </reference>
          <reference field="0" count="1" selected="0">
            <x v="54"/>
          </reference>
          <reference field="1" count="1" selected="0">
            <x v="2"/>
          </reference>
        </references>
      </pivotArea>
    </chartFormat>
    <chartFormat chart="5" format="121">
      <pivotArea type="data" outline="0" fieldPosition="0">
        <references count="3">
          <reference field="4294967294" count="1" selected="0">
            <x v="0"/>
          </reference>
          <reference field="0" count="1" selected="0">
            <x v="55"/>
          </reference>
          <reference field="1" count="1" selected="0">
            <x v="2"/>
          </reference>
        </references>
      </pivotArea>
    </chartFormat>
    <chartFormat chart="5" format="122">
      <pivotArea type="data" outline="0" fieldPosition="0">
        <references count="3">
          <reference field="4294967294" count="1" selected="0">
            <x v="0"/>
          </reference>
          <reference field="0" count="1" selected="0">
            <x v="56"/>
          </reference>
          <reference field="1" count="1" selected="0">
            <x v="2"/>
          </reference>
        </references>
      </pivotArea>
    </chartFormat>
    <chartFormat chart="5" format="123">
      <pivotArea type="data" outline="0" fieldPosition="0">
        <references count="3">
          <reference field="4294967294" count="1" selected="0">
            <x v="0"/>
          </reference>
          <reference field="0" count="1" selected="0">
            <x v="57"/>
          </reference>
          <reference field="1" count="1" selected="0">
            <x v="2"/>
          </reference>
        </references>
      </pivotArea>
    </chartFormat>
    <chartFormat chart="5" format="124">
      <pivotArea type="data" outline="0" fieldPosition="0">
        <references count="3">
          <reference field="4294967294" count="1" selected="0">
            <x v="0"/>
          </reference>
          <reference field="0" count="1" selected="0">
            <x v="58"/>
          </reference>
          <reference field="1" count="1" selected="0">
            <x v="2"/>
          </reference>
        </references>
      </pivotArea>
    </chartFormat>
    <chartFormat chart="5" format="125">
      <pivotArea type="data" outline="0" fieldPosition="0">
        <references count="3">
          <reference field="4294967294" count="1" selected="0">
            <x v="0"/>
          </reference>
          <reference field="0" count="1" selected="0">
            <x v="59"/>
          </reference>
          <reference field="1" count="1" selected="0">
            <x v="2"/>
          </reference>
        </references>
      </pivotArea>
    </chartFormat>
    <chartFormat chart="5" format="126">
      <pivotArea type="data" outline="0" fieldPosition="0">
        <references count="3">
          <reference field="4294967294" count="1" selected="0">
            <x v="0"/>
          </reference>
          <reference field="0" count="1" selected="0">
            <x v="61"/>
          </reference>
          <reference field="1" count="1" selected="0">
            <x v="3"/>
          </reference>
        </references>
      </pivotArea>
    </chartFormat>
    <chartFormat chart="5" format="128">
      <pivotArea type="data" outline="0" fieldPosition="0">
        <references count="3">
          <reference field="4294967294" count="1" selected="0">
            <x v="0"/>
          </reference>
          <reference field="0" count="1" selected="0">
            <x v="62"/>
          </reference>
          <reference field="1" count="1" selected="0">
            <x v="2"/>
          </reference>
        </references>
      </pivotArea>
    </chartFormat>
  </chartFormats>
  <pivotTableStyleInfo name="PivotStyleLight16" showRowHeaders="1" showColHeaders="1" showRowStripes="0" showColStripes="0" showLastColumn="1"/>
  <filters count="2">
    <filter fld="5" type="valueGreaterThan" evalOrder="-1" id="7" iMeasureFld="0">
      <autoFilter ref="A1">
        <filterColumn colId="0">
          <customFilters>
            <customFilter operator="greaterThan" val="0"/>
          </customFilters>
        </filterColumn>
      </autoFilter>
    </filter>
    <filter fld="0" type="valueGreaterThan" evalOrder="-1" id="15"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A41211-FADE-4A81-A35B-B4ED20E62223}" name="PivotTable10" cacheId="14"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rowHeaderCaption="Assets">
  <location ref="E13:F18" firstHeaderRow="1" firstDataRow="1" firstDataCol="1"/>
  <pivotFields count="24">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Aktueller Wert" fld="15" baseField="0" baseItem="0"/>
  </dataFields>
  <formats count="1">
    <format dxfId="21">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5C1A6C-3C9D-40E8-BB3C-38468AC3798B}" name="PivotTable12" cacheId="14" applyNumberFormats="0" applyBorderFormats="0" applyFontFormats="0" applyPatternFormats="0" applyAlignmentFormats="0" applyWidthHeightFormats="1" dataCaption="Werte" updatedVersion="8" minRefreshableVersion="3" itemPrintTitles="1" createdVersion="8" indent="0" outline="1" outlineData="1" multipleFieldFilters="0" rowHeaderCaption="Assets">
  <location ref="A8:D46" firstHeaderRow="0" firstDataRow="1" firstDataCol="1"/>
  <pivotFields count="24">
    <pivotField axis="axisRow" subtotalTop="0" showAll="0" insertBlankRow="1" measureFilter="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1"/>
        <item t="default"/>
      </items>
    </pivotField>
    <pivotField axis="axisRow" subtotalTop="0" showAll="0" insertBlankRow="1">
      <items count="5">
        <item x="0"/>
        <item x="2"/>
        <item x="1"/>
        <item x="3"/>
        <item t="default"/>
      </items>
    </pivotField>
    <pivotField subtotalTop="0" showAll="0" insertBlankRow="1"/>
    <pivotField subtotalTop="0" showAll="0" insertBlankRow="1"/>
    <pivotField subtotalTop="0" showAll="0" insertBlankRow="1"/>
    <pivotField dataField="1" subtotalTop="0" showAll="0" insertBlankRow="1">
      <items count="32">
        <item x="2"/>
        <item x="1"/>
        <item x="6"/>
        <item x="7"/>
        <item x="15"/>
        <item x="25"/>
        <item x="30"/>
        <item x="8"/>
        <item x="18"/>
        <item x="20"/>
        <item x="16"/>
        <item x="28"/>
        <item x="19"/>
        <item x="17"/>
        <item x="5"/>
        <item x="23"/>
        <item x="4"/>
        <item x="24"/>
        <item x="9"/>
        <item x="14"/>
        <item x="13"/>
        <item x="26"/>
        <item x="21"/>
        <item x="11"/>
        <item x="0"/>
        <item x="22"/>
        <item x="27"/>
        <item x="3"/>
        <item x="12"/>
        <item x="10"/>
        <item x="29"/>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2">
    <field x="1"/>
    <field x="0"/>
  </rowFields>
  <rowItems count="38">
    <i>
      <x/>
    </i>
    <i r="1">
      <x/>
    </i>
    <i r="1">
      <x v="5"/>
    </i>
    <i r="1">
      <x v="7"/>
    </i>
    <i r="1">
      <x v="15"/>
    </i>
    <i r="1">
      <x v="37"/>
    </i>
    <i r="1">
      <x v="38"/>
    </i>
    <i r="1">
      <x v="42"/>
    </i>
    <i r="1">
      <x v="60"/>
    </i>
    <i t="default">
      <x/>
    </i>
    <i t="blank">
      <x/>
    </i>
    <i>
      <x v="1"/>
    </i>
    <i r="1">
      <x v="8"/>
    </i>
    <i r="1">
      <x v="10"/>
    </i>
    <i r="1">
      <x v="11"/>
    </i>
    <i r="1">
      <x v="13"/>
    </i>
    <i r="1">
      <x v="17"/>
    </i>
    <i r="1">
      <x v="26"/>
    </i>
    <i r="1">
      <x v="27"/>
    </i>
    <i r="1">
      <x v="28"/>
    </i>
    <i r="1">
      <x v="30"/>
    </i>
    <i r="1">
      <x v="39"/>
    </i>
    <i r="1">
      <x v="49"/>
    </i>
    <i t="default">
      <x v="1"/>
    </i>
    <i t="blank">
      <x v="1"/>
    </i>
    <i>
      <x v="2"/>
    </i>
    <i r="1">
      <x v="1"/>
    </i>
    <i r="1">
      <x v="14"/>
    </i>
    <i r="1">
      <x v="18"/>
    </i>
    <i r="1">
      <x v="19"/>
    </i>
    <i r="1">
      <x v="24"/>
    </i>
    <i r="1">
      <x v="29"/>
    </i>
    <i r="1">
      <x v="31"/>
    </i>
    <i r="1">
      <x v="53"/>
    </i>
    <i r="1">
      <x v="62"/>
    </i>
    <i t="default">
      <x v="2"/>
    </i>
    <i t="blank">
      <x v="2"/>
    </i>
    <i t="grand">
      <x/>
    </i>
  </rowItems>
  <colFields count="1">
    <field x="-2"/>
  </colFields>
  <colItems count="3">
    <i>
      <x/>
    </i>
    <i i="1">
      <x v="1"/>
    </i>
    <i i="2">
      <x v="2"/>
    </i>
  </colItems>
  <dataFields count="3">
    <dataField name="Bestand " fld="5" baseField="0" baseItem="0" numFmtId="2"/>
    <dataField name="Kurswert" fld="13" baseField="0" baseItem="0"/>
    <dataField name="Aktueller Wert" fld="15" baseField="0" baseItem="0"/>
  </dataFields>
  <formats count="7">
    <format dxfId="15">
      <pivotArea outline="0" collapsedLevelsAreSubtotals="1" fieldPosition="0"/>
    </format>
    <format dxfId="14">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 dxfId="12">
      <pivotArea outline="0" collapsedLevelsAreSubtotals="1" fieldPosition="0">
        <references count="1">
          <reference field="4294967294" count="1" selected="0">
            <x v="2"/>
          </reference>
        </references>
      </pivotArea>
    </format>
    <format dxfId="11">
      <pivotArea dataOnly="0" labelOnly="1" outline="0" fieldPosition="0">
        <references count="1">
          <reference field="4294967294" count="1">
            <x v="2"/>
          </reference>
        </references>
      </pivotArea>
    </format>
    <format dxfId="10">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0" type="valueGreaterThan" evalOrder="-1" id="23" iMeasureFld="2">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sset" xr10:uid="{819D6B24-0DB5-4947-A9DA-6DCF15C67553}" sourceName="Asset">
  <pivotTables>
    <pivotTable tabId="7" name="PivotTable6"/>
    <pivotTable tabId="7" name="PivotTable5"/>
    <pivotTable tabId="7" name="PivotTable10"/>
    <pivotTable tabId="8" name="PivotTable12"/>
  </pivotTables>
  <data>
    <tabular pivotCacheId="726541802">
      <items count="6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lasse" xr10:uid="{7650D11C-1D3D-4A3A-9642-2A11C0E9AAD2}" sourceName="Klasse">
  <pivotTables>
    <pivotTable tabId="7" name="PivotTable5"/>
    <pivotTable tabId="7" name="PivotTable10"/>
    <pivotTable tabId="7" name="PivotTable6"/>
    <pivotTable tabId="7" name="PivotTable11"/>
    <pivotTable tabId="8" name="PivotTable12"/>
    <pivotTable tabId="7" name="PivotTable1"/>
  </pivotTables>
  <data>
    <tabular pivotCacheId="726541802">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xr10:uid="{9CB1CF07-0898-4E88-9634-FA19A758253E}" cache="Datenschnitt_Asset" caption="Asset" rowHeight="241300"/>
  <slicer name="Klasse" xr10:uid="{A7192880-4DAC-4466-9039-919E4B158FF7}" cache="Datenschnitt_Klasse" caption="Klass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01"/>
  <sheetViews>
    <sheetView workbookViewId="0">
      <pane ySplit="1" topLeftCell="A651" activePane="bottomLeft" state="frozen"/>
      <selection pane="bottomLeft" activeCell="G15" sqref="G15"/>
    </sheetView>
  </sheetViews>
  <sheetFormatPr baseColWidth="10" defaultColWidth="9.140625" defaultRowHeight="15" x14ac:dyDescent="0.25"/>
  <cols>
    <col min="1" max="1" width="21.85546875" style="32" bestFit="1" customWidth="1"/>
    <col min="2" max="2" width="18.140625" style="1" bestFit="1" customWidth="1"/>
    <col min="3" max="3" width="14" customWidth="1"/>
    <col min="4" max="4" width="18" customWidth="1"/>
    <col min="5" max="5" width="48" customWidth="1"/>
    <col min="6" max="6" width="13" customWidth="1"/>
    <col min="7" max="7" width="50" customWidth="1"/>
    <col min="8" max="8" width="14" customWidth="1"/>
    <col min="9" max="9" width="13" customWidth="1"/>
    <col min="10" max="10" width="10" customWidth="1"/>
    <col min="11" max="11" width="9" customWidth="1"/>
    <col min="12" max="12" width="8.7109375" style="28" customWidth="1"/>
    <col min="13" max="13" width="8" customWidth="1"/>
    <col min="14" max="14" width="10" customWidth="1"/>
    <col min="15" max="15" width="17" customWidth="1"/>
    <col min="16" max="16" width="19" customWidth="1"/>
    <col min="17" max="17" width="10" customWidth="1"/>
    <col min="18" max="18" width="118" bestFit="1" customWidth="1"/>
    <col min="19" max="19" width="38" customWidth="1"/>
    <col min="20" max="20" width="50" customWidth="1"/>
    <col min="21" max="21" width="24" customWidth="1"/>
    <col min="22" max="22" width="19" customWidth="1"/>
    <col min="23" max="23" width="10" customWidth="1"/>
  </cols>
  <sheetData>
    <row r="1" spans="1:23" x14ac:dyDescent="0.25">
      <c r="A1" s="31" t="s">
        <v>0</v>
      </c>
      <c r="B1" s="30" t="s">
        <v>1</v>
      </c>
      <c r="C1" s="24" t="s">
        <v>2</v>
      </c>
      <c r="D1" s="24" t="s">
        <v>3</v>
      </c>
      <c r="E1" s="24" t="s">
        <v>4</v>
      </c>
      <c r="F1" s="24" t="s">
        <v>5</v>
      </c>
      <c r="G1" s="24" t="s">
        <v>6</v>
      </c>
      <c r="H1" s="24" t="s">
        <v>7</v>
      </c>
      <c r="I1" s="24" t="s">
        <v>8</v>
      </c>
      <c r="J1" s="24" t="s">
        <v>9</v>
      </c>
      <c r="K1" s="24" t="s">
        <v>10</v>
      </c>
      <c r="L1" s="27" t="s">
        <v>11</v>
      </c>
      <c r="M1" s="24" t="s">
        <v>12</v>
      </c>
      <c r="N1" s="24" t="s">
        <v>13</v>
      </c>
      <c r="O1" s="24" t="s">
        <v>14</v>
      </c>
      <c r="P1" s="24" t="s">
        <v>15</v>
      </c>
      <c r="Q1" s="24" t="s">
        <v>16</v>
      </c>
      <c r="R1" s="24" t="s">
        <v>17</v>
      </c>
      <c r="S1" s="24" t="s">
        <v>18</v>
      </c>
      <c r="T1" s="24" t="s">
        <v>19</v>
      </c>
      <c r="U1" s="24" t="s">
        <v>20</v>
      </c>
      <c r="V1" s="24" t="s">
        <v>21</v>
      </c>
      <c r="W1" s="24" t="s">
        <v>22</v>
      </c>
    </row>
    <row r="2" spans="1:23" x14ac:dyDescent="0.25">
      <c r="A2" s="39">
        <v>45865.638628020803</v>
      </c>
      <c r="B2" s="40">
        <v>45865</v>
      </c>
      <c r="C2" t="s">
        <v>23</v>
      </c>
      <c r="D2" t="s">
        <v>24</v>
      </c>
      <c r="E2" t="s">
        <v>25</v>
      </c>
      <c r="F2" t="s">
        <v>1442</v>
      </c>
      <c r="G2" t="s">
        <v>1442</v>
      </c>
      <c r="H2" t="s">
        <v>1442</v>
      </c>
      <c r="I2">
        <v>0</v>
      </c>
      <c r="J2">
        <v>0</v>
      </c>
      <c r="K2">
        <v>1</v>
      </c>
      <c r="L2">
        <v>0</v>
      </c>
      <c r="M2">
        <v>0</v>
      </c>
      <c r="N2" t="s">
        <v>26</v>
      </c>
      <c r="O2">
        <v>0</v>
      </c>
      <c r="P2" t="s">
        <v>1442</v>
      </c>
      <c r="Q2">
        <v>0</v>
      </c>
      <c r="R2" t="s">
        <v>27</v>
      </c>
      <c r="S2" t="s">
        <v>28</v>
      </c>
      <c r="T2" t="s">
        <v>1442</v>
      </c>
      <c r="U2" t="s">
        <v>1442</v>
      </c>
      <c r="V2" t="s">
        <v>1442</v>
      </c>
      <c r="W2" t="s">
        <v>1442</v>
      </c>
    </row>
    <row r="3" spans="1:23" x14ac:dyDescent="0.25">
      <c r="A3" s="39">
        <v>45867.643715497703</v>
      </c>
      <c r="B3" s="40">
        <v>45867</v>
      </c>
      <c r="C3" t="s">
        <v>23</v>
      </c>
      <c r="D3" t="s">
        <v>24</v>
      </c>
      <c r="E3" t="s">
        <v>25</v>
      </c>
      <c r="F3" t="s">
        <v>1442</v>
      </c>
      <c r="G3" t="s">
        <v>1442</v>
      </c>
      <c r="H3" t="s">
        <v>1442</v>
      </c>
      <c r="I3">
        <v>0</v>
      </c>
      <c r="J3">
        <v>0</v>
      </c>
      <c r="K3">
        <v>39</v>
      </c>
      <c r="L3">
        <v>0</v>
      </c>
      <c r="M3">
        <v>0</v>
      </c>
      <c r="N3" t="s">
        <v>26</v>
      </c>
      <c r="O3">
        <v>0</v>
      </c>
      <c r="P3" t="s">
        <v>1442</v>
      </c>
      <c r="Q3">
        <v>0</v>
      </c>
      <c r="R3" t="s">
        <v>27</v>
      </c>
      <c r="S3" t="s">
        <v>29</v>
      </c>
      <c r="T3" t="s">
        <v>1442</v>
      </c>
      <c r="U3" t="s">
        <v>1442</v>
      </c>
      <c r="V3" t="s">
        <v>1442</v>
      </c>
      <c r="W3" t="s">
        <v>1442</v>
      </c>
    </row>
    <row r="4" spans="1:23" x14ac:dyDescent="0.25">
      <c r="A4" s="39">
        <v>45908.5132908218</v>
      </c>
      <c r="B4" s="40">
        <v>45908</v>
      </c>
      <c r="C4" t="s">
        <v>23</v>
      </c>
      <c r="D4" t="s">
        <v>30</v>
      </c>
      <c r="E4" t="s">
        <v>31</v>
      </c>
      <c r="F4" t="s">
        <v>32</v>
      </c>
      <c r="G4" t="s">
        <v>33</v>
      </c>
      <c r="H4" t="s">
        <v>34</v>
      </c>
      <c r="I4">
        <v>9.325E-3</v>
      </c>
      <c r="J4">
        <v>91.15</v>
      </c>
      <c r="K4">
        <v>-0.85</v>
      </c>
      <c r="L4">
        <v>0</v>
      </c>
      <c r="M4">
        <v>0</v>
      </c>
      <c r="N4" t="s">
        <v>26</v>
      </c>
      <c r="O4">
        <v>0</v>
      </c>
      <c r="P4" t="s">
        <v>1442</v>
      </c>
      <c r="Q4">
        <v>0</v>
      </c>
      <c r="R4" t="s">
        <v>35</v>
      </c>
      <c r="S4" t="s">
        <v>36</v>
      </c>
      <c r="T4" t="s">
        <v>1442</v>
      </c>
      <c r="U4" t="s">
        <v>1442</v>
      </c>
      <c r="V4" t="s">
        <v>1442</v>
      </c>
      <c r="W4" t="s">
        <v>1442</v>
      </c>
    </row>
    <row r="5" spans="1:23" x14ac:dyDescent="0.25">
      <c r="A5" s="39">
        <v>45908.5132908218</v>
      </c>
      <c r="B5" s="40">
        <v>45908</v>
      </c>
      <c r="C5" t="s">
        <v>23</v>
      </c>
      <c r="D5" t="s">
        <v>30</v>
      </c>
      <c r="E5" t="s">
        <v>31</v>
      </c>
      <c r="F5" t="s">
        <v>32</v>
      </c>
      <c r="G5" t="s">
        <v>33</v>
      </c>
      <c r="H5" t="s">
        <v>34</v>
      </c>
      <c r="I5">
        <v>1</v>
      </c>
      <c r="J5">
        <v>91.15</v>
      </c>
      <c r="K5">
        <v>-91.15</v>
      </c>
      <c r="L5">
        <v>-1</v>
      </c>
      <c r="M5">
        <v>0</v>
      </c>
      <c r="N5" t="s">
        <v>26</v>
      </c>
      <c r="O5">
        <v>0</v>
      </c>
      <c r="P5" t="s">
        <v>1442</v>
      </c>
      <c r="Q5">
        <v>0</v>
      </c>
      <c r="R5" t="s">
        <v>37</v>
      </c>
      <c r="S5" t="s">
        <v>38</v>
      </c>
      <c r="T5" t="s">
        <v>1442</v>
      </c>
      <c r="U5" t="s">
        <v>1442</v>
      </c>
      <c r="V5" t="s">
        <v>1442</v>
      </c>
      <c r="W5" t="s">
        <v>1442</v>
      </c>
    </row>
    <row r="6" spans="1:23" x14ac:dyDescent="0.25">
      <c r="A6" s="39">
        <v>45908.517732442102</v>
      </c>
      <c r="B6" s="40">
        <v>45908</v>
      </c>
      <c r="C6" t="s">
        <v>23</v>
      </c>
      <c r="D6" t="s">
        <v>24</v>
      </c>
      <c r="E6" t="s">
        <v>25</v>
      </c>
      <c r="F6" t="s">
        <v>1442</v>
      </c>
      <c r="G6" t="s">
        <v>1442</v>
      </c>
      <c r="H6" t="s">
        <v>1442</v>
      </c>
      <c r="I6">
        <v>0</v>
      </c>
      <c r="J6">
        <v>0</v>
      </c>
      <c r="K6">
        <v>100</v>
      </c>
      <c r="L6">
        <v>0</v>
      </c>
      <c r="M6">
        <v>0</v>
      </c>
      <c r="N6" t="s">
        <v>26</v>
      </c>
      <c r="O6">
        <v>0</v>
      </c>
      <c r="P6" t="s">
        <v>1442</v>
      </c>
      <c r="Q6">
        <v>0</v>
      </c>
      <c r="R6" t="s">
        <v>27</v>
      </c>
      <c r="S6" t="s">
        <v>39</v>
      </c>
      <c r="T6" t="s">
        <v>1442</v>
      </c>
      <c r="U6" t="s">
        <v>1442</v>
      </c>
      <c r="V6" t="s">
        <v>1442</v>
      </c>
      <c r="W6" t="s">
        <v>1442</v>
      </c>
    </row>
    <row r="7" spans="1:23" x14ac:dyDescent="0.25">
      <c r="A7" s="39">
        <v>45908.518062338</v>
      </c>
      <c r="B7" s="40">
        <v>45908</v>
      </c>
      <c r="C7" t="s">
        <v>23</v>
      </c>
      <c r="D7" t="s">
        <v>30</v>
      </c>
      <c r="E7" t="s">
        <v>31</v>
      </c>
      <c r="F7" t="s">
        <v>32</v>
      </c>
      <c r="G7" t="s">
        <v>40</v>
      </c>
      <c r="H7" t="s">
        <v>41</v>
      </c>
      <c r="I7">
        <v>4.1840000000000002E-3</v>
      </c>
      <c r="J7">
        <v>143.4</v>
      </c>
      <c r="K7">
        <v>-0.6</v>
      </c>
      <c r="L7">
        <v>0</v>
      </c>
      <c r="M7">
        <v>0</v>
      </c>
      <c r="N7" t="s">
        <v>26</v>
      </c>
      <c r="O7">
        <v>0</v>
      </c>
      <c r="P7" t="s">
        <v>1442</v>
      </c>
      <c r="Q7">
        <v>0</v>
      </c>
      <c r="R7" t="s">
        <v>42</v>
      </c>
      <c r="S7" t="s">
        <v>43</v>
      </c>
      <c r="T7" t="s">
        <v>1442</v>
      </c>
      <c r="U7" t="s">
        <v>1442</v>
      </c>
      <c r="V7" t="s">
        <v>1442</v>
      </c>
      <c r="W7" t="s">
        <v>1442</v>
      </c>
    </row>
    <row r="8" spans="1:23" x14ac:dyDescent="0.25">
      <c r="A8" s="39">
        <v>45908.518062349503</v>
      </c>
      <c r="B8" s="40">
        <v>45908</v>
      </c>
      <c r="C8" t="s">
        <v>23</v>
      </c>
      <c r="D8" t="s">
        <v>30</v>
      </c>
      <c r="E8" t="s">
        <v>31</v>
      </c>
      <c r="F8" t="s">
        <v>32</v>
      </c>
      <c r="G8" t="s">
        <v>40</v>
      </c>
      <c r="H8" t="s">
        <v>41</v>
      </c>
      <c r="I8">
        <v>1</v>
      </c>
      <c r="J8">
        <v>143.4</v>
      </c>
      <c r="K8">
        <v>-143.4</v>
      </c>
      <c r="L8">
        <v>-1</v>
      </c>
      <c r="M8">
        <v>0</v>
      </c>
      <c r="N8" t="s">
        <v>26</v>
      </c>
      <c r="O8">
        <v>0</v>
      </c>
      <c r="P8" t="s">
        <v>1442</v>
      </c>
      <c r="Q8">
        <v>0</v>
      </c>
      <c r="R8" t="s">
        <v>44</v>
      </c>
      <c r="S8" t="s">
        <v>45</v>
      </c>
      <c r="T8" t="s">
        <v>1442</v>
      </c>
      <c r="U8" t="s">
        <v>1442</v>
      </c>
      <c r="V8" t="s">
        <v>1442</v>
      </c>
      <c r="W8" t="s">
        <v>1442</v>
      </c>
    </row>
    <row r="9" spans="1:23" x14ac:dyDescent="0.25">
      <c r="A9" s="39">
        <v>45908.717423692098</v>
      </c>
      <c r="B9" s="40">
        <v>45908</v>
      </c>
      <c r="C9" t="s">
        <v>23</v>
      </c>
      <c r="D9" t="s">
        <v>24</v>
      </c>
      <c r="E9" t="s">
        <v>25</v>
      </c>
      <c r="F9" t="s">
        <v>1442</v>
      </c>
      <c r="G9" t="s">
        <v>1442</v>
      </c>
      <c r="H9" t="s">
        <v>1442</v>
      </c>
      <c r="I9">
        <v>0</v>
      </c>
      <c r="J9">
        <v>0</v>
      </c>
      <c r="K9">
        <v>100</v>
      </c>
      <c r="L9">
        <v>0</v>
      </c>
      <c r="M9">
        <v>0</v>
      </c>
      <c r="N9" t="s">
        <v>26</v>
      </c>
      <c r="O9">
        <v>0</v>
      </c>
      <c r="P9" t="s">
        <v>1442</v>
      </c>
      <c r="Q9">
        <v>0</v>
      </c>
      <c r="R9" t="s">
        <v>27</v>
      </c>
      <c r="S9" t="s">
        <v>46</v>
      </c>
      <c r="T9" t="s">
        <v>1442</v>
      </c>
      <c r="U9" t="s">
        <v>1442</v>
      </c>
      <c r="V9" t="s">
        <v>1442</v>
      </c>
      <c r="W9" t="s">
        <v>1442</v>
      </c>
    </row>
    <row r="10" spans="1:23" x14ac:dyDescent="0.25">
      <c r="A10" s="39">
        <v>45908.717696747699</v>
      </c>
      <c r="B10" s="40">
        <v>45908</v>
      </c>
      <c r="C10" t="s">
        <v>23</v>
      </c>
      <c r="D10" t="s">
        <v>30</v>
      </c>
      <c r="E10" t="s">
        <v>31</v>
      </c>
      <c r="F10" t="s">
        <v>32</v>
      </c>
      <c r="G10" t="s">
        <v>47</v>
      </c>
      <c r="H10" t="s">
        <v>48</v>
      </c>
      <c r="I10">
        <v>1</v>
      </c>
      <c r="J10">
        <v>88.46</v>
      </c>
      <c r="K10">
        <v>-88.46</v>
      </c>
      <c r="L10">
        <v>-1</v>
      </c>
      <c r="M10">
        <v>0</v>
      </c>
      <c r="N10" t="s">
        <v>26</v>
      </c>
      <c r="O10">
        <v>0</v>
      </c>
      <c r="P10" t="s">
        <v>1442</v>
      </c>
      <c r="Q10">
        <v>0</v>
      </c>
      <c r="R10" t="s">
        <v>49</v>
      </c>
      <c r="S10" t="s">
        <v>50</v>
      </c>
      <c r="T10" t="s">
        <v>1442</v>
      </c>
      <c r="U10" t="s">
        <v>1442</v>
      </c>
      <c r="V10" t="s">
        <v>1442</v>
      </c>
      <c r="W10" t="s">
        <v>1442</v>
      </c>
    </row>
    <row r="11" spans="1:23" x14ac:dyDescent="0.25">
      <c r="A11" s="39">
        <v>45908.717696956002</v>
      </c>
      <c r="B11" s="40">
        <v>45908</v>
      </c>
      <c r="C11" t="s">
        <v>23</v>
      </c>
      <c r="D11" t="s">
        <v>30</v>
      </c>
      <c r="E11" t="s">
        <v>31</v>
      </c>
      <c r="F11" t="s">
        <v>32</v>
      </c>
      <c r="G11" t="s">
        <v>47</v>
      </c>
      <c r="H11" t="s">
        <v>48</v>
      </c>
      <c r="I11">
        <v>1.7408E-2</v>
      </c>
      <c r="J11">
        <v>88.46</v>
      </c>
      <c r="K11">
        <v>-1.54</v>
      </c>
      <c r="L11">
        <v>0</v>
      </c>
      <c r="M11">
        <v>0</v>
      </c>
      <c r="N11" t="s">
        <v>26</v>
      </c>
      <c r="O11">
        <v>0</v>
      </c>
      <c r="P11" t="s">
        <v>1442</v>
      </c>
      <c r="Q11">
        <v>0</v>
      </c>
      <c r="R11" t="s">
        <v>51</v>
      </c>
      <c r="S11" t="s">
        <v>52</v>
      </c>
      <c r="T11" t="s">
        <v>1442</v>
      </c>
      <c r="U11" t="s">
        <v>1442</v>
      </c>
      <c r="V11" t="s">
        <v>1442</v>
      </c>
      <c r="W11" t="s">
        <v>1442</v>
      </c>
    </row>
    <row r="12" spans="1:23" x14ac:dyDescent="0.25">
      <c r="A12" s="39">
        <v>45908.7232311111</v>
      </c>
      <c r="B12" s="40">
        <v>45908</v>
      </c>
      <c r="C12" t="s">
        <v>23</v>
      </c>
      <c r="D12" t="s">
        <v>24</v>
      </c>
      <c r="E12" t="s">
        <v>25</v>
      </c>
      <c r="F12" t="s">
        <v>1442</v>
      </c>
      <c r="G12" t="s">
        <v>1442</v>
      </c>
      <c r="H12" t="s">
        <v>1442</v>
      </c>
      <c r="I12">
        <v>0</v>
      </c>
      <c r="J12">
        <v>0</v>
      </c>
      <c r="K12">
        <v>50</v>
      </c>
      <c r="L12">
        <v>0</v>
      </c>
      <c r="M12">
        <v>0</v>
      </c>
      <c r="N12" t="s">
        <v>26</v>
      </c>
      <c r="O12">
        <v>0</v>
      </c>
      <c r="P12" t="s">
        <v>1442</v>
      </c>
      <c r="Q12">
        <v>0</v>
      </c>
      <c r="R12" t="s">
        <v>27</v>
      </c>
      <c r="S12" t="s">
        <v>53</v>
      </c>
      <c r="T12" t="s">
        <v>1442</v>
      </c>
      <c r="U12" t="s">
        <v>1442</v>
      </c>
      <c r="V12" t="s">
        <v>1442</v>
      </c>
      <c r="W12" t="s">
        <v>1442</v>
      </c>
    </row>
    <row r="13" spans="1:23" x14ac:dyDescent="0.25">
      <c r="A13" s="39">
        <v>45908.513009606497</v>
      </c>
      <c r="B13" s="40">
        <v>45908</v>
      </c>
      <c r="C13" t="s">
        <v>23</v>
      </c>
      <c r="D13" t="s">
        <v>24</v>
      </c>
      <c r="E13" t="s">
        <v>25</v>
      </c>
      <c r="F13" t="s">
        <v>1442</v>
      </c>
      <c r="G13" t="s">
        <v>1442</v>
      </c>
      <c r="H13" t="s">
        <v>1442</v>
      </c>
      <c r="I13">
        <v>0</v>
      </c>
      <c r="J13">
        <v>0</v>
      </c>
      <c r="K13">
        <v>100</v>
      </c>
      <c r="L13">
        <v>0</v>
      </c>
      <c r="M13">
        <v>0</v>
      </c>
      <c r="N13" t="s">
        <v>26</v>
      </c>
      <c r="O13">
        <v>0</v>
      </c>
      <c r="P13" t="s">
        <v>1442</v>
      </c>
      <c r="Q13">
        <v>0</v>
      </c>
      <c r="R13" t="s">
        <v>27</v>
      </c>
      <c r="S13" t="s">
        <v>54</v>
      </c>
      <c r="T13" t="s">
        <v>1442</v>
      </c>
      <c r="U13" t="s">
        <v>1442</v>
      </c>
      <c r="V13" t="s">
        <v>1442</v>
      </c>
      <c r="W13" t="s">
        <v>1442</v>
      </c>
    </row>
    <row r="14" spans="1:23" x14ac:dyDescent="0.25">
      <c r="A14" s="39">
        <v>45908.724518541698</v>
      </c>
      <c r="B14" s="40">
        <v>45908</v>
      </c>
      <c r="C14" t="s">
        <v>23</v>
      </c>
      <c r="D14" t="s">
        <v>30</v>
      </c>
      <c r="E14" t="s">
        <v>31</v>
      </c>
      <c r="F14" t="s">
        <v>32</v>
      </c>
      <c r="G14" t="s">
        <v>55</v>
      </c>
      <c r="H14" t="s">
        <v>56</v>
      </c>
      <c r="I14">
        <v>0.87119899999999995</v>
      </c>
      <c r="J14">
        <v>32.064999999999998</v>
      </c>
      <c r="K14">
        <v>-27.93</v>
      </c>
      <c r="L14">
        <v>0</v>
      </c>
      <c r="M14">
        <v>0</v>
      </c>
      <c r="N14" t="s">
        <v>26</v>
      </c>
      <c r="O14">
        <v>0</v>
      </c>
      <c r="P14" t="s">
        <v>1442</v>
      </c>
      <c r="Q14">
        <v>0</v>
      </c>
      <c r="R14" t="s">
        <v>57</v>
      </c>
      <c r="S14" t="s">
        <v>58</v>
      </c>
      <c r="T14" t="s">
        <v>1442</v>
      </c>
      <c r="U14" t="s">
        <v>1442</v>
      </c>
      <c r="V14" t="s">
        <v>1442</v>
      </c>
      <c r="W14" t="s">
        <v>1442</v>
      </c>
    </row>
    <row r="15" spans="1:23" x14ac:dyDescent="0.25">
      <c r="A15" s="39">
        <v>45908.724518796298</v>
      </c>
      <c r="B15" s="40">
        <v>45908</v>
      </c>
      <c r="C15" t="s">
        <v>23</v>
      </c>
      <c r="D15" t="s">
        <v>30</v>
      </c>
      <c r="E15" t="s">
        <v>31</v>
      </c>
      <c r="F15" t="s">
        <v>32</v>
      </c>
      <c r="G15" t="s">
        <v>55</v>
      </c>
      <c r="H15" t="s">
        <v>56</v>
      </c>
      <c r="I15">
        <v>1</v>
      </c>
      <c r="J15">
        <v>32.064999999999998</v>
      </c>
      <c r="K15">
        <v>-32.07</v>
      </c>
      <c r="L15">
        <v>-1</v>
      </c>
      <c r="M15">
        <v>0</v>
      </c>
      <c r="N15" t="s">
        <v>26</v>
      </c>
      <c r="O15">
        <v>0</v>
      </c>
      <c r="P15" t="s">
        <v>1442</v>
      </c>
      <c r="Q15">
        <v>0</v>
      </c>
      <c r="R15" t="s">
        <v>59</v>
      </c>
      <c r="S15" t="s">
        <v>60</v>
      </c>
      <c r="T15" t="s">
        <v>1442</v>
      </c>
      <c r="U15" t="s">
        <v>1442</v>
      </c>
      <c r="V15" t="s">
        <v>1442</v>
      </c>
      <c r="W15" t="s">
        <v>1442</v>
      </c>
    </row>
    <row r="16" spans="1:23" x14ac:dyDescent="0.25">
      <c r="A16" s="39">
        <v>45909.868039895802</v>
      </c>
      <c r="B16" s="40">
        <v>45909</v>
      </c>
      <c r="C16" t="s">
        <v>23</v>
      </c>
      <c r="D16" t="s">
        <v>24</v>
      </c>
      <c r="E16" t="s">
        <v>25</v>
      </c>
      <c r="F16" t="s">
        <v>1442</v>
      </c>
      <c r="G16" t="s">
        <v>1442</v>
      </c>
      <c r="H16" t="s">
        <v>1442</v>
      </c>
      <c r="I16">
        <v>0</v>
      </c>
      <c r="J16">
        <v>0</v>
      </c>
      <c r="K16">
        <v>185</v>
      </c>
      <c r="L16">
        <v>0</v>
      </c>
      <c r="M16">
        <v>0</v>
      </c>
      <c r="N16" t="s">
        <v>26</v>
      </c>
      <c r="O16">
        <v>0</v>
      </c>
      <c r="P16" t="s">
        <v>1442</v>
      </c>
      <c r="Q16">
        <v>0</v>
      </c>
      <c r="R16" t="s">
        <v>27</v>
      </c>
      <c r="S16" t="s">
        <v>61</v>
      </c>
      <c r="T16" t="s">
        <v>1442</v>
      </c>
      <c r="U16" t="s">
        <v>1442</v>
      </c>
      <c r="V16" t="s">
        <v>1442</v>
      </c>
      <c r="W16" t="s">
        <v>1442</v>
      </c>
    </row>
    <row r="17" spans="1:23" x14ac:dyDescent="0.25">
      <c r="A17" s="39">
        <v>45909.876720775501</v>
      </c>
      <c r="B17" s="40">
        <v>45909</v>
      </c>
      <c r="C17" t="s">
        <v>23</v>
      </c>
      <c r="D17" t="s">
        <v>24</v>
      </c>
      <c r="E17" t="s">
        <v>25</v>
      </c>
      <c r="F17" t="s">
        <v>1442</v>
      </c>
      <c r="G17" t="s">
        <v>1442</v>
      </c>
      <c r="H17" t="s">
        <v>1442</v>
      </c>
      <c r="I17">
        <v>0</v>
      </c>
      <c r="J17">
        <v>0</v>
      </c>
      <c r="K17">
        <v>50</v>
      </c>
      <c r="L17">
        <v>0</v>
      </c>
      <c r="M17">
        <v>0</v>
      </c>
      <c r="N17" t="s">
        <v>26</v>
      </c>
      <c r="O17">
        <v>0</v>
      </c>
      <c r="P17" t="s">
        <v>1442</v>
      </c>
      <c r="Q17">
        <v>0</v>
      </c>
      <c r="R17" t="s">
        <v>27</v>
      </c>
      <c r="S17" t="s">
        <v>62</v>
      </c>
      <c r="T17" t="s">
        <v>1442</v>
      </c>
      <c r="U17" t="s">
        <v>1442</v>
      </c>
      <c r="V17" t="s">
        <v>1442</v>
      </c>
      <c r="W17" t="s">
        <v>1442</v>
      </c>
    </row>
    <row r="18" spans="1:23" x14ac:dyDescent="0.25">
      <c r="A18" s="39">
        <v>45909.869528113399</v>
      </c>
      <c r="B18" s="40">
        <v>45909</v>
      </c>
      <c r="C18" t="s">
        <v>23</v>
      </c>
      <c r="D18" t="s">
        <v>24</v>
      </c>
      <c r="E18" t="s">
        <v>25</v>
      </c>
      <c r="F18" t="s">
        <v>1442</v>
      </c>
      <c r="G18" t="s">
        <v>1442</v>
      </c>
      <c r="H18" t="s">
        <v>1442</v>
      </c>
      <c r="I18">
        <v>0</v>
      </c>
      <c r="J18">
        <v>0</v>
      </c>
      <c r="K18">
        <v>1</v>
      </c>
      <c r="L18">
        <v>0</v>
      </c>
      <c r="M18">
        <v>0</v>
      </c>
      <c r="N18" t="s">
        <v>26</v>
      </c>
      <c r="O18">
        <v>0</v>
      </c>
      <c r="P18" t="s">
        <v>1442</v>
      </c>
      <c r="Q18">
        <v>0</v>
      </c>
      <c r="R18" t="s">
        <v>27</v>
      </c>
      <c r="S18" t="s">
        <v>63</v>
      </c>
      <c r="T18" t="s">
        <v>1442</v>
      </c>
      <c r="U18" t="s">
        <v>1442</v>
      </c>
      <c r="V18" t="s">
        <v>1442</v>
      </c>
      <c r="W18" t="s">
        <v>1442</v>
      </c>
    </row>
    <row r="19" spans="1:23" x14ac:dyDescent="0.25">
      <c r="A19" s="39">
        <v>45909.878043877303</v>
      </c>
      <c r="B19" s="40">
        <v>45909</v>
      </c>
      <c r="C19" t="s">
        <v>23</v>
      </c>
      <c r="D19" t="s">
        <v>30</v>
      </c>
      <c r="E19" t="s">
        <v>31</v>
      </c>
      <c r="F19" t="s">
        <v>64</v>
      </c>
      <c r="G19" t="s">
        <v>65</v>
      </c>
      <c r="H19" t="s">
        <v>66</v>
      </c>
      <c r="I19">
        <v>1.004294</v>
      </c>
      <c r="J19">
        <v>187.214</v>
      </c>
      <c r="K19">
        <v>-188.02</v>
      </c>
      <c r="L19">
        <v>-1</v>
      </c>
      <c r="M19">
        <v>0</v>
      </c>
      <c r="N19" t="s">
        <v>26</v>
      </c>
      <c r="O19">
        <v>0</v>
      </c>
      <c r="P19" t="s">
        <v>1442</v>
      </c>
      <c r="Q19">
        <v>0</v>
      </c>
      <c r="R19" t="s">
        <v>67</v>
      </c>
      <c r="S19" t="s">
        <v>68</v>
      </c>
      <c r="T19" t="s">
        <v>1442</v>
      </c>
      <c r="U19" t="s">
        <v>1442</v>
      </c>
      <c r="V19" t="s">
        <v>1442</v>
      </c>
      <c r="W19" t="s">
        <v>1442</v>
      </c>
    </row>
    <row r="20" spans="1:23" x14ac:dyDescent="0.25">
      <c r="A20" s="39">
        <v>45909.880946435202</v>
      </c>
      <c r="B20" s="40">
        <v>45909</v>
      </c>
      <c r="C20" t="s">
        <v>23</v>
      </c>
      <c r="D20" t="s">
        <v>30</v>
      </c>
      <c r="E20" t="s">
        <v>31</v>
      </c>
      <c r="F20" t="s">
        <v>64</v>
      </c>
      <c r="G20" t="s">
        <v>69</v>
      </c>
      <c r="H20" t="s">
        <v>69</v>
      </c>
      <c r="I20">
        <v>4.3247640000000001</v>
      </c>
      <c r="J20">
        <v>2.5434019999999999</v>
      </c>
      <c r="K20">
        <v>-11</v>
      </c>
      <c r="L20">
        <v>-1</v>
      </c>
      <c r="M20">
        <v>0</v>
      </c>
      <c r="N20" t="s">
        <v>26</v>
      </c>
      <c r="O20">
        <v>0</v>
      </c>
      <c r="P20" t="s">
        <v>1442</v>
      </c>
      <c r="Q20">
        <v>0</v>
      </c>
      <c r="R20" t="s">
        <v>70</v>
      </c>
      <c r="S20" t="s">
        <v>71</v>
      </c>
      <c r="T20" t="s">
        <v>1442</v>
      </c>
      <c r="U20" t="s">
        <v>1442</v>
      </c>
      <c r="V20" t="s">
        <v>1442</v>
      </c>
      <c r="W20" t="s">
        <v>1442</v>
      </c>
    </row>
    <row r="21" spans="1:23" x14ac:dyDescent="0.25">
      <c r="A21" s="39">
        <v>45909.884380358802</v>
      </c>
      <c r="B21" s="40">
        <v>45909</v>
      </c>
      <c r="C21" t="s">
        <v>23</v>
      </c>
      <c r="D21" t="s">
        <v>30</v>
      </c>
      <c r="E21" t="s">
        <v>31</v>
      </c>
      <c r="F21" t="s">
        <v>64</v>
      </c>
      <c r="G21" t="s">
        <v>72</v>
      </c>
      <c r="H21" t="s">
        <v>73</v>
      </c>
      <c r="I21">
        <v>13.490816000000001</v>
      </c>
      <c r="J21">
        <v>0.74124400000000001</v>
      </c>
      <c r="K21">
        <v>-10</v>
      </c>
      <c r="L21">
        <v>-1</v>
      </c>
      <c r="M21">
        <v>0</v>
      </c>
      <c r="N21" t="s">
        <v>26</v>
      </c>
      <c r="O21">
        <v>0</v>
      </c>
      <c r="P21" t="s">
        <v>1442</v>
      </c>
      <c r="Q21">
        <v>0</v>
      </c>
      <c r="R21" t="s">
        <v>74</v>
      </c>
      <c r="S21" t="s">
        <v>75</v>
      </c>
      <c r="T21" t="s">
        <v>1442</v>
      </c>
      <c r="U21" t="s">
        <v>1442</v>
      </c>
      <c r="V21" t="s">
        <v>1442</v>
      </c>
      <c r="W21" t="s">
        <v>1442</v>
      </c>
    </row>
    <row r="22" spans="1:23" x14ac:dyDescent="0.25">
      <c r="A22" s="39">
        <v>45909.891429861098</v>
      </c>
      <c r="B22" s="40">
        <v>45909</v>
      </c>
      <c r="C22" t="s">
        <v>23</v>
      </c>
      <c r="D22" t="s">
        <v>30</v>
      </c>
      <c r="E22" t="s">
        <v>31</v>
      </c>
      <c r="F22" t="s">
        <v>32</v>
      </c>
      <c r="G22" t="s">
        <v>76</v>
      </c>
      <c r="H22" t="s">
        <v>77</v>
      </c>
      <c r="I22">
        <v>2</v>
      </c>
      <c r="J22">
        <v>10.055</v>
      </c>
      <c r="K22">
        <v>-20.11</v>
      </c>
      <c r="L22">
        <v>-1</v>
      </c>
      <c r="M22">
        <v>0</v>
      </c>
      <c r="N22" t="s">
        <v>26</v>
      </c>
      <c r="O22">
        <v>0</v>
      </c>
      <c r="P22" t="s">
        <v>1442</v>
      </c>
      <c r="Q22">
        <v>0</v>
      </c>
      <c r="R22" t="s">
        <v>78</v>
      </c>
      <c r="S22" t="s">
        <v>79</v>
      </c>
      <c r="T22" t="s">
        <v>1442</v>
      </c>
      <c r="U22" t="s">
        <v>1442</v>
      </c>
      <c r="V22" t="s">
        <v>1442</v>
      </c>
      <c r="W22" t="s">
        <v>1442</v>
      </c>
    </row>
    <row r="23" spans="1:23" x14ac:dyDescent="0.25">
      <c r="A23" s="39">
        <v>45909.891430057898</v>
      </c>
      <c r="B23" s="40">
        <v>45909</v>
      </c>
      <c r="C23" t="s">
        <v>23</v>
      </c>
      <c r="D23" t="s">
        <v>30</v>
      </c>
      <c r="E23" t="s">
        <v>31</v>
      </c>
      <c r="F23" t="s">
        <v>32</v>
      </c>
      <c r="G23" t="s">
        <v>76</v>
      </c>
      <c r="H23" t="s">
        <v>77</v>
      </c>
      <c r="I23">
        <v>0.18687799999999999</v>
      </c>
      <c r="J23">
        <v>10.055</v>
      </c>
      <c r="K23">
        <v>-1.88</v>
      </c>
      <c r="L23">
        <v>0</v>
      </c>
      <c r="M23">
        <v>0</v>
      </c>
      <c r="N23" t="s">
        <v>26</v>
      </c>
      <c r="O23">
        <v>0</v>
      </c>
      <c r="P23" t="s">
        <v>1442</v>
      </c>
      <c r="Q23">
        <v>0</v>
      </c>
      <c r="R23" t="s">
        <v>80</v>
      </c>
      <c r="S23" t="s">
        <v>81</v>
      </c>
      <c r="T23" t="s">
        <v>1442</v>
      </c>
      <c r="U23" t="s">
        <v>1442</v>
      </c>
      <c r="V23" t="s">
        <v>1442</v>
      </c>
      <c r="W23" t="s">
        <v>1442</v>
      </c>
    </row>
    <row r="24" spans="1:23" x14ac:dyDescent="0.25">
      <c r="A24" s="39">
        <v>45910.354324108797</v>
      </c>
      <c r="B24" s="40">
        <v>45910</v>
      </c>
      <c r="C24" t="s">
        <v>23</v>
      </c>
      <c r="D24" t="s">
        <v>30</v>
      </c>
      <c r="E24" t="s">
        <v>82</v>
      </c>
      <c r="F24" t="s">
        <v>32</v>
      </c>
      <c r="G24" t="s">
        <v>40</v>
      </c>
      <c r="H24" t="s">
        <v>41</v>
      </c>
      <c r="I24">
        <v>-2.6956999999999998E-2</v>
      </c>
      <c r="J24">
        <v>148.38</v>
      </c>
      <c r="K24">
        <v>4</v>
      </c>
      <c r="L24">
        <v>-1</v>
      </c>
      <c r="M24">
        <v>0</v>
      </c>
      <c r="N24" t="s">
        <v>26</v>
      </c>
      <c r="O24">
        <v>0</v>
      </c>
      <c r="P24" t="s">
        <v>1442</v>
      </c>
      <c r="Q24">
        <v>0</v>
      </c>
      <c r="R24" t="s">
        <v>83</v>
      </c>
      <c r="S24" t="s">
        <v>84</v>
      </c>
      <c r="T24" t="s">
        <v>1442</v>
      </c>
      <c r="U24" t="s">
        <v>1442</v>
      </c>
      <c r="V24" t="s">
        <v>1442</v>
      </c>
      <c r="W24" t="s">
        <v>1442</v>
      </c>
    </row>
    <row r="25" spans="1:23" x14ac:dyDescent="0.25">
      <c r="A25" s="39">
        <v>45910.356990439803</v>
      </c>
      <c r="B25" s="40">
        <v>45910</v>
      </c>
      <c r="C25" t="s">
        <v>23</v>
      </c>
      <c r="D25" t="s">
        <v>30</v>
      </c>
      <c r="E25" t="s">
        <v>31</v>
      </c>
      <c r="F25" t="s">
        <v>32</v>
      </c>
      <c r="G25" t="s">
        <v>40</v>
      </c>
      <c r="H25" t="s">
        <v>41</v>
      </c>
      <c r="I25">
        <v>0.350215</v>
      </c>
      <c r="J25">
        <v>148.47999999999999</v>
      </c>
      <c r="K25">
        <v>-52</v>
      </c>
      <c r="L25">
        <v>-1</v>
      </c>
      <c r="M25">
        <v>0</v>
      </c>
      <c r="N25" t="s">
        <v>26</v>
      </c>
      <c r="O25">
        <v>0</v>
      </c>
      <c r="P25" t="s">
        <v>1442</v>
      </c>
      <c r="Q25">
        <v>0</v>
      </c>
      <c r="R25" t="s">
        <v>85</v>
      </c>
      <c r="S25" t="s">
        <v>86</v>
      </c>
      <c r="T25" t="s">
        <v>1442</v>
      </c>
      <c r="U25" t="s">
        <v>1442</v>
      </c>
      <c r="V25" t="s">
        <v>1442</v>
      </c>
      <c r="W25" t="s">
        <v>1442</v>
      </c>
    </row>
    <row r="26" spans="1:23" x14ac:dyDescent="0.25">
      <c r="A26" s="39">
        <v>45910.844734444399</v>
      </c>
      <c r="B26" s="40">
        <v>45910</v>
      </c>
      <c r="C26" t="s">
        <v>23</v>
      </c>
      <c r="D26" t="s">
        <v>24</v>
      </c>
      <c r="E26" t="s">
        <v>25</v>
      </c>
      <c r="F26" t="s">
        <v>1442</v>
      </c>
      <c r="G26" t="s">
        <v>1442</v>
      </c>
      <c r="H26" t="s">
        <v>1442</v>
      </c>
      <c r="I26">
        <v>0</v>
      </c>
      <c r="J26">
        <v>0</v>
      </c>
      <c r="K26">
        <v>80</v>
      </c>
      <c r="L26">
        <v>0</v>
      </c>
      <c r="M26">
        <v>0</v>
      </c>
      <c r="N26" t="s">
        <v>26</v>
      </c>
      <c r="O26">
        <v>0</v>
      </c>
      <c r="P26" t="s">
        <v>1442</v>
      </c>
      <c r="Q26">
        <v>0</v>
      </c>
      <c r="R26" t="s">
        <v>27</v>
      </c>
      <c r="S26" t="s">
        <v>87</v>
      </c>
      <c r="T26" t="s">
        <v>1442</v>
      </c>
      <c r="U26" t="s">
        <v>1442</v>
      </c>
      <c r="V26" t="s">
        <v>1442</v>
      </c>
      <c r="W26" t="s">
        <v>1442</v>
      </c>
    </row>
    <row r="27" spans="1:23" x14ac:dyDescent="0.25">
      <c r="A27" s="39">
        <v>45910.356730544001</v>
      </c>
      <c r="B27" s="40">
        <v>45910</v>
      </c>
      <c r="C27" t="s">
        <v>23</v>
      </c>
      <c r="D27" t="s">
        <v>24</v>
      </c>
      <c r="E27" t="s">
        <v>25</v>
      </c>
      <c r="F27" t="s">
        <v>1442</v>
      </c>
      <c r="G27" t="s">
        <v>1442</v>
      </c>
      <c r="H27" t="s">
        <v>1442</v>
      </c>
      <c r="I27">
        <v>0</v>
      </c>
      <c r="J27">
        <v>0</v>
      </c>
      <c r="K27">
        <v>50</v>
      </c>
      <c r="L27">
        <v>0</v>
      </c>
      <c r="M27">
        <v>0</v>
      </c>
      <c r="N27" t="s">
        <v>26</v>
      </c>
      <c r="O27">
        <v>0</v>
      </c>
      <c r="P27" t="s">
        <v>1442</v>
      </c>
      <c r="Q27">
        <v>0</v>
      </c>
      <c r="R27" t="s">
        <v>27</v>
      </c>
      <c r="S27" t="s">
        <v>88</v>
      </c>
      <c r="T27" t="s">
        <v>1442</v>
      </c>
      <c r="U27" t="s">
        <v>1442</v>
      </c>
      <c r="V27" t="s">
        <v>1442</v>
      </c>
      <c r="W27" t="s">
        <v>1442</v>
      </c>
    </row>
    <row r="28" spans="1:23" x14ac:dyDescent="0.25">
      <c r="A28" s="39">
        <v>45910.845364930603</v>
      </c>
      <c r="B28" s="40">
        <v>45910</v>
      </c>
      <c r="C28" t="s">
        <v>23</v>
      </c>
      <c r="D28" t="s">
        <v>30</v>
      </c>
      <c r="E28" t="s">
        <v>31</v>
      </c>
      <c r="F28" t="s">
        <v>32</v>
      </c>
      <c r="G28" t="s">
        <v>89</v>
      </c>
      <c r="H28" t="s">
        <v>90</v>
      </c>
      <c r="I28">
        <v>1</v>
      </c>
      <c r="J28">
        <v>69.61</v>
      </c>
      <c r="K28">
        <v>-69.61</v>
      </c>
      <c r="L28">
        <v>-1</v>
      </c>
      <c r="M28">
        <v>0</v>
      </c>
      <c r="N28" t="s">
        <v>26</v>
      </c>
      <c r="O28">
        <v>0</v>
      </c>
      <c r="P28" t="s">
        <v>1442</v>
      </c>
      <c r="Q28">
        <v>0</v>
      </c>
      <c r="R28" t="s">
        <v>91</v>
      </c>
      <c r="S28" t="s">
        <v>92</v>
      </c>
      <c r="T28" t="s">
        <v>1442</v>
      </c>
      <c r="U28" t="s">
        <v>1442</v>
      </c>
      <c r="V28" t="s">
        <v>1442</v>
      </c>
      <c r="W28" t="s">
        <v>1442</v>
      </c>
    </row>
    <row r="29" spans="1:23" x14ac:dyDescent="0.25">
      <c r="A29" s="39">
        <v>45910.845365046298</v>
      </c>
      <c r="B29" s="40">
        <v>45910</v>
      </c>
      <c r="C29" t="s">
        <v>23</v>
      </c>
      <c r="D29" t="s">
        <v>30</v>
      </c>
      <c r="E29" t="s">
        <v>31</v>
      </c>
      <c r="F29" t="s">
        <v>32</v>
      </c>
      <c r="G29" t="s">
        <v>89</v>
      </c>
      <c r="H29" t="s">
        <v>90</v>
      </c>
      <c r="I29">
        <v>0.13489399999999999</v>
      </c>
      <c r="J29">
        <v>69.61</v>
      </c>
      <c r="K29">
        <v>-9.39</v>
      </c>
      <c r="L29">
        <v>0</v>
      </c>
      <c r="M29">
        <v>0</v>
      </c>
      <c r="N29" t="s">
        <v>26</v>
      </c>
      <c r="O29">
        <v>0</v>
      </c>
      <c r="P29" t="s">
        <v>1442</v>
      </c>
      <c r="Q29">
        <v>0</v>
      </c>
      <c r="R29" t="s">
        <v>93</v>
      </c>
      <c r="S29" t="s">
        <v>94</v>
      </c>
      <c r="T29" t="s">
        <v>1442</v>
      </c>
      <c r="U29" t="s">
        <v>1442</v>
      </c>
      <c r="V29" t="s">
        <v>1442</v>
      </c>
      <c r="W29" t="s">
        <v>1442</v>
      </c>
    </row>
    <row r="30" spans="1:23" x14ac:dyDescent="0.25">
      <c r="A30" s="39">
        <v>45911.734956157401</v>
      </c>
      <c r="B30" s="40">
        <v>45911</v>
      </c>
      <c r="C30" t="s">
        <v>23</v>
      </c>
      <c r="D30" t="s">
        <v>30</v>
      </c>
      <c r="E30" t="s">
        <v>31</v>
      </c>
      <c r="F30" t="s">
        <v>32</v>
      </c>
      <c r="G30" t="s">
        <v>95</v>
      </c>
      <c r="H30" t="s">
        <v>96</v>
      </c>
      <c r="I30">
        <v>5.2408000000000003E-2</v>
      </c>
      <c r="J30">
        <v>141.58000000000001</v>
      </c>
      <c r="K30">
        <v>-7.42</v>
      </c>
      <c r="L30">
        <v>0</v>
      </c>
      <c r="M30">
        <v>0</v>
      </c>
      <c r="N30" t="s">
        <v>26</v>
      </c>
      <c r="O30">
        <v>0</v>
      </c>
      <c r="P30" t="s">
        <v>1442</v>
      </c>
      <c r="Q30">
        <v>0</v>
      </c>
      <c r="R30" t="s">
        <v>97</v>
      </c>
      <c r="S30" t="s">
        <v>98</v>
      </c>
      <c r="T30" t="s">
        <v>1442</v>
      </c>
      <c r="U30" t="s">
        <v>1442</v>
      </c>
      <c r="V30" t="s">
        <v>1442</v>
      </c>
      <c r="W30" t="s">
        <v>1442</v>
      </c>
    </row>
    <row r="31" spans="1:23" x14ac:dyDescent="0.25">
      <c r="A31" s="39">
        <v>45911.734956504602</v>
      </c>
      <c r="B31" s="40">
        <v>45911</v>
      </c>
      <c r="C31" t="s">
        <v>23</v>
      </c>
      <c r="D31" t="s">
        <v>30</v>
      </c>
      <c r="E31" t="s">
        <v>31</v>
      </c>
      <c r="F31" t="s">
        <v>32</v>
      </c>
      <c r="G31" t="s">
        <v>95</v>
      </c>
      <c r="H31" t="s">
        <v>96</v>
      </c>
      <c r="I31">
        <v>1</v>
      </c>
      <c r="J31">
        <v>141.58000000000001</v>
      </c>
      <c r="K31">
        <v>-141.58000000000001</v>
      </c>
      <c r="L31">
        <v>-1</v>
      </c>
      <c r="M31">
        <v>0</v>
      </c>
      <c r="N31" t="s">
        <v>26</v>
      </c>
      <c r="O31">
        <v>0</v>
      </c>
      <c r="P31" t="s">
        <v>1442</v>
      </c>
      <c r="Q31">
        <v>0</v>
      </c>
      <c r="R31" t="s">
        <v>99</v>
      </c>
      <c r="S31" t="s">
        <v>100</v>
      </c>
      <c r="T31" t="s">
        <v>1442</v>
      </c>
      <c r="U31" t="s">
        <v>1442</v>
      </c>
      <c r="V31" t="s">
        <v>1442</v>
      </c>
      <c r="W31" t="s">
        <v>1442</v>
      </c>
    </row>
    <row r="32" spans="1:23" x14ac:dyDescent="0.25">
      <c r="A32" s="39">
        <v>45911.737073356497</v>
      </c>
      <c r="B32" s="40">
        <v>45911</v>
      </c>
      <c r="C32" t="s">
        <v>23</v>
      </c>
      <c r="D32" t="s">
        <v>30</v>
      </c>
      <c r="E32" t="s">
        <v>31</v>
      </c>
      <c r="F32" t="s">
        <v>32</v>
      </c>
      <c r="G32" t="s">
        <v>101</v>
      </c>
      <c r="H32" t="s">
        <v>102</v>
      </c>
      <c r="I32">
        <v>1</v>
      </c>
      <c r="J32">
        <v>35.81</v>
      </c>
      <c r="K32">
        <v>-35.81</v>
      </c>
      <c r="L32">
        <v>-1</v>
      </c>
      <c r="M32">
        <v>0</v>
      </c>
      <c r="N32" t="s">
        <v>26</v>
      </c>
      <c r="O32">
        <v>0</v>
      </c>
      <c r="P32" t="s">
        <v>1442</v>
      </c>
      <c r="Q32">
        <v>0</v>
      </c>
      <c r="R32" t="s">
        <v>103</v>
      </c>
      <c r="S32" t="s">
        <v>104</v>
      </c>
      <c r="T32" t="s">
        <v>1442</v>
      </c>
      <c r="U32" t="s">
        <v>1442</v>
      </c>
      <c r="V32" t="s">
        <v>1442</v>
      </c>
      <c r="W32" t="s">
        <v>1442</v>
      </c>
    </row>
    <row r="33" spans="1:23" x14ac:dyDescent="0.25">
      <c r="A33" s="39">
        <v>45911.737073368102</v>
      </c>
      <c r="B33" s="40">
        <v>45911</v>
      </c>
      <c r="C33" t="s">
        <v>23</v>
      </c>
      <c r="D33" t="s">
        <v>30</v>
      </c>
      <c r="E33" t="s">
        <v>31</v>
      </c>
      <c r="F33" t="s">
        <v>32</v>
      </c>
      <c r="G33" t="s">
        <v>101</v>
      </c>
      <c r="H33" t="s">
        <v>102</v>
      </c>
      <c r="I33">
        <v>0.36833199999999999</v>
      </c>
      <c r="J33">
        <v>35.81</v>
      </c>
      <c r="K33">
        <v>-13.19</v>
      </c>
      <c r="L33">
        <v>0</v>
      </c>
      <c r="M33">
        <v>0</v>
      </c>
      <c r="N33" t="s">
        <v>26</v>
      </c>
      <c r="O33">
        <v>0</v>
      </c>
      <c r="P33" t="s">
        <v>1442</v>
      </c>
      <c r="Q33">
        <v>0</v>
      </c>
      <c r="R33" t="s">
        <v>105</v>
      </c>
      <c r="S33" t="s">
        <v>106</v>
      </c>
      <c r="T33" t="s">
        <v>1442</v>
      </c>
      <c r="U33" t="s">
        <v>1442</v>
      </c>
      <c r="V33" t="s">
        <v>1442</v>
      </c>
      <c r="W33" t="s">
        <v>1442</v>
      </c>
    </row>
    <row r="34" spans="1:23" x14ac:dyDescent="0.25">
      <c r="A34" s="39">
        <v>45911.981621226798</v>
      </c>
      <c r="B34" s="40">
        <v>45911</v>
      </c>
      <c r="C34" t="s">
        <v>23</v>
      </c>
      <c r="D34" t="s">
        <v>30</v>
      </c>
      <c r="E34" t="s">
        <v>31</v>
      </c>
      <c r="F34" t="s">
        <v>64</v>
      </c>
      <c r="G34" t="s">
        <v>107</v>
      </c>
      <c r="H34" t="s">
        <v>108</v>
      </c>
      <c r="I34">
        <v>2.3671950000000002</v>
      </c>
      <c r="J34">
        <v>20.6995</v>
      </c>
      <c r="K34">
        <v>-49</v>
      </c>
      <c r="L34">
        <v>-1</v>
      </c>
      <c r="M34">
        <v>0</v>
      </c>
      <c r="N34" t="s">
        <v>26</v>
      </c>
      <c r="O34">
        <v>0</v>
      </c>
      <c r="P34" t="s">
        <v>1442</v>
      </c>
      <c r="Q34">
        <v>0</v>
      </c>
      <c r="R34" t="s">
        <v>109</v>
      </c>
      <c r="S34" t="s">
        <v>110</v>
      </c>
      <c r="T34" t="s">
        <v>1442</v>
      </c>
      <c r="U34" t="s">
        <v>1442</v>
      </c>
      <c r="V34" t="s">
        <v>1442</v>
      </c>
      <c r="W34" t="s">
        <v>1442</v>
      </c>
    </row>
    <row r="35" spans="1:23" x14ac:dyDescent="0.25">
      <c r="A35" s="39">
        <v>45911.990772372701</v>
      </c>
      <c r="B35" s="40">
        <v>45911</v>
      </c>
      <c r="C35" t="s">
        <v>23</v>
      </c>
      <c r="D35" t="s">
        <v>24</v>
      </c>
      <c r="E35" t="s">
        <v>25</v>
      </c>
      <c r="F35" t="s">
        <v>1442</v>
      </c>
      <c r="G35" t="s">
        <v>1442</v>
      </c>
      <c r="H35" t="s">
        <v>1442</v>
      </c>
      <c r="I35">
        <v>0</v>
      </c>
      <c r="J35">
        <v>0</v>
      </c>
      <c r="K35">
        <v>30</v>
      </c>
      <c r="L35">
        <v>0</v>
      </c>
      <c r="M35">
        <v>0</v>
      </c>
      <c r="N35" t="s">
        <v>26</v>
      </c>
      <c r="O35">
        <v>0</v>
      </c>
      <c r="P35" t="s">
        <v>1442</v>
      </c>
      <c r="Q35">
        <v>0</v>
      </c>
      <c r="R35" t="s">
        <v>27</v>
      </c>
      <c r="S35" t="s">
        <v>111</v>
      </c>
      <c r="T35" t="s">
        <v>1442</v>
      </c>
      <c r="U35" t="s">
        <v>1442</v>
      </c>
      <c r="V35" t="s">
        <v>1442</v>
      </c>
      <c r="W35" t="s">
        <v>1442</v>
      </c>
    </row>
    <row r="36" spans="1:23" x14ac:dyDescent="0.25">
      <c r="A36" s="39">
        <v>45911.980774317097</v>
      </c>
      <c r="B36" s="40">
        <v>45911</v>
      </c>
      <c r="C36" t="s">
        <v>23</v>
      </c>
      <c r="D36" t="s">
        <v>24</v>
      </c>
      <c r="E36" t="s">
        <v>25</v>
      </c>
      <c r="F36" t="s">
        <v>1442</v>
      </c>
      <c r="G36" t="s">
        <v>1442</v>
      </c>
      <c r="H36" t="s">
        <v>1442</v>
      </c>
      <c r="I36">
        <v>0</v>
      </c>
      <c r="J36">
        <v>0</v>
      </c>
      <c r="K36">
        <v>49.01</v>
      </c>
      <c r="L36">
        <v>0</v>
      </c>
      <c r="M36">
        <v>0</v>
      </c>
      <c r="N36" t="s">
        <v>26</v>
      </c>
      <c r="O36">
        <v>0</v>
      </c>
      <c r="P36" t="s">
        <v>1442</v>
      </c>
      <c r="Q36">
        <v>0</v>
      </c>
      <c r="R36" t="s">
        <v>27</v>
      </c>
      <c r="S36" t="s">
        <v>112</v>
      </c>
      <c r="T36" t="s">
        <v>1442</v>
      </c>
      <c r="U36" t="s">
        <v>1442</v>
      </c>
      <c r="V36" t="s">
        <v>1442</v>
      </c>
      <c r="W36" t="s">
        <v>1442</v>
      </c>
    </row>
    <row r="37" spans="1:23" x14ac:dyDescent="0.25">
      <c r="A37" s="39">
        <v>45911.733647696798</v>
      </c>
      <c r="B37" s="40">
        <v>45911</v>
      </c>
      <c r="C37" t="s">
        <v>23</v>
      </c>
      <c r="D37" t="s">
        <v>24</v>
      </c>
      <c r="E37" t="s">
        <v>25</v>
      </c>
      <c r="F37" t="s">
        <v>1442</v>
      </c>
      <c r="G37" t="s">
        <v>1442</v>
      </c>
      <c r="H37" t="s">
        <v>1442</v>
      </c>
      <c r="I37">
        <v>0</v>
      </c>
      <c r="J37">
        <v>0</v>
      </c>
      <c r="K37">
        <v>200</v>
      </c>
      <c r="L37">
        <v>0</v>
      </c>
      <c r="M37">
        <v>0</v>
      </c>
      <c r="N37" t="s">
        <v>26</v>
      </c>
      <c r="O37">
        <v>0</v>
      </c>
      <c r="P37" t="s">
        <v>1442</v>
      </c>
      <c r="Q37">
        <v>0</v>
      </c>
      <c r="R37" t="s">
        <v>27</v>
      </c>
      <c r="S37" t="s">
        <v>113</v>
      </c>
      <c r="T37" t="s">
        <v>1442</v>
      </c>
      <c r="U37" t="s">
        <v>1442</v>
      </c>
      <c r="V37" t="s">
        <v>1442</v>
      </c>
      <c r="W37" t="s">
        <v>1442</v>
      </c>
    </row>
    <row r="38" spans="1:23" x14ac:dyDescent="0.25">
      <c r="A38" s="39">
        <v>45911.991932916702</v>
      </c>
      <c r="B38" s="40">
        <v>45911</v>
      </c>
      <c r="C38" t="s">
        <v>23</v>
      </c>
      <c r="D38" t="s">
        <v>30</v>
      </c>
      <c r="E38" t="s">
        <v>31</v>
      </c>
      <c r="F38" t="s">
        <v>64</v>
      </c>
      <c r="G38" t="s">
        <v>114</v>
      </c>
      <c r="H38" t="s">
        <v>115</v>
      </c>
      <c r="I38">
        <v>3.17</v>
      </c>
      <c r="J38">
        <v>3.46387</v>
      </c>
      <c r="K38">
        <v>-10.98</v>
      </c>
      <c r="L38">
        <v>-1</v>
      </c>
      <c r="M38">
        <v>0</v>
      </c>
      <c r="N38" t="s">
        <v>26</v>
      </c>
      <c r="O38">
        <v>0</v>
      </c>
      <c r="P38" t="s">
        <v>1442</v>
      </c>
      <c r="Q38">
        <v>0</v>
      </c>
      <c r="R38" t="s">
        <v>116</v>
      </c>
      <c r="S38" t="s">
        <v>117</v>
      </c>
      <c r="T38" t="s">
        <v>1442</v>
      </c>
      <c r="U38" t="s">
        <v>1442</v>
      </c>
      <c r="V38" t="s">
        <v>1442</v>
      </c>
      <c r="W38" t="s">
        <v>1442</v>
      </c>
    </row>
    <row r="39" spans="1:23" x14ac:dyDescent="0.25">
      <c r="A39" s="39">
        <v>45911.9921776505</v>
      </c>
      <c r="B39" s="40">
        <v>45911</v>
      </c>
      <c r="C39" t="s">
        <v>23</v>
      </c>
      <c r="D39" t="s">
        <v>30</v>
      </c>
      <c r="E39" t="s">
        <v>31</v>
      </c>
      <c r="F39" t="s">
        <v>64</v>
      </c>
      <c r="G39" t="s">
        <v>118</v>
      </c>
      <c r="H39" t="s">
        <v>119</v>
      </c>
      <c r="I39">
        <v>4.691738</v>
      </c>
      <c r="J39">
        <v>3.6233900000000001</v>
      </c>
      <c r="K39">
        <v>-17</v>
      </c>
      <c r="L39">
        <v>-1</v>
      </c>
      <c r="M39">
        <v>0</v>
      </c>
      <c r="N39" t="s">
        <v>26</v>
      </c>
      <c r="O39">
        <v>0</v>
      </c>
      <c r="P39" t="s">
        <v>1442</v>
      </c>
      <c r="Q39">
        <v>0</v>
      </c>
      <c r="R39" t="s">
        <v>120</v>
      </c>
      <c r="S39" t="s">
        <v>121</v>
      </c>
      <c r="T39" t="s">
        <v>1442</v>
      </c>
      <c r="U39" t="s">
        <v>1442</v>
      </c>
      <c r="V39" t="s">
        <v>1442</v>
      </c>
      <c r="W39" t="s">
        <v>1442</v>
      </c>
    </row>
    <row r="40" spans="1:23" x14ac:dyDescent="0.25">
      <c r="A40" s="39">
        <v>45916.714019213003</v>
      </c>
      <c r="B40" s="40">
        <v>45916</v>
      </c>
      <c r="C40" t="s">
        <v>23</v>
      </c>
      <c r="D40" t="s">
        <v>24</v>
      </c>
      <c r="E40" t="s">
        <v>25</v>
      </c>
      <c r="F40" t="s">
        <v>1442</v>
      </c>
      <c r="G40" t="s">
        <v>1442</v>
      </c>
      <c r="H40" t="s">
        <v>1442</v>
      </c>
      <c r="I40">
        <v>0</v>
      </c>
      <c r="J40">
        <v>0</v>
      </c>
      <c r="K40">
        <v>81</v>
      </c>
      <c r="L40">
        <v>0</v>
      </c>
      <c r="M40">
        <v>0</v>
      </c>
      <c r="N40" t="s">
        <v>26</v>
      </c>
      <c r="O40">
        <v>0</v>
      </c>
      <c r="P40" t="s">
        <v>1442</v>
      </c>
      <c r="Q40">
        <v>0</v>
      </c>
      <c r="R40" t="s">
        <v>27</v>
      </c>
      <c r="S40" t="s">
        <v>122</v>
      </c>
      <c r="T40" t="s">
        <v>1442</v>
      </c>
      <c r="U40" t="s">
        <v>1442</v>
      </c>
      <c r="V40" t="s">
        <v>1442</v>
      </c>
      <c r="W40" t="s">
        <v>1442</v>
      </c>
    </row>
    <row r="41" spans="1:23" x14ac:dyDescent="0.25">
      <c r="A41" s="39">
        <v>45916.748298669001</v>
      </c>
      <c r="B41" s="40">
        <v>45916</v>
      </c>
      <c r="C41" t="s">
        <v>23</v>
      </c>
      <c r="D41" t="s">
        <v>30</v>
      </c>
      <c r="E41" t="s">
        <v>31</v>
      </c>
      <c r="F41" t="s">
        <v>32</v>
      </c>
      <c r="G41" t="s">
        <v>123</v>
      </c>
      <c r="H41" t="s">
        <v>124</v>
      </c>
      <c r="I41">
        <v>2</v>
      </c>
      <c r="J41">
        <v>40</v>
      </c>
      <c r="K41">
        <v>-80</v>
      </c>
      <c r="L41">
        <v>-1</v>
      </c>
      <c r="M41">
        <v>0</v>
      </c>
      <c r="N41" t="s">
        <v>26</v>
      </c>
      <c r="O41">
        <v>0</v>
      </c>
      <c r="P41" t="s">
        <v>1442</v>
      </c>
      <c r="Q41">
        <v>0</v>
      </c>
      <c r="R41" t="s">
        <v>125</v>
      </c>
      <c r="S41" t="s">
        <v>126</v>
      </c>
      <c r="T41" t="s">
        <v>1442</v>
      </c>
      <c r="U41" t="s">
        <v>1442</v>
      </c>
      <c r="V41" t="s">
        <v>1442</v>
      </c>
      <c r="W41" t="s">
        <v>1442</v>
      </c>
    </row>
    <row r="42" spans="1:23" x14ac:dyDescent="0.25">
      <c r="A42" s="39">
        <v>45924.665929386603</v>
      </c>
      <c r="B42" s="40">
        <v>45924</v>
      </c>
      <c r="C42" t="s">
        <v>23</v>
      </c>
      <c r="D42" t="s">
        <v>30</v>
      </c>
      <c r="E42" t="s">
        <v>82</v>
      </c>
      <c r="F42" t="s">
        <v>32</v>
      </c>
      <c r="G42" t="s">
        <v>123</v>
      </c>
      <c r="H42" t="s">
        <v>124</v>
      </c>
      <c r="I42">
        <v>-1</v>
      </c>
      <c r="J42">
        <v>45.88</v>
      </c>
      <c r="K42">
        <v>45.88</v>
      </c>
      <c r="L42">
        <v>-1</v>
      </c>
      <c r="M42">
        <v>-0.91</v>
      </c>
      <c r="N42" t="s">
        <v>26</v>
      </c>
      <c r="O42">
        <v>0</v>
      </c>
      <c r="P42" t="s">
        <v>1442</v>
      </c>
      <c r="Q42">
        <v>0</v>
      </c>
      <c r="R42" t="s">
        <v>127</v>
      </c>
      <c r="S42" t="s">
        <v>128</v>
      </c>
      <c r="T42" t="s">
        <v>1442</v>
      </c>
      <c r="U42" t="s">
        <v>1442</v>
      </c>
      <c r="V42" t="s">
        <v>1442</v>
      </c>
      <c r="W42" t="s">
        <v>1442</v>
      </c>
    </row>
    <row r="43" spans="1:23" x14ac:dyDescent="0.25">
      <c r="A43" s="39">
        <v>45924.666172557903</v>
      </c>
      <c r="B43" s="40">
        <v>45924</v>
      </c>
      <c r="C43" t="s">
        <v>23</v>
      </c>
      <c r="D43" t="s">
        <v>30</v>
      </c>
      <c r="E43" t="s">
        <v>82</v>
      </c>
      <c r="F43" t="s">
        <v>32</v>
      </c>
      <c r="G43" t="s">
        <v>33</v>
      </c>
      <c r="H43" t="s">
        <v>34</v>
      </c>
      <c r="I43">
        <v>-0.50466200000000005</v>
      </c>
      <c r="J43">
        <v>101.7</v>
      </c>
      <c r="K43">
        <v>51.32</v>
      </c>
      <c r="L43">
        <v>-1</v>
      </c>
      <c r="M43">
        <v>-1.01</v>
      </c>
      <c r="N43" t="s">
        <v>26</v>
      </c>
      <c r="O43">
        <v>0</v>
      </c>
      <c r="P43" t="s">
        <v>1442</v>
      </c>
      <c r="Q43">
        <v>0</v>
      </c>
      <c r="R43" t="s">
        <v>129</v>
      </c>
      <c r="S43" t="s">
        <v>130</v>
      </c>
      <c r="T43" t="s">
        <v>1442</v>
      </c>
      <c r="U43" t="s">
        <v>1442</v>
      </c>
      <c r="V43" t="s">
        <v>1442</v>
      </c>
      <c r="W43" t="s">
        <v>1442</v>
      </c>
    </row>
    <row r="44" spans="1:23" x14ac:dyDescent="0.25">
      <c r="A44" s="39">
        <v>45924.716028750001</v>
      </c>
      <c r="B44" s="40">
        <v>45924</v>
      </c>
      <c r="C44" t="s">
        <v>23</v>
      </c>
      <c r="D44" t="s">
        <v>30</v>
      </c>
      <c r="E44" t="s">
        <v>82</v>
      </c>
      <c r="F44" t="s">
        <v>32</v>
      </c>
      <c r="G44" t="s">
        <v>40</v>
      </c>
      <c r="H44" t="s">
        <v>41</v>
      </c>
      <c r="I44">
        <v>-1</v>
      </c>
      <c r="J44">
        <v>151.56</v>
      </c>
      <c r="K44">
        <v>151.56</v>
      </c>
      <c r="L44">
        <v>-1</v>
      </c>
      <c r="M44">
        <v>-1.58</v>
      </c>
      <c r="N44" t="s">
        <v>26</v>
      </c>
      <c r="O44">
        <v>0</v>
      </c>
      <c r="P44" t="s">
        <v>1442</v>
      </c>
      <c r="Q44">
        <v>0</v>
      </c>
      <c r="R44" t="s">
        <v>131</v>
      </c>
      <c r="S44" t="s">
        <v>132</v>
      </c>
      <c r="T44" t="s">
        <v>1442</v>
      </c>
      <c r="U44" t="s">
        <v>1442</v>
      </c>
      <c r="V44" t="s">
        <v>1442</v>
      </c>
      <c r="W44" t="s">
        <v>1442</v>
      </c>
    </row>
    <row r="45" spans="1:23" x14ac:dyDescent="0.25">
      <c r="A45" s="39">
        <v>45924.716028830997</v>
      </c>
      <c r="B45" s="40">
        <v>45924</v>
      </c>
      <c r="C45" t="s">
        <v>23</v>
      </c>
      <c r="D45" t="s">
        <v>30</v>
      </c>
      <c r="E45" t="s">
        <v>82</v>
      </c>
      <c r="F45" t="s">
        <v>32</v>
      </c>
      <c r="G45" t="s">
        <v>40</v>
      </c>
      <c r="H45" t="s">
        <v>41</v>
      </c>
      <c r="I45">
        <v>-0.32744200000000001</v>
      </c>
      <c r="J45">
        <v>151.56</v>
      </c>
      <c r="K45">
        <v>49.63</v>
      </c>
      <c r="L45">
        <v>0</v>
      </c>
      <c r="M45">
        <v>-0.02</v>
      </c>
      <c r="N45" t="s">
        <v>26</v>
      </c>
      <c r="O45">
        <v>0</v>
      </c>
      <c r="P45" t="s">
        <v>1442</v>
      </c>
      <c r="Q45">
        <v>0</v>
      </c>
      <c r="R45" t="s">
        <v>133</v>
      </c>
      <c r="S45" t="s">
        <v>134</v>
      </c>
      <c r="T45" t="s">
        <v>1442</v>
      </c>
      <c r="U45" t="s">
        <v>1442</v>
      </c>
      <c r="V45" t="s">
        <v>1442</v>
      </c>
      <c r="W45" t="s">
        <v>1442</v>
      </c>
    </row>
    <row r="46" spans="1:23" x14ac:dyDescent="0.25">
      <c r="A46" s="39">
        <v>45924.716160810203</v>
      </c>
      <c r="B46" s="40">
        <v>45924</v>
      </c>
      <c r="C46" t="s">
        <v>23</v>
      </c>
      <c r="D46" t="s">
        <v>30</v>
      </c>
      <c r="E46" t="s">
        <v>82</v>
      </c>
      <c r="F46" t="s">
        <v>32</v>
      </c>
      <c r="G46" t="s">
        <v>95</v>
      </c>
      <c r="H46" t="s">
        <v>96</v>
      </c>
      <c r="I46">
        <v>-1</v>
      </c>
      <c r="J46">
        <v>153.46</v>
      </c>
      <c r="K46">
        <v>153.46</v>
      </c>
      <c r="L46">
        <v>-1</v>
      </c>
      <c r="M46">
        <v>-2.6</v>
      </c>
      <c r="N46" t="s">
        <v>26</v>
      </c>
      <c r="O46">
        <v>0</v>
      </c>
      <c r="P46" t="s">
        <v>1442</v>
      </c>
      <c r="Q46">
        <v>0</v>
      </c>
      <c r="R46" t="s">
        <v>135</v>
      </c>
      <c r="S46" t="s">
        <v>136</v>
      </c>
      <c r="T46" t="s">
        <v>1442</v>
      </c>
      <c r="U46" t="s">
        <v>1442</v>
      </c>
      <c r="V46" t="s">
        <v>1442</v>
      </c>
      <c r="W46" t="s">
        <v>1442</v>
      </c>
    </row>
    <row r="47" spans="1:23" x14ac:dyDescent="0.25">
      <c r="A47" s="39">
        <v>45924.716160821801</v>
      </c>
      <c r="B47" s="40">
        <v>45924</v>
      </c>
      <c r="C47" t="s">
        <v>23</v>
      </c>
      <c r="D47" t="s">
        <v>30</v>
      </c>
      <c r="E47" t="s">
        <v>82</v>
      </c>
      <c r="F47" t="s">
        <v>32</v>
      </c>
      <c r="G47" t="s">
        <v>95</v>
      </c>
      <c r="H47" t="s">
        <v>96</v>
      </c>
      <c r="I47">
        <v>-5.2408000000000003E-2</v>
      </c>
      <c r="J47">
        <v>153.46</v>
      </c>
      <c r="K47">
        <v>8.0399999999999991</v>
      </c>
      <c r="L47">
        <v>0</v>
      </c>
      <c r="M47">
        <v>-0.16</v>
      </c>
      <c r="N47" t="s">
        <v>26</v>
      </c>
      <c r="O47">
        <v>0</v>
      </c>
      <c r="P47" t="s">
        <v>1442</v>
      </c>
      <c r="Q47">
        <v>0</v>
      </c>
      <c r="R47" t="s">
        <v>137</v>
      </c>
      <c r="S47" t="s">
        <v>138</v>
      </c>
      <c r="T47" t="s">
        <v>1442</v>
      </c>
      <c r="U47" t="s">
        <v>1442</v>
      </c>
      <c r="V47" t="s">
        <v>1442</v>
      </c>
      <c r="W47" t="s">
        <v>1442</v>
      </c>
    </row>
    <row r="48" spans="1:23" x14ac:dyDescent="0.25">
      <c r="A48" s="39">
        <v>45924.716332974502</v>
      </c>
      <c r="B48" s="40">
        <v>45924</v>
      </c>
      <c r="C48" t="s">
        <v>23</v>
      </c>
      <c r="D48" t="s">
        <v>30</v>
      </c>
      <c r="E48" t="s">
        <v>82</v>
      </c>
      <c r="F48" t="s">
        <v>32</v>
      </c>
      <c r="G48" t="s">
        <v>47</v>
      </c>
      <c r="H48" t="s">
        <v>48</v>
      </c>
      <c r="I48">
        <v>-1.7408E-2</v>
      </c>
      <c r="J48">
        <v>98.48</v>
      </c>
      <c r="K48">
        <v>1.71</v>
      </c>
      <c r="L48">
        <v>0</v>
      </c>
      <c r="M48">
        <v>-0.04</v>
      </c>
      <c r="N48" t="s">
        <v>26</v>
      </c>
      <c r="O48">
        <v>0</v>
      </c>
      <c r="P48" t="s">
        <v>1442</v>
      </c>
      <c r="Q48">
        <v>0</v>
      </c>
      <c r="R48" t="s">
        <v>139</v>
      </c>
      <c r="S48" t="s">
        <v>140</v>
      </c>
      <c r="T48" t="s">
        <v>1442</v>
      </c>
      <c r="U48" t="s">
        <v>1442</v>
      </c>
      <c r="V48" t="s">
        <v>1442</v>
      </c>
      <c r="W48" t="s">
        <v>1442</v>
      </c>
    </row>
    <row r="49" spans="1:23" x14ac:dyDescent="0.25">
      <c r="A49" s="39">
        <v>45924.7163330556</v>
      </c>
      <c r="B49" s="40">
        <v>45924</v>
      </c>
      <c r="C49" t="s">
        <v>23</v>
      </c>
      <c r="D49" t="s">
        <v>30</v>
      </c>
      <c r="E49" t="s">
        <v>82</v>
      </c>
      <c r="F49" t="s">
        <v>32</v>
      </c>
      <c r="G49" t="s">
        <v>47</v>
      </c>
      <c r="H49" t="s">
        <v>48</v>
      </c>
      <c r="I49">
        <v>-1</v>
      </c>
      <c r="J49">
        <v>98.48</v>
      </c>
      <c r="K49">
        <v>98.48</v>
      </c>
      <c r="L49">
        <v>-1</v>
      </c>
      <c r="M49">
        <v>-2.12</v>
      </c>
      <c r="N49" t="s">
        <v>26</v>
      </c>
      <c r="O49">
        <v>0</v>
      </c>
      <c r="P49" t="s">
        <v>1442</v>
      </c>
      <c r="Q49">
        <v>0</v>
      </c>
      <c r="R49" t="s">
        <v>141</v>
      </c>
      <c r="S49" t="s">
        <v>142</v>
      </c>
      <c r="T49" t="s">
        <v>1442</v>
      </c>
      <c r="U49" t="s">
        <v>1442</v>
      </c>
      <c r="V49" t="s">
        <v>1442</v>
      </c>
      <c r="W49" t="s">
        <v>1442</v>
      </c>
    </row>
    <row r="50" spans="1:23" x14ac:dyDescent="0.25">
      <c r="A50" s="39">
        <v>45924.716463553203</v>
      </c>
      <c r="B50" s="40">
        <v>45924</v>
      </c>
      <c r="C50" t="s">
        <v>23</v>
      </c>
      <c r="D50" t="s">
        <v>30</v>
      </c>
      <c r="E50" t="s">
        <v>82</v>
      </c>
      <c r="F50" t="s">
        <v>32</v>
      </c>
      <c r="G50" t="s">
        <v>89</v>
      </c>
      <c r="H50" t="s">
        <v>90</v>
      </c>
      <c r="I50">
        <v>-1</v>
      </c>
      <c r="J50">
        <v>77.790000000000006</v>
      </c>
      <c r="K50">
        <v>77.790000000000006</v>
      </c>
      <c r="L50">
        <v>-1</v>
      </c>
      <c r="M50">
        <v>-1.63</v>
      </c>
      <c r="N50" t="s">
        <v>26</v>
      </c>
      <c r="O50">
        <v>0</v>
      </c>
      <c r="P50" t="s">
        <v>1442</v>
      </c>
      <c r="Q50">
        <v>0</v>
      </c>
      <c r="R50" t="s">
        <v>143</v>
      </c>
      <c r="S50" t="s">
        <v>144</v>
      </c>
      <c r="T50" t="s">
        <v>1442</v>
      </c>
      <c r="U50" t="s">
        <v>1442</v>
      </c>
      <c r="V50" t="s">
        <v>1442</v>
      </c>
      <c r="W50" t="s">
        <v>1442</v>
      </c>
    </row>
    <row r="51" spans="1:23" x14ac:dyDescent="0.25">
      <c r="A51" s="39">
        <v>45924.716473738401</v>
      </c>
      <c r="B51" s="40">
        <v>45924</v>
      </c>
      <c r="C51" t="s">
        <v>23</v>
      </c>
      <c r="D51" t="s">
        <v>30</v>
      </c>
      <c r="E51" t="s">
        <v>82</v>
      </c>
      <c r="F51" t="s">
        <v>32</v>
      </c>
      <c r="G51" t="s">
        <v>89</v>
      </c>
      <c r="H51" t="s">
        <v>90</v>
      </c>
      <c r="I51">
        <v>-0.13489399999999999</v>
      </c>
      <c r="J51">
        <v>77.790000000000006</v>
      </c>
      <c r="K51">
        <v>10.49</v>
      </c>
      <c r="L51">
        <v>0</v>
      </c>
      <c r="M51">
        <v>-0.28999999999999998</v>
      </c>
      <c r="N51" t="s">
        <v>26</v>
      </c>
      <c r="O51">
        <v>0</v>
      </c>
      <c r="P51" t="s">
        <v>1442</v>
      </c>
      <c r="Q51">
        <v>0</v>
      </c>
      <c r="R51" t="s">
        <v>145</v>
      </c>
      <c r="S51" t="s">
        <v>146</v>
      </c>
      <c r="T51" t="s">
        <v>1442</v>
      </c>
      <c r="U51" t="s">
        <v>1442</v>
      </c>
      <c r="V51" t="s">
        <v>1442</v>
      </c>
      <c r="W51" t="s">
        <v>1442</v>
      </c>
    </row>
    <row r="52" spans="1:23" x14ac:dyDescent="0.25">
      <c r="A52" s="39">
        <v>45924.718084687498</v>
      </c>
      <c r="B52" s="40">
        <v>45924</v>
      </c>
      <c r="C52" t="s">
        <v>23</v>
      </c>
      <c r="D52" t="s">
        <v>30</v>
      </c>
      <c r="E52" t="s">
        <v>82</v>
      </c>
      <c r="F52" t="s">
        <v>32</v>
      </c>
      <c r="G52" t="s">
        <v>33</v>
      </c>
      <c r="H52" t="s">
        <v>34</v>
      </c>
      <c r="I52">
        <v>-0.50466299999999997</v>
      </c>
      <c r="J52">
        <v>103.8</v>
      </c>
      <c r="K52">
        <v>52.38</v>
      </c>
      <c r="L52">
        <v>-1</v>
      </c>
      <c r="M52">
        <v>-1.28</v>
      </c>
      <c r="N52" t="s">
        <v>26</v>
      </c>
      <c r="O52">
        <v>0</v>
      </c>
      <c r="P52" t="s">
        <v>1442</v>
      </c>
      <c r="Q52">
        <v>0</v>
      </c>
      <c r="R52" t="s">
        <v>147</v>
      </c>
      <c r="S52" t="s">
        <v>148</v>
      </c>
      <c r="T52" t="s">
        <v>1442</v>
      </c>
      <c r="U52" t="s">
        <v>1442</v>
      </c>
      <c r="V52" t="s">
        <v>1442</v>
      </c>
      <c r="W52" t="s">
        <v>1442</v>
      </c>
    </row>
    <row r="53" spans="1:23" x14ac:dyDescent="0.25">
      <c r="A53" s="39">
        <v>45924.718224768498</v>
      </c>
      <c r="B53" s="40">
        <v>45924</v>
      </c>
      <c r="C53" t="s">
        <v>23</v>
      </c>
      <c r="D53" t="s">
        <v>30</v>
      </c>
      <c r="E53" t="s">
        <v>82</v>
      </c>
      <c r="F53" t="s">
        <v>32</v>
      </c>
      <c r="G53" t="s">
        <v>123</v>
      </c>
      <c r="H53" t="s">
        <v>124</v>
      </c>
      <c r="I53">
        <v>-1</v>
      </c>
      <c r="J53">
        <v>46.42</v>
      </c>
      <c r="K53">
        <v>46.42</v>
      </c>
      <c r="L53">
        <v>-1</v>
      </c>
      <c r="M53">
        <v>-1.29</v>
      </c>
      <c r="N53" t="s">
        <v>26</v>
      </c>
      <c r="O53">
        <v>0</v>
      </c>
      <c r="P53" t="s">
        <v>1442</v>
      </c>
      <c r="Q53">
        <v>0</v>
      </c>
      <c r="R53" t="s">
        <v>127</v>
      </c>
      <c r="S53" t="s">
        <v>149</v>
      </c>
      <c r="T53" t="s">
        <v>1442</v>
      </c>
      <c r="U53" t="s">
        <v>1442</v>
      </c>
      <c r="V53" t="s">
        <v>1442</v>
      </c>
      <c r="W53" t="s">
        <v>1442</v>
      </c>
    </row>
    <row r="54" spans="1:23" x14ac:dyDescent="0.25">
      <c r="A54" s="39">
        <v>45924.721522036998</v>
      </c>
      <c r="B54" s="40">
        <v>45924</v>
      </c>
      <c r="C54" t="s">
        <v>23</v>
      </c>
      <c r="D54" t="s">
        <v>30</v>
      </c>
      <c r="E54" t="s">
        <v>82</v>
      </c>
      <c r="F54" t="s">
        <v>32</v>
      </c>
      <c r="G54" t="s">
        <v>76</v>
      </c>
      <c r="H54" t="s">
        <v>77</v>
      </c>
      <c r="I54">
        <v>-0.18687799999999999</v>
      </c>
      <c r="J54">
        <v>11.63</v>
      </c>
      <c r="K54">
        <v>2.17</v>
      </c>
      <c r="L54">
        <v>0</v>
      </c>
      <c r="M54">
        <v>-7.0000000000000007E-2</v>
      </c>
      <c r="N54" t="s">
        <v>26</v>
      </c>
      <c r="O54">
        <v>0</v>
      </c>
      <c r="P54" t="s">
        <v>1442</v>
      </c>
      <c r="Q54">
        <v>0</v>
      </c>
      <c r="R54" t="s">
        <v>150</v>
      </c>
      <c r="S54" t="s">
        <v>151</v>
      </c>
      <c r="T54" t="s">
        <v>1442</v>
      </c>
      <c r="U54" t="s">
        <v>1442</v>
      </c>
      <c r="V54" t="s">
        <v>1442</v>
      </c>
      <c r="W54" t="s">
        <v>1442</v>
      </c>
    </row>
    <row r="55" spans="1:23" x14ac:dyDescent="0.25">
      <c r="A55" s="39">
        <v>45924.721522048603</v>
      </c>
      <c r="B55" s="40">
        <v>45924</v>
      </c>
      <c r="C55" t="s">
        <v>23</v>
      </c>
      <c r="D55" t="s">
        <v>30</v>
      </c>
      <c r="E55" t="s">
        <v>82</v>
      </c>
      <c r="F55" t="s">
        <v>32</v>
      </c>
      <c r="G55" t="s">
        <v>76</v>
      </c>
      <c r="H55" t="s">
        <v>77</v>
      </c>
      <c r="I55">
        <v>-2</v>
      </c>
      <c r="J55">
        <v>11.63</v>
      </c>
      <c r="K55">
        <v>23.26</v>
      </c>
      <c r="L55">
        <v>-1</v>
      </c>
      <c r="M55">
        <v>-0.3</v>
      </c>
      <c r="N55" t="s">
        <v>26</v>
      </c>
      <c r="O55">
        <v>0</v>
      </c>
      <c r="P55" t="s">
        <v>1442</v>
      </c>
      <c r="Q55">
        <v>0</v>
      </c>
      <c r="R55" t="s">
        <v>152</v>
      </c>
      <c r="S55" t="s">
        <v>153</v>
      </c>
      <c r="T55" t="s">
        <v>1442</v>
      </c>
      <c r="U55" t="s">
        <v>1442</v>
      </c>
      <c r="V55" t="s">
        <v>1442</v>
      </c>
      <c r="W55" t="s">
        <v>1442</v>
      </c>
    </row>
    <row r="56" spans="1:23" x14ac:dyDescent="0.25">
      <c r="A56" s="39">
        <v>45926.874781273102</v>
      </c>
      <c r="B56" s="40">
        <v>45926</v>
      </c>
      <c r="C56" t="s">
        <v>23</v>
      </c>
      <c r="D56" t="s">
        <v>30</v>
      </c>
      <c r="E56" t="s">
        <v>31</v>
      </c>
      <c r="F56" t="s">
        <v>32</v>
      </c>
      <c r="G56" t="s">
        <v>154</v>
      </c>
      <c r="H56" t="s">
        <v>155</v>
      </c>
      <c r="I56">
        <v>4</v>
      </c>
      <c r="J56">
        <v>22.83</v>
      </c>
      <c r="K56">
        <v>-91.32</v>
      </c>
      <c r="L56">
        <v>-1</v>
      </c>
      <c r="M56">
        <v>0</v>
      </c>
      <c r="N56" t="s">
        <v>26</v>
      </c>
      <c r="O56">
        <v>0</v>
      </c>
      <c r="P56" t="s">
        <v>1442</v>
      </c>
      <c r="Q56">
        <v>0</v>
      </c>
      <c r="R56" t="s">
        <v>156</v>
      </c>
      <c r="S56" t="s">
        <v>157</v>
      </c>
      <c r="T56" t="s">
        <v>1442</v>
      </c>
      <c r="U56" t="s">
        <v>1442</v>
      </c>
      <c r="V56" t="s">
        <v>1442</v>
      </c>
      <c r="W56" t="s">
        <v>1442</v>
      </c>
    </row>
    <row r="57" spans="1:23" x14ac:dyDescent="0.25">
      <c r="A57" s="39">
        <v>45926.8747812847</v>
      </c>
      <c r="B57" s="40">
        <v>45926</v>
      </c>
      <c r="C57" t="s">
        <v>23</v>
      </c>
      <c r="D57" t="s">
        <v>30</v>
      </c>
      <c r="E57" t="s">
        <v>31</v>
      </c>
      <c r="F57" t="s">
        <v>32</v>
      </c>
      <c r="G57" t="s">
        <v>154</v>
      </c>
      <c r="H57" t="s">
        <v>155</v>
      </c>
      <c r="I57">
        <v>0.33450000000000002</v>
      </c>
      <c r="J57">
        <v>22.83</v>
      </c>
      <c r="K57">
        <v>-7.64</v>
      </c>
      <c r="L57">
        <v>0</v>
      </c>
      <c r="M57">
        <v>0</v>
      </c>
      <c r="N57" t="s">
        <v>26</v>
      </c>
      <c r="O57">
        <v>0</v>
      </c>
      <c r="P57" t="s">
        <v>1442</v>
      </c>
      <c r="Q57">
        <v>0</v>
      </c>
      <c r="R57" t="s">
        <v>158</v>
      </c>
      <c r="S57" t="s">
        <v>159</v>
      </c>
      <c r="T57" t="s">
        <v>1442</v>
      </c>
      <c r="U57" t="s">
        <v>1442</v>
      </c>
      <c r="V57" t="s">
        <v>1442</v>
      </c>
      <c r="W57" t="s">
        <v>1442</v>
      </c>
    </row>
    <row r="58" spans="1:23" x14ac:dyDescent="0.25">
      <c r="A58" s="39">
        <v>45926.9454648264</v>
      </c>
      <c r="B58" s="40">
        <v>45926</v>
      </c>
      <c r="C58" t="s">
        <v>23</v>
      </c>
      <c r="D58" t="s">
        <v>24</v>
      </c>
      <c r="E58" t="s">
        <v>25</v>
      </c>
      <c r="F58" t="s">
        <v>1442</v>
      </c>
      <c r="G58" t="s">
        <v>1442</v>
      </c>
      <c r="H58" t="s">
        <v>1442</v>
      </c>
      <c r="I58">
        <v>0</v>
      </c>
      <c r="J58">
        <v>0</v>
      </c>
      <c r="K58">
        <v>100</v>
      </c>
      <c r="L58">
        <v>0</v>
      </c>
      <c r="M58">
        <v>0</v>
      </c>
      <c r="N58" t="s">
        <v>26</v>
      </c>
      <c r="O58">
        <v>0</v>
      </c>
      <c r="P58" t="s">
        <v>1442</v>
      </c>
      <c r="Q58">
        <v>0</v>
      </c>
      <c r="R58" t="s">
        <v>27</v>
      </c>
      <c r="S58" t="s">
        <v>160</v>
      </c>
      <c r="T58" t="s">
        <v>1442</v>
      </c>
      <c r="U58" t="s">
        <v>1442</v>
      </c>
      <c r="V58" t="s">
        <v>1442</v>
      </c>
      <c r="W58" t="s">
        <v>1442</v>
      </c>
    </row>
    <row r="59" spans="1:23" x14ac:dyDescent="0.25">
      <c r="A59" s="39">
        <v>45926.319023784701</v>
      </c>
      <c r="B59" s="40">
        <v>45926</v>
      </c>
      <c r="C59" t="s">
        <v>23</v>
      </c>
      <c r="D59" t="s">
        <v>24</v>
      </c>
      <c r="E59" t="s">
        <v>161</v>
      </c>
      <c r="F59" t="s">
        <v>1442</v>
      </c>
      <c r="G59" t="s">
        <v>1442</v>
      </c>
      <c r="H59" t="s">
        <v>1442</v>
      </c>
      <c r="I59">
        <v>0</v>
      </c>
      <c r="J59">
        <v>0</v>
      </c>
      <c r="K59">
        <v>-750</v>
      </c>
      <c r="L59">
        <v>0</v>
      </c>
      <c r="M59">
        <v>0</v>
      </c>
      <c r="N59" t="s">
        <v>26</v>
      </c>
      <c r="O59">
        <v>0</v>
      </c>
      <c r="P59" t="s">
        <v>1442</v>
      </c>
      <c r="Q59">
        <v>0</v>
      </c>
      <c r="R59" t="s">
        <v>162</v>
      </c>
      <c r="S59" t="s">
        <v>163</v>
      </c>
      <c r="T59" t="s">
        <v>1442</v>
      </c>
      <c r="U59" t="s">
        <v>1442</v>
      </c>
      <c r="V59" t="s">
        <v>1442</v>
      </c>
      <c r="W59" t="s">
        <v>1442</v>
      </c>
    </row>
    <row r="60" spans="1:23" x14ac:dyDescent="0.25">
      <c r="A60" s="39">
        <v>45926.872015381901</v>
      </c>
      <c r="B60" s="40">
        <v>45926</v>
      </c>
      <c r="C60" t="s">
        <v>23</v>
      </c>
      <c r="D60" t="s">
        <v>24</v>
      </c>
      <c r="E60" t="s">
        <v>25</v>
      </c>
      <c r="F60" t="s">
        <v>1442</v>
      </c>
      <c r="G60" t="s">
        <v>1442</v>
      </c>
      <c r="H60" t="s">
        <v>1442</v>
      </c>
      <c r="I60">
        <v>0</v>
      </c>
      <c r="J60">
        <v>0</v>
      </c>
      <c r="K60">
        <v>100</v>
      </c>
      <c r="L60">
        <v>0</v>
      </c>
      <c r="M60">
        <v>0</v>
      </c>
      <c r="N60" t="s">
        <v>26</v>
      </c>
      <c r="O60">
        <v>0</v>
      </c>
      <c r="P60" t="s">
        <v>1442</v>
      </c>
      <c r="Q60">
        <v>0</v>
      </c>
      <c r="R60" t="s">
        <v>27</v>
      </c>
      <c r="S60" t="s">
        <v>164</v>
      </c>
      <c r="T60" t="s">
        <v>1442</v>
      </c>
      <c r="U60" t="s">
        <v>1442</v>
      </c>
      <c r="V60" t="s">
        <v>1442</v>
      </c>
      <c r="W60" t="s">
        <v>1442</v>
      </c>
    </row>
    <row r="61" spans="1:23" x14ac:dyDescent="0.25">
      <c r="A61" s="39">
        <v>45928.537476458303</v>
      </c>
      <c r="B61" s="40">
        <v>45928</v>
      </c>
      <c r="C61" t="s">
        <v>23</v>
      </c>
      <c r="D61" t="s">
        <v>24</v>
      </c>
      <c r="E61" t="s">
        <v>161</v>
      </c>
      <c r="F61" t="s">
        <v>1442</v>
      </c>
      <c r="G61" t="s">
        <v>1442</v>
      </c>
      <c r="H61" t="s">
        <v>1442</v>
      </c>
      <c r="I61">
        <v>0</v>
      </c>
      <c r="J61">
        <v>0</v>
      </c>
      <c r="K61">
        <v>-100</v>
      </c>
      <c r="L61">
        <v>0</v>
      </c>
      <c r="M61">
        <v>0</v>
      </c>
      <c r="N61" t="s">
        <v>26</v>
      </c>
      <c r="O61">
        <v>0</v>
      </c>
      <c r="P61" t="s">
        <v>1442</v>
      </c>
      <c r="Q61">
        <v>0</v>
      </c>
      <c r="R61" t="s">
        <v>162</v>
      </c>
      <c r="S61" t="s">
        <v>165</v>
      </c>
      <c r="T61" t="s">
        <v>1442</v>
      </c>
      <c r="U61" t="s">
        <v>1442</v>
      </c>
      <c r="V61" t="s">
        <v>1442</v>
      </c>
      <c r="W61" t="s">
        <v>1442</v>
      </c>
    </row>
    <row r="62" spans="1:23" x14ac:dyDescent="0.25">
      <c r="A62" s="39">
        <v>45930.407963402802</v>
      </c>
      <c r="B62" s="40">
        <v>45930</v>
      </c>
      <c r="C62" t="s">
        <v>23</v>
      </c>
      <c r="D62" t="s">
        <v>24</v>
      </c>
      <c r="E62" t="s">
        <v>25</v>
      </c>
      <c r="F62" t="s">
        <v>1442</v>
      </c>
      <c r="G62" t="s">
        <v>1442</v>
      </c>
      <c r="H62" t="s">
        <v>1442</v>
      </c>
      <c r="I62">
        <v>0</v>
      </c>
      <c r="J62">
        <v>0</v>
      </c>
      <c r="K62">
        <v>51</v>
      </c>
      <c r="L62">
        <v>0</v>
      </c>
      <c r="M62">
        <v>0</v>
      </c>
      <c r="N62" t="s">
        <v>26</v>
      </c>
      <c r="O62">
        <v>0</v>
      </c>
      <c r="P62" t="s">
        <v>1442</v>
      </c>
      <c r="Q62">
        <v>0</v>
      </c>
      <c r="R62" t="s">
        <v>27</v>
      </c>
      <c r="S62" t="s">
        <v>166</v>
      </c>
      <c r="T62" t="s">
        <v>1442</v>
      </c>
      <c r="U62" t="s">
        <v>1442</v>
      </c>
      <c r="V62" t="s">
        <v>1442</v>
      </c>
      <c r="W62" t="s">
        <v>1442</v>
      </c>
    </row>
    <row r="63" spans="1:23" x14ac:dyDescent="0.25">
      <c r="A63" s="39">
        <v>45930.408812777801</v>
      </c>
      <c r="B63" s="40">
        <v>45930</v>
      </c>
      <c r="C63" t="s">
        <v>23</v>
      </c>
      <c r="D63" t="s">
        <v>30</v>
      </c>
      <c r="E63" t="s">
        <v>31</v>
      </c>
      <c r="F63" t="s">
        <v>32</v>
      </c>
      <c r="G63" t="s">
        <v>167</v>
      </c>
      <c r="H63" t="s">
        <v>168</v>
      </c>
      <c r="I63">
        <v>17</v>
      </c>
      <c r="J63">
        <v>2.8</v>
      </c>
      <c r="K63">
        <v>-47.6</v>
      </c>
      <c r="L63">
        <v>-1</v>
      </c>
      <c r="M63">
        <v>0</v>
      </c>
      <c r="N63" t="s">
        <v>26</v>
      </c>
      <c r="O63">
        <v>0</v>
      </c>
      <c r="P63" t="s">
        <v>1442</v>
      </c>
      <c r="Q63">
        <v>0</v>
      </c>
      <c r="R63" t="s">
        <v>169</v>
      </c>
      <c r="S63" t="s">
        <v>170</v>
      </c>
      <c r="T63" t="s">
        <v>1442</v>
      </c>
      <c r="U63" t="s">
        <v>1442</v>
      </c>
      <c r="V63" t="s">
        <v>1442</v>
      </c>
      <c r="W63" t="s">
        <v>1442</v>
      </c>
    </row>
    <row r="64" spans="1:23" x14ac:dyDescent="0.25">
      <c r="A64" s="39">
        <v>45930.408812789297</v>
      </c>
      <c r="B64" s="40">
        <v>45930</v>
      </c>
      <c r="C64" t="s">
        <v>23</v>
      </c>
      <c r="D64" t="s">
        <v>30</v>
      </c>
      <c r="E64" t="s">
        <v>31</v>
      </c>
      <c r="F64" t="s">
        <v>32</v>
      </c>
      <c r="G64" t="s">
        <v>167</v>
      </c>
      <c r="H64" t="s">
        <v>168</v>
      </c>
      <c r="I64">
        <v>0.85714199999999996</v>
      </c>
      <c r="J64">
        <v>2.8</v>
      </c>
      <c r="K64">
        <v>-2.4</v>
      </c>
      <c r="L64">
        <v>0</v>
      </c>
      <c r="M64">
        <v>0</v>
      </c>
      <c r="N64" t="s">
        <v>26</v>
      </c>
      <c r="O64">
        <v>0</v>
      </c>
      <c r="P64" t="s">
        <v>1442</v>
      </c>
      <c r="Q64">
        <v>0</v>
      </c>
      <c r="R64" t="s">
        <v>171</v>
      </c>
      <c r="S64" t="s">
        <v>172</v>
      </c>
      <c r="T64" t="s">
        <v>1442</v>
      </c>
      <c r="U64" t="s">
        <v>1442</v>
      </c>
      <c r="V64" t="s">
        <v>1442</v>
      </c>
      <c r="W64" t="s">
        <v>1442</v>
      </c>
    </row>
    <row r="65" spans="1:23" x14ac:dyDescent="0.25">
      <c r="A65" s="39">
        <v>45931.636972511602</v>
      </c>
      <c r="B65" s="40">
        <v>45931</v>
      </c>
      <c r="C65" t="s">
        <v>23</v>
      </c>
      <c r="D65" t="s">
        <v>30</v>
      </c>
      <c r="E65" t="s">
        <v>31</v>
      </c>
      <c r="F65" t="s">
        <v>32</v>
      </c>
      <c r="G65" t="s">
        <v>154</v>
      </c>
      <c r="H65" t="s">
        <v>155</v>
      </c>
      <c r="I65">
        <v>2</v>
      </c>
      <c r="J65">
        <v>20.72</v>
      </c>
      <c r="K65">
        <v>-41.44</v>
      </c>
      <c r="L65">
        <v>-1</v>
      </c>
      <c r="M65">
        <v>0</v>
      </c>
      <c r="N65" t="s">
        <v>26</v>
      </c>
      <c r="O65">
        <v>0</v>
      </c>
      <c r="P65" t="s">
        <v>1442</v>
      </c>
      <c r="Q65">
        <v>0</v>
      </c>
      <c r="R65" t="s">
        <v>173</v>
      </c>
      <c r="S65" t="s">
        <v>174</v>
      </c>
      <c r="T65" t="s">
        <v>1442</v>
      </c>
      <c r="U65" t="s">
        <v>1442</v>
      </c>
      <c r="V65" t="s">
        <v>1442</v>
      </c>
      <c r="W65" t="s">
        <v>1442</v>
      </c>
    </row>
    <row r="66" spans="1:23" x14ac:dyDescent="0.25">
      <c r="A66" s="39">
        <v>45931.636972511602</v>
      </c>
      <c r="B66" s="40">
        <v>45931</v>
      </c>
      <c r="C66" t="s">
        <v>23</v>
      </c>
      <c r="D66" t="s">
        <v>30</v>
      </c>
      <c r="E66" t="s">
        <v>31</v>
      </c>
      <c r="F66" t="s">
        <v>32</v>
      </c>
      <c r="G66" t="s">
        <v>154</v>
      </c>
      <c r="H66" t="s">
        <v>155</v>
      </c>
      <c r="I66">
        <v>0.36486400000000002</v>
      </c>
      <c r="J66">
        <v>20.72</v>
      </c>
      <c r="K66">
        <v>-7.56</v>
      </c>
      <c r="L66">
        <v>0</v>
      </c>
      <c r="M66">
        <v>0</v>
      </c>
      <c r="N66" t="s">
        <v>26</v>
      </c>
      <c r="O66">
        <v>0</v>
      </c>
      <c r="P66" t="s">
        <v>1442</v>
      </c>
      <c r="Q66">
        <v>0</v>
      </c>
      <c r="R66" t="s">
        <v>175</v>
      </c>
      <c r="S66" t="s">
        <v>176</v>
      </c>
      <c r="T66" t="s">
        <v>1442</v>
      </c>
      <c r="U66" t="s">
        <v>1442</v>
      </c>
      <c r="V66" t="s">
        <v>1442</v>
      </c>
      <c r="W66" t="s">
        <v>1442</v>
      </c>
    </row>
    <row r="67" spans="1:23" x14ac:dyDescent="0.25">
      <c r="A67" s="39">
        <v>45931.637119976898</v>
      </c>
      <c r="B67" s="40">
        <v>45931</v>
      </c>
      <c r="C67" t="s">
        <v>23</v>
      </c>
      <c r="D67" t="s">
        <v>24</v>
      </c>
      <c r="E67" t="s">
        <v>25</v>
      </c>
      <c r="F67" t="s">
        <v>1442</v>
      </c>
      <c r="G67" t="s">
        <v>1442</v>
      </c>
      <c r="H67" t="s">
        <v>1442</v>
      </c>
      <c r="I67">
        <v>0</v>
      </c>
      <c r="J67">
        <v>0</v>
      </c>
      <c r="K67">
        <v>50</v>
      </c>
      <c r="L67">
        <v>0</v>
      </c>
      <c r="M67">
        <v>0</v>
      </c>
      <c r="N67" t="s">
        <v>26</v>
      </c>
      <c r="O67">
        <v>0</v>
      </c>
      <c r="P67" t="s">
        <v>1442</v>
      </c>
      <c r="Q67">
        <v>0</v>
      </c>
      <c r="R67" t="s">
        <v>27</v>
      </c>
      <c r="S67" t="s">
        <v>177</v>
      </c>
      <c r="T67" t="s">
        <v>1442</v>
      </c>
      <c r="U67" t="s">
        <v>1442</v>
      </c>
      <c r="V67" t="s">
        <v>1442</v>
      </c>
      <c r="W67" t="s">
        <v>1442</v>
      </c>
    </row>
    <row r="68" spans="1:23" x14ac:dyDescent="0.25">
      <c r="A68" s="39">
        <v>45932.717521018501</v>
      </c>
      <c r="B68" s="40">
        <v>45932</v>
      </c>
      <c r="C68" t="s">
        <v>23</v>
      </c>
      <c r="D68" t="s">
        <v>24</v>
      </c>
      <c r="E68" t="s">
        <v>178</v>
      </c>
      <c r="F68" t="s">
        <v>32</v>
      </c>
      <c r="G68" t="s">
        <v>40</v>
      </c>
      <c r="H68" t="s">
        <v>41</v>
      </c>
      <c r="I68">
        <v>1.327442</v>
      </c>
      <c r="J68">
        <v>0</v>
      </c>
      <c r="K68">
        <v>0.01</v>
      </c>
      <c r="L68">
        <v>0</v>
      </c>
      <c r="M68">
        <v>0</v>
      </c>
      <c r="N68" t="s">
        <v>26</v>
      </c>
      <c r="O68">
        <v>0.01</v>
      </c>
      <c r="P68" t="s">
        <v>179</v>
      </c>
      <c r="Q68">
        <v>0.85295100000000001</v>
      </c>
      <c r="R68" t="s">
        <v>180</v>
      </c>
      <c r="S68" t="s">
        <v>181</v>
      </c>
      <c r="T68" t="s">
        <v>1442</v>
      </c>
      <c r="U68" t="s">
        <v>1442</v>
      </c>
      <c r="V68" t="s">
        <v>1442</v>
      </c>
      <c r="W68" t="s">
        <v>1442</v>
      </c>
    </row>
    <row r="69" spans="1:23" x14ac:dyDescent="0.25">
      <c r="A69" s="39">
        <v>45932.719350763902</v>
      </c>
      <c r="B69" s="40">
        <v>45932</v>
      </c>
      <c r="C69" t="s">
        <v>23</v>
      </c>
      <c r="D69" t="s">
        <v>30</v>
      </c>
      <c r="E69" t="s">
        <v>82</v>
      </c>
      <c r="F69" t="s">
        <v>64</v>
      </c>
      <c r="G69" t="s">
        <v>65</v>
      </c>
      <c r="H69" t="s">
        <v>66</v>
      </c>
      <c r="I69">
        <v>-1.004294</v>
      </c>
      <c r="J69">
        <v>190.279</v>
      </c>
      <c r="K69">
        <v>191.1</v>
      </c>
      <c r="L69">
        <v>-1</v>
      </c>
      <c r="M69">
        <v>0</v>
      </c>
      <c r="N69" t="s">
        <v>26</v>
      </c>
      <c r="O69">
        <v>0</v>
      </c>
      <c r="P69" t="s">
        <v>1442</v>
      </c>
      <c r="Q69">
        <v>0</v>
      </c>
      <c r="R69" t="s">
        <v>182</v>
      </c>
      <c r="S69" t="s">
        <v>183</v>
      </c>
      <c r="T69" t="s">
        <v>1442</v>
      </c>
      <c r="U69" t="s">
        <v>1442</v>
      </c>
      <c r="V69" t="s">
        <v>1442</v>
      </c>
      <c r="W69" t="s">
        <v>1442</v>
      </c>
    </row>
    <row r="70" spans="1:23" x14ac:dyDescent="0.25">
      <c r="A70" s="39">
        <v>45932.753552858798</v>
      </c>
      <c r="B70" s="40">
        <v>45932</v>
      </c>
      <c r="C70" t="s">
        <v>23</v>
      </c>
      <c r="D70" t="s">
        <v>30</v>
      </c>
      <c r="E70" t="s">
        <v>82</v>
      </c>
      <c r="F70" t="s">
        <v>32</v>
      </c>
      <c r="G70" t="s">
        <v>55</v>
      </c>
      <c r="H70" t="s">
        <v>56</v>
      </c>
      <c r="I70">
        <v>-1</v>
      </c>
      <c r="J70">
        <v>34.284999999999997</v>
      </c>
      <c r="K70">
        <v>34.29</v>
      </c>
      <c r="L70">
        <v>-1</v>
      </c>
      <c r="M70">
        <v>-0.28999999999999998</v>
      </c>
      <c r="N70" t="s">
        <v>26</v>
      </c>
      <c r="O70">
        <v>0</v>
      </c>
      <c r="P70" t="s">
        <v>1442</v>
      </c>
      <c r="Q70">
        <v>0</v>
      </c>
      <c r="R70" t="s">
        <v>184</v>
      </c>
      <c r="S70" t="s">
        <v>185</v>
      </c>
      <c r="T70" t="s">
        <v>1442</v>
      </c>
      <c r="U70" t="s">
        <v>1442</v>
      </c>
      <c r="V70" t="s">
        <v>1442</v>
      </c>
      <c r="W70" t="s">
        <v>1442</v>
      </c>
    </row>
    <row r="71" spans="1:23" x14ac:dyDescent="0.25">
      <c r="A71" s="39">
        <v>45932.753553877301</v>
      </c>
      <c r="B71" s="40">
        <v>45932</v>
      </c>
      <c r="C71" t="s">
        <v>23</v>
      </c>
      <c r="D71" t="s">
        <v>30</v>
      </c>
      <c r="E71" t="s">
        <v>82</v>
      </c>
      <c r="F71" t="s">
        <v>32</v>
      </c>
      <c r="G71" t="s">
        <v>55</v>
      </c>
      <c r="H71" t="s">
        <v>56</v>
      </c>
      <c r="I71">
        <v>-0.87119899999999995</v>
      </c>
      <c r="J71">
        <v>34.284999999999997</v>
      </c>
      <c r="K71">
        <v>29.87</v>
      </c>
      <c r="L71">
        <v>0</v>
      </c>
      <c r="M71">
        <v>-0.28000000000000003</v>
      </c>
      <c r="N71" t="s">
        <v>26</v>
      </c>
      <c r="O71">
        <v>0</v>
      </c>
      <c r="P71" t="s">
        <v>1442</v>
      </c>
      <c r="Q71">
        <v>0</v>
      </c>
      <c r="R71" t="s">
        <v>186</v>
      </c>
      <c r="S71" t="s">
        <v>187</v>
      </c>
      <c r="T71" t="s">
        <v>1442</v>
      </c>
      <c r="U71" t="s">
        <v>1442</v>
      </c>
      <c r="V71" t="s">
        <v>1442</v>
      </c>
      <c r="W71" t="s">
        <v>1442</v>
      </c>
    </row>
    <row r="72" spans="1:23" x14ac:dyDescent="0.25">
      <c r="A72" s="39">
        <v>45932.753730879602</v>
      </c>
      <c r="B72" s="40">
        <v>45932</v>
      </c>
      <c r="C72" t="s">
        <v>23</v>
      </c>
      <c r="D72" t="s">
        <v>30</v>
      </c>
      <c r="E72" t="s">
        <v>82</v>
      </c>
      <c r="F72" t="s">
        <v>32</v>
      </c>
      <c r="G72" t="s">
        <v>101</v>
      </c>
      <c r="H72" t="s">
        <v>102</v>
      </c>
      <c r="I72">
        <v>-1</v>
      </c>
      <c r="J72">
        <v>39.08</v>
      </c>
      <c r="K72">
        <v>39.08</v>
      </c>
      <c r="L72">
        <v>-1</v>
      </c>
      <c r="M72">
        <v>-0.33</v>
      </c>
      <c r="N72" t="s">
        <v>26</v>
      </c>
      <c r="O72">
        <v>0</v>
      </c>
      <c r="P72" t="s">
        <v>1442</v>
      </c>
      <c r="Q72">
        <v>0</v>
      </c>
      <c r="R72" t="s">
        <v>188</v>
      </c>
      <c r="S72" t="s">
        <v>189</v>
      </c>
      <c r="T72" t="s">
        <v>1442</v>
      </c>
      <c r="U72" t="s">
        <v>1442</v>
      </c>
      <c r="V72" t="s">
        <v>1442</v>
      </c>
      <c r="W72" t="s">
        <v>1442</v>
      </c>
    </row>
    <row r="73" spans="1:23" x14ac:dyDescent="0.25">
      <c r="A73" s="39">
        <v>45932.753737210602</v>
      </c>
      <c r="B73" s="40">
        <v>45932</v>
      </c>
      <c r="C73" t="s">
        <v>23</v>
      </c>
      <c r="D73" t="s">
        <v>30</v>
      </c>
      <c r="E73" t="s">
        <v>82</v>
      </c>
      <c r="F73" t="s">
        <v>32</v>
      </c>
      <c r="G73" t="s">
        <v>101</v>
      </c>
      <c r="H73" t="s">
        <v>102</v>
      </c>
      <c r="I73">
        <v>-0.36833199999999999</v>
      </c>
      <c r="J73">
        <v>39.08</v>
      </c>
      <c r="K73">
        <v>14.39</v>
      </c>
      <c r="L73">
        <v>0</v>
      </c>
      <c r="M73">
        <v>-0.31</v>
      </c>
      <c r="N73" t="s">
        <v>26</v>
      </c>
      <c r="O73">
        <v>0</v>
      </c>
      <c r="P73" t="s">
        <v>1442</v>
      </c>
      <c r="Q73">
        <v>0</v>
      </c>
      <c r="R73" t="s">
        <v>190</v>
      </c>
      <c r="S73" t="s">
        <v>191</v>
      </c>
      <c r="T73" t="s">
        <v>1442</v>
      </c>
      <c r="U73" t="s">
        <v>1442</v>
      </c>
      <c r="V73" t="s">
        <v>1442</v>
      </c>
      <c r="W73" t="s">
        <v>1442</v>
      </c>
    </row>
    <row r="74" spans="1:23" x14ac:dyDescent="0.25">
      <c r="A74" s="39">
        <v>45932.755681192102</v>
      </c>
      <c r="B74" s="40">
        <v>45932</v>
      </c>
      <c r="C74" t="s">
        <v>23</v>
      </c>
      <c r="D74" t="s">
        <v>30</v>
      </c>
      <c r="E74" t="s">
        <v>31</v>
      </c>
      <c r="F74" t="s">
        <v>32</v>
      </c>
      <c r="G74" t="s">
        <v>167</v>
      </c>
      <c r="H74" t="s">
        <v>168</v>
      </c>
      <c r="I74">
        <v>39</v>
      </c>
      <c r="J74">
        <v>2.89</v>
      </c>
      <c r="K74">
        <v>-112.71</v>
      </c>
      <c r="L74">
        <v>-1</v>
      </c>
      <c r="M74">
        <v>0</v>
      </c>
      <c r="N74" t="s">
        <v>26</v>
      </c>
      <c r="O74">
        <v>0</v>
      </c>
      <c r="P74" t="s">
        <v>1442</v>
      </c>
      <c r="Q74">
        <v>0</v>
      </c>
      <c r="R74" t="s">
        <v>192</v>
      </c>
      <c r="S74" t="s">
        <v>193</v>
      </c>
      <c r="T74" t="s">
        <v>1442</v>
      </c>
      <c r="U74" t="s">
        <v>1442</v>
      </c>
      <c r="V74" t="s">
        <v>1442</v>
      </c>
      <c r="W74" t="s">
        <v>1442</v>
      </c>
    </row>
    <row r="75" spans="1:23" x14ac:dyDescent="0.25">
      <c r="A75" s="39">
        <v>45932.755708090299</v>
      </c>
      <c r="B75" s="40">
        <v>45932</v>
      </c>
      <c r="C75" t="s">
        <v>23</v>
      </c>
      <c r="D75" t="s">
        <v>30</v>
      </c>
      <c r="E75" t="s">
        <v>31</v>
      </c>
      <c r="F75" t="s">
        <v>32</v>
      </c>
      <c r="G75" t="s">
        <v>167</v>
      </c>
      <c r="H75" t="s">
        <v>168</v>
      </c>
      <c r="I75">
        <v>0.37823800000000002</v>
      </c>
      <c r="J75">
        <v>2.89</v>
      </c>
      <c r="K75">
        <v>-1.0900000000000001</v>
      </c>
      <c r="L75">
        <v>0</v>
      </c>
      <c r="M75">
        <v>0</v>
      </c>
      <c r="N75" t="s">
        <v>26</v>
      </c>
      <c r="O75">
        <v>0</v>
      </c>
      <c r="P75" t="s">
        <v>1442</v>
      </c>
      <c r="Q75">
        <v>0</v>
      </c>
      <c r="R75" t="s">
        <v>194</v>
      </c>
      <c r="S75" t="s">
        <v>195</v>
      </c>
      <c r="T75" t="s">
        <v>1442</v>
      </c>
      <c r="U75" t="s">
        <v>1442</v>
      </c>
      <c r="V75" t="s">
        <v>1442</v>
      </c>
      <c r="W75" t="s">
        <v>1442</v>
      </c>
    </row>
    <row r="76" spans="1:23" x14ac:dyDescent="0.25">
      <c r="A76" s="39">
        <v>45932.7844177199</v>
      </c>
      <c r="B76" s="40">
        <v>45932</v>
      </c>
      <c r="C76" t="s">
        <v>23</v>
      </c>
      <c r="D76" t="s">
        <v>30</v>
      </c>
      <c r="E76" t="s">
        <v>31</v>
      </c>
      <c r="F76" t="s">
        <v>32</v>
      </c>
      <c r="G76" t="s">
        <v>167</v>
      </c>
      <c r="H76" t="s">
        <v>168</v>
      </c>
      <c r="I76">
        <v>6</v>
      </c>
      <c r="J76">
        <v>2.855</v>
      </c>
      <c r="K76">
        <v>-17.13</v>
      </c>
      <c r="L76">
        <v>-1</v>
      </c>
      <c r="M76">
        <v>0</v>
      </c>
      <c r="N76" t="s">
        <v>26</v>
      </c>
      <c r="O76">
        <v>0</v>
      </c>
      <c r="P76" t="s">
        <v>1442</v>
      </c>
      <c r="Q76">
        <v>0</v>
      </c>
      <c r="R76" t="s">
        <v>196</v>
      </c>
      <c r="S76" t="s">
        <v>197</v>
      </c>
      <c r="T76" t="s">
        <v>1442</v>
      </c>
      <c r="U76" t="s">
        <v>1442</v>
      </c>
      <c r="V76" t="s">
        <v>1442</v>
      </c>
      <c r="W76" t="s">
        <v>1442</v>
      </c>
    </row>
    <row r="77" spans="1:23" x14ac:dyDescent="0.25">
      <c r="A77" s="39">
        <v>45932.784432210603</v>
      </c>
      <c r="B77" s="40">
        <v>45932</v>
      </c>
      <c r="C77" t="s">
        <v>23</v>
      </c>
      <c r="D77" t="s">
        <v>30</v>
      </c>
      <c r="E77" t="s">
        <v>31</v>
      </c>
      <c r="F77" t="s">
        <v>32</v>
      </c>
      <c r="G77" t="s">
        <v>167</v>
      </c>
      <c r="H77" t="s">
        <v>168</v>
      </c>
      <c r="I77">
        <v>0.65499099999999999</v>
      </c>
      <c r="J77">
        <v>2.855</v>
      </c>
      <c r="K77">
        <v>-1.87</v>
      </c>
      <c r="L77">
        <v>0</v>
      </c>
      <c r="M77">
        <v>0</v>
      </c>
      <c r="N77" t="s">
        <v>26</v>
      </c>
      <c r="O77">
        <v>0</v>
      </c>
      <c r="P77" t="s">
        <v>1442</v>
      </c>
      <c r="Q77">
        <v>0</v>
      </c>
      <c r="R77" t="s">
        <v>198</v>
      </c>
      <c r="S77" t="s">
        <v>199</v>
      </c>
      <c r="T77" t="s">
        <v>1442</v>
      </c>
      <c r="U77" t="s">
        <v>1442</v>
      </c>
      <c r="V77" t="s">
        <v>1442</v>
      </c>
      <c r="W77" t="s">
        <v>1442</v>
      </c>
    </row>
    <row r="78" spans="1:23" x14ac:dyDescent="0.25">
      <c r="A78" s="39">
        <v>45932.784922615698</v>
      </c>
      <c r="B78" s="40">
        <v>45932</v>
      </c>
      <c r="C78" t="s">
        <v>23</v>
      </c>
      <c r="D78" t="s">
        <v>30</v>
      </c>
      <c r="E78" t="s">
        <v>31</v>
      </c>
      <c r="F78" t="s">
        <v>32</v>
      </c>
      <c r="G78" t="s">
        <v>167</v>
      </c>
      <c r="H78" t="s">
        <v>168</v>
      </c>
      <c r="I78">
        <v>59</v>
      </c>
      <c r="J78">
        <v>2.8650000000000002</v>
      </c>
      <c r="K78">
        <v>-169.04</v>
      </c>
      <c r="L78">
        <v>-1</v>
      </c>
      <c r="M78">
        <v>0</v>
      </c>
      <c r="N78" t="s">
        <v>26</v>
      </c>
      <c r="O78">
        <v>0</v>
      </c>
      <c r="P78" t="s">
        <v>1442</v>
      </c>
      <c r="Q78">
        <v>0</v>
      </c>
      <c r="R78" t="s">
        <v>200</v>
      </c>
      <c r="S78" t="s">
        <v>201</v>
      </c>
      <c r="T78" t="s">
        <v>1442</v>
      </c>
      <c r="U78" t="s">
        <v>1442</v>
      </c>
      <c r="V78" t="s">
        <v>1442</v>
      </c>
      <c r="W78" t="s">
        <v>1442</v>
      </c>
    </row>
    <row r="79" spans="1:23" x14ac:dyDescent="0.25">
      <c r="A79" s="39">
        <v>45932.784923749998</v>
      </c>
      <c r="B79" s="40">
        <v>45932</v>
      </c>
      <c r="C79" t="s">
        <v>23</v>
      </c>
      <c r="D79" t="s">
        <v>30</v>
      </c>
      <c r="E79" t="s">
        <v>31</v>
      </c>
      <c r="F79" t="s">
        <v>32</v>
      </c>
      <c r="G79" t="s">
        <v>167</v>
      </c>
      <c r="H79" t="s">
        <v>168</v>
      </c>
      <c r="I79">
        <v>0.33682299999999998</v>
      </c>
      <c r="J79">
        <v>2.8650000000000002</v>
      </c>
      <c r="K79">
        <v>-0.96</v>
      </c>
      <c r="L79">
        <v>0</v>
      </c>
      <c r="M79">
        <v>0</v>
      </c>
      <c r="N79" t="s">
        <v>26</v>
      </c>
      <c r="O79">
        <v>0</v>
      </c>
      <c r="P79" t="s">
        <v>1442</v>
      </c>
      <c r="Q79">
        <v>0</v>
      </c>
      <c r="R79" t="s">
        <v>202</v>
      </c>
      <c r="S79" t="s">
        <v>203</v>
      </c>
      <c r="T79" t="s">
        <v>1442</v>
      </c>
      <c r="U79" t="s">
        <v>1442</v>
      </c>
      <c r="V79" t="s">
        <v>1442</v>
      </c>
      <c r="W79" t="s">
        <v>1442</v>
      </c>
    </row>
    <row r="80" spans="1:23" x14ac:dyDescent="0.25">
      <c r="A80" s="39">
        <v>45937.932461169003</v>
      </c>
      <c r="B80" s="40">
        <v>45937</v>
      </c>
      <c r="C80" t="s">
        <v>23</v>
      </c>
      <c r="D80" t="s">
        <v>24</v>
      </c>
      <c r="E80" t="s">
        <v>25</v>
      </c>
      <c r="F80" t="s">
        <v>1442</v>
      </c>
      <c r="G80" t="s">
        <v>1442</v>
      </c>
      <c r="H80" t="s">
        <v>1442</v>
      </c>
      <c r="I80">
        <v>0</v>
      </c>
      <c r="J80">
        <v>0</v>
      </c>
      <c r="K80">
        <v>250</v>
      </c>
      <c r="L80">
        <v>0</v>
      </c>
      <c r="M80">
        <v>0</v>
      </c>
      <c r="N80" t="s">
        <v>26</v>
      </c>
      <c r="O80">
        <v>0</v>
      </c>
      <c r="P80" t="s">
        <v>1442</v>
      </c>
      <c r="Q80">
        <v>0</v>
      </c>
      <c r="R80" t="s">
        <v>27</v>
      </c>
      <c r="S80" t="s">
        <v>204</v>
      </c>
      <c r="T80" t="s">
        <v>1442</v>
      </c>
      <c r="U80" t="s">
        <v>1442</v>
      </c>
      <c r="V80" t="s">
        <v>1442</v>
      </c>
      <c r="W80" t="s">
        <v>1442</v>
      </c>
    </row>
    <row r="81" spans="1:23" x14ac:dyDescent="0.25">
      <c r="A81" s="39">
        <v>45937.953325405098</v>
      </c>
      <c r="B81" s="40">
        <v>45937</v>
      </c>
      <c r="C81" t="s">
        <v>23</v>
      </c>
      <c r="D81" t="s">
        <v>30</v>
      </c>
      <c r="E81" t="s">
        <v>31</v>
      </c>
      <c r="F81" t="s">
        <v>32</v>
      </c>
      <c r="G81" t="s">
        <v>205</v>
      </c>
      <c r="H81" t="s">
        <v>206</v>
      </c>
      <c r="I81">
        <v>30</v>
      </c>
      <c r="J81">
        <v>3.2719999999999998</v>
      </c>
      <c r="K81">
        <v>-98.16</v>
      </c>
      <c r="L81">
        <v>-1</v>
      </c>
      <c r="M81">
        <v>0</v>
      </c>
      <c r="N81" t="s">
        <v>26</v>
      </c>
      <c r="O81">
        <v>0</v>
      </c>
      <c r="P81" t="s">
        <v>1442</v>
      </c>
      <c r="Q81">
        <v>0</v>
      </c>
      <c r="R81" t="s">
        <v>207</v>
      </c>
      <c r="S81" t="s">
        <v>208</v>
      </c>
      <c r="T81" t="s">
        <v>1442</v>
      </c>
      <c r="U81" t="s">
        <v>1442</v>
      </c>
      <c r="V81" t="s">
        <v>1442</v>
      </c>
      <c r="W81" t="s">
        <v>1442</v>
      </c>
    </row>
    <row r="82" spans="1:23" x14ac:dyDescent="0.25">
      <c r="A82" s="39">
        <v>45937.953325463001</v>
      </c>
      <c r="B82" s="40">
        <v>45937</v>
      </c>
      <c r="C82" t="s">
        <v>23</v>
      </c>
      <c r="D82" t="s">
        <v>30</v>
      </c>
      <c r="E82" t="s">
        <v>31</v>
      </c>
      <c r="F82" t="s">
        <v>32</v>
      </c>
      <c r="G82" t="s">
        <v>205</v>
      </c>
      <c r="H82" t="s">
        <v>206</v>
      </c>
      <c r="I82">
        <v>0.56234700000000004</v>
      </c>
      <c r="J82">
        <v>3.2719999999999998</v>
      </c>
      <c r="K82">
        <v>-1.84</v>
      </c>
      <c r="L82">
        <v>0</v>
      </c>
      <c r="M82">
        <v>0</v>
      </c>
      <c r="N82" t="s">
        <v>26</v>
      </c>
      <c r="O82">
        <v>0</v>
      </c>
      <c r="P82" t="s">
        <v>1442</v>
      </c>
      <c r="Q82">
        <v>0</v>
      </c>
      <c r="R82" t="s">
        <v>209</v>
      </c>
      <c r="S82" t="s">
        <v>210</v>
      </c>
      <c r="T82" t="s">
        <v>1442</v>
      </c>
      <c r="U82" t="s">
        <v>1442</v>
      </c>
      <c r="V82" t="s">
        <v>1442</v>
      </c>
      <c r="W82" t="s">
        <v>1442</v>
      </c>
    </row>
    <row r="83" spans="1:23" x14ac:dyDescent="0.25">
      <c r="A83" s="39">
        <v>45937.954772488403</v>
      </c>
      <c r="B83" s="40">
        <v>45937</v>
      </c>
      <c r="C83" t="s">
        <v>23</v>
      </c>
      <c r="D83" t="s">
        <v>30</v>
      </c>
      <c r="E83" t="s">
        <v>31</v>
      </c>
      <c r="F83" t="s">
        <v>32</v>
      </c>
      <c r="G83" t="s">
        <v>211</v>
      </c>
      <c r="H83" t="s">
        <v>212</v>
      </c>
      <c r="I83">
        <v>0.96721299999999999</v>
      </c>
      <c r="J83">
        <v>12.1</v>
      </c>
      <c r="K83">
        <v>-11.7</v>
      </c>
      <c r="L83">
        <v>0</v>
      </c>
      <c r="M83">
        <v>0</v>
      </c>
      <c r="N83" t="s">
        <v>26</v>
      </c>
      <c r="O83">
        <v>0</v>
      </c>
      <c r="P83" t="s">
        <v>1442</v>
      </c>
      <c r="Q83">
        <v>0</v>
      </c>
      <c r="R83" t="s">
        <v>213</v>
      </c>
      <c r="S83" t="s">
        <v>214</v>
      </c>
      <c r="T83" t="s">
        <v>1442</v>
      </c>
      <c r="U83" t="s">
        <v>1442</v>
      </c>
      <c r="V83" t="s">
        <v>1442</v>
      </c>
      <c r="W83" t="s">
        <v>1442</v>
      </c>
    </row>
    <row r="84" spans="1:23" x14ac:dyDescent="0.25">
      <c r="A84" s="39">
        <v>45937.954772500001</v>
      </c>
      <c r="B84" s="40">
        <v>45937</v>
      </c>
      <c r="C84" t="s">
        <v>23</v>
      </c>
      <c r="D84" t="s">
        <v>30</v>
      </c>
      <c r="E84" t="s">
        <v>31</v>
      </c>
      <c r="F84" t="s">
        <v>32</v>
      </c>
      <c r="G84" t="s">
        <v>211</v>
      </c>
      <c r="H84" t="s">
        <v>212</v>
      </c>
      <c r="I84">
        <v>11</v>
      </c>
      <c r="J84">
        <v>12.1</v>
      </c>
      <c r="K84">
        <v>-133.1</v>
      </c>
      <c r="L84">
        <v>-1</v>
      </c>
      <c r="M84">
        <v>0</v>
      </c>
      <c r="N84" t="s">
        <v>26</v>
      </c>
      <c r="O84">
        <v>0</v>
      </c>
      <c r="P84" t="s">
        <v>1442</v>
      </c>
      <c r="Q84">
        <v>0</v>
      </c>
      <c r="R84" t="s">
        <v>215</v>
      </c>
      <c r="S84" t="s">
        <v>216</v>
      </c>
      <c r="T84" t="s">
        <v>1442</v>
      </c>
      <c r="U84" t="s">
        <v>1442</v>
      </c>
      <c r="V84" t="s">
        <v>1442</v>
      </c>
      <c r="W84" t="s">
        <v>1442</v>
      </c>
    </row>
    <row r="85" spans="1:23" x14ac:dyDescent="0.25">
      <c r="A85" s="39">
        <v>45938.379238020803</v>
      </c>
      <c r="B85" s="40">
        <v>45938</v>
      </c>
      <c r="C85" t="s">
        <v>23</v>
      </c>
      <c r="D85" t="s">
        <v>30</v>
      </c>
      <c r="E85" t="s">
        <v>82</v>
      </c>
      <c r="F85" t="s">
        <v>32</v>
      </c>
      <c r="G85" t="s">
        <v>167</v>
      </c>
      <c r="H85" t="s">
        <v>168</v>
      </c>
      <c r="I85">
        <v>-123</v>
      </c>
      <c r="J85">
        <v>3.63</v>
      </c>
      <c r="K85">
        <v>446.49</v>
      </c>
      <c r="L85">
        <v>-1</v>
      </c>
      <c r="M85">
        <v>-23.55</v>
      </c>
      <c r="N85" t="s">
        <v>26</v>
      </c>
      <c r="O85">
        <v>0</v>
      </c>
      <c r="P85" t="s">
        <v>1442</v>
      </c>
      <c r="Q85">
        <v>0</v>
      </c>
      <c r="R85" t="s">
        <v>217</v>
      </c>
      <c r="S85" t="s">
        <v>218</v>
      </c>
      <c r="T85" t="s">
        <v>1442</v>
      </c>
      <c r="U85" t="s">
        <v>1442</v>
      </c>
      <c r="V85" t="s">
        <v>1442</v>
      </c>
      <c r="W85" t="s">
        <v>1442</v>
      </c>
    </row>
    <row r="86" spans="1:23" x14ac:dyDescent="0.25">
      <c r="A86" s="39">
        <v>45938.379238125002</v>
      </c>
      <c r="B86" s="40">
        <v>45938</v>
      </c>
      <c r="C86" t="s">
        <v>23</v>
      </c>
      <c r="D86" t="s">
        <v>30</v>
      </c>
      <c r="E86" t="s">
        <v>82</v>
      </c>
      <c r="F86" t="s">
        <v>32</v>
      </c>
      <c r="G86" t="s">
        <v>167</v>
      </c>
      <c r="H86" t="s">
        <v>168</v>
      </c>
      <c r="I86">
        <v>-0.22719400000000001</v>
      </c>
      <c r="J86">
        <v>3.63</v>
      </c>
      <c r="K86">
        <v>0.82</v>
      </c>
      <c r="L86">
        <v>0</v>
      </c>
      <c r="M86">
        <v>-0.05</v>
      </c>
      <c r="N86" t="s">
        <v>26</v>
      </c>
      <c r="O86">
        <v>0</v>
      </c>
      <c r="P86" t="s">
        <v>1442</v>
      </c>
      <c r="Q86">
        <v>0</v>
      </c>
      <c r="R86" t="s">
        <v>219</v>
      </c>
      <c r="S86" t="s">
        <v>220</v>
      </c>
      <c r="T86" t="s">
        <v>1442</v>
      </c>
      <c r="U86" t="s">
        <v>1442</v>
      </c>
      <c r="V86" t="s">
        <v>1442</v>
      </c>
      <c r="W86" t="s">
        <v>1442</v>
      </c>
    </row>
    <row r="87" spans="1:23" x14ac:dyDescent="0.25">
      <c r="A87" s="39">
        <v>45938.380235393503</v>
      </c>
      <c r="B87" s="40">
        <v>45938</v>
      </c>
      <c r="C87" t="s">
        <v>23</v>
      </c>
      <c r="D87" t="s">
        <v>30</v>
      </c>
      <c r="E87" t="s">
        <v>82</v>
      </c>
      <c r="F87" t="s">
        <v>32</v>
      </c>
      <c r="G87" t="s">
        <v>154</v>
      </c>
      <c r="H87" t="s">
        <v>155</v>
      </c>
      <c r="I87">
        <v>-6</v>
      </c>
      <c r="J87">
        <v>31.35</v>
      </c>
      <c r="K87">
        <v>188.1</v>
      </c>
      <c r="L87">
        <v>-1</v>
      </c>
      <c r="M87">
        <v>-13.66</v>
      </c>
      <c r="N87" t="s">
        <v>26</v>
      </c>
      <c r="O87">
        <v>0</v>
      </c>
      <c r="P87" t="s">
        <v>1442</v>
      </c>
      <c r="Q87">
        <v>0</v>
      </c>
      <c r="R87" t="s">
        <v>221</v>
      </c>
      <c r="S87" t="s">
        <v>222</v>
      </c>
      <c r="T87" t="s">
        <v>1442</v>
      </c>
      <c r="U87" t="s">
        <v>1442</v>
      </c>
      <c r="V87" t="s">
        <v>1442</v>
      </c>
      <c r="W87" t="s">
        <v>1442</v>
      </c>
    </row>
    <row r="88" spans="1:23" x14ac:dyDescent="0.25">
      <c r="A88" s="39">
        <v>45938.380235428202</v>
      </c>
      <c r="B88" s="40">
        <v>45938</v>
      </c>
      <c r="C88" t="s">
        <v>23</v>
      </c>
      <c r="D88" t="s">
        <v>30</v>
      </c>
      <c r="E88" t="s">
        <v>82</v>
      </c>
      <c r="F88" t="s">
        <v>32</v>
      </c>
      <c r="G88" t="s">
        <v>154</v>
      </c>
      <c r="H88" t="s">
        <v>155</v>
      </c>
      <c r="I88">
        <v>-0.69936399999999999</v>
      </c>
      <c r="J88">
        <v>31.35</v>
      </c>
      <c r="K88">
        <v>21.93</v>
      </c>
      <c r="L88">
        <v>0</v>
      </c>
      <c r="M88">
        <v>-1.92</v>
      </c>
      <c r="N88" t="s">
        <v>26</v>
      </c>
      <c r="O88">
        <v>0</v>
      </c>
      <c r="P88" t="s">
        <v>1442</v>
      </c>
      <c r="Q88">
        <v>0</v>
      </c>
      <c r="R88" t="s">
        <v>223</v>
      </c>
      <c r="S88" t="s">
        <v>224</v>
      </c>
      <c r="T88" t="s">
        <v>1442</v>
      </c>
      <c r="U88" t="s">
        <v>1442</v>
      </c>
      <c r="V88" t="s">
        <v>1442</v>
      </c>
      <c r="W88" t="s">
        <v>1442</v>
      </c>
    </row>
    <row r="89" spans="1:23" x14ac:dyDescent="0.25">
      <c r="A89" s="39">
        <v>45939.919665474503</v>
      </c>
      <c r="B89" s="40">
        <v>45939</v>
      </c>
      <c r="C89" t="s">
        <v>23</v>
      </c>
      <c r="D89" t="s">
        <v>24</v>
      </c>
      <c r="E89" t="s">
        <v>25</v>
      </c>
      <c r="F89" t="s">
        <v>1442</v>
      </c>
      <c r="G89" t="s">
        <v>1442</v>
      </c>
      <c r="H89" t="s">
        <v>1442</v>
      </c>
      <c r="I89">
        <v>0</v>
      </c>
      <c r="J89">
        <v>0</v>
      </c>
      <c r="K89">
        <v>100</v>
      </c>
      <c r="L89">
        <v>0</v>
      </c>
      <c r="M89">
        <v>0</v>
      </c>
      <c r="N89" t="s">
        <v>26</v>
      </c>
      <c r="O89">
        <v>0</v>
      </c>
      <c r="P89" t="s">
        <v>1442</v>
      </c>
      <c r="Q89">
        <v>0</v>
      </c>
      <c r="R89" t="s">
        <v>27</v>
      </c>
      <c r="S89" t="s">
        <v>225</v>
      </c>
      <c r="T89" t="s">
        <v>1442</v>
      </c>
      <c r="U89" t="s">
        <v>1442</v>
      </c>
      <c r="V89" t="s">
        <v>1442</v>
      </c>
      <c r="W89" t="s">
        <v>1442</v>
      </c>
    </row>
    <row r="90" spans="1:23" x14ac:dyDescent="0.25">
      <c r="A90" s="39">
        <v>45939.9203000579</v>
      </c>
      <c r="B90" s="40">
        <v>45939</v>
      </c>
      <c r="C90" t="s">
        <v>23</v>
      </c>
      <c r="D90" t="s">
        <v>30</v>
      </c>
      <c r="E90" t="s">
        <v>31</v>
      </c>
      <c r="F90" t="s">
        <v>32</v>
      </c>
      <c r="G90" t="s">
        <v>226</v>
      </c>
      <c r="H90" t="s">
        <v>227</v>
      </c>
      <c r="I90">
        <v>0.21123900000000001</v>
      </c>
      <c r="J90">
        <v>16.084</v>
      </c>
      <c r="K90">
        <v>-3.4</v>
      </c>
      <c r="L90">
        <v>0</v>
      </c>
      <c r="M90">
        <v>0</v>
      </c>
      <c r="N90" t="s">
        <v>26</v>
      </c>
      <c r="O90">
        <v>0</v>
      </c>
      <c r="P90" t="s">
        <v>1442</v>
      </c>
      <c r="Q90">
        <v>0</v>
      </c>
      <c r="R90" t="s">
        <v>228</v>
      </c>
      <c r="S90" t="s">
        <v>229</v>
      </c>
      <c r="T90" t="s">
        <v>1442</v>
      </c>
      <c r="U90" t="s">
        <v>1442</v>
      </c>
      <c r="V90" t="s">
        <v>1442</v>
      </c>
      <c r="W90" t="s">
        <v>1442</v>
      </c>
    </row>
    <row r="91" spans="1:23" x14ac:dyDescent="0.25">
      <c r="A91" s="39">
        <v>45939.9203000579</v>
      </c>
      <c r="B91" s="40">
        <v>45939</v>
      </c>
      <c r="C91" t="s">
        <v>23</v>
      </c>
      <c r="D91" t="s">
        <v>30</v>
      </c>
      <c r="E91" t="s">
        <v>31</v>
      </c>
      <c r="F91" t="s">
        <v>32</v>
      </c>
      <c r="G91" t="s">
        <v>226</v>
      </c>
      <c r="H91" t="s">
        <v>227</v>
      </c>
      <c r="I91">
        <v>7</v>
      </c>
      <c r="J91">
        <v>16.084</v>
      </c>
      <c r="K91">
        <v>-112.59</v>
      </c>
      <c r="L91">
        <v>-1</v>
      </c>
      <c r="M91">
        <v>0</v>
      </c>
      <c r="N91" t="s">
        <v>26</v>
      </c>
      <c r="O91">
        <v>0</v>
      </c>
      <c r="P91" t="s">
        <v>1442</v>
      </c>
      <c r="Q91">
        <v>0</v>
      </c>
      <c r="R91" t="s">
        <v>230</v>
      </c>
      <c r="S91" t="s">
        <v>231</v>
      </c>
      <c r="T91" t="s">
        <v>1442</v>
      </c>
      <c r="U91" t="s">
        <v>1442</v>
      </c>
      <c r="V91" t="s">
        <v>1442</v>
      </c>
      <c r="W91" t="s">
        <v>1442</v>
      </c>
    </row>
    <row r="92" spans="1:23" x14ac:dyDescent="0.25">
      <c r="A92" s="39">
        <v>45939.937102037002</v>
      </c>
      <c r="B92" s="40">
        <v>45939</v>
      </c>
      <c r="C92" t="s">
        <v>23</v>
      </c>
      <c r="D92" t="s">
        <v>24</v>
      </c>
      <c r="E92" t="s">
        <v>25</v>
      </c>
      <c r="F92" t="s">
        <v>1442</v>
      </c>
      <c r="G92" t="s">
        <v>1442</v>
      </c>
      <c r="H92" t="s">
        <v>1442</v>
      </c>
      <c r="I92">
        <v>0</v>
      </c>
      <c r="J92">
        <v>0</v>
      </c>
      <c r="K92">
        <v>100</v>
      </c>
      <c r="L92">
        <v>0</v>
      </c>
      <c r="M92">
        <v>0</v>
      </c>
      <c r="N92" t="s">
        <v>26</v>
      </c>
      <c r="O92">
        <v>0</v>
      </c>
      <c r="P92" t="s">
        <v>1442</v>
      </c>
      <c r="Q92">
        <v>0</v>
      </c>
      <c r="R92" t="s">
        <v>27</v>
      </c>
      <c r="S92" t="s">
        <v>232</v>
      </c>
      <c r="T92" t="s">
        <v>1442</v>
      </c>
      <c r="U92" t="s">
        <v>1442</v>
      </c>
      <c r="V92" t="s">
        <v>1442</v>
      </c>
      <c r="W92" t="s">
        <v>1442</v>
      </c>
    </row>
    <row r="93" spans="1:23" x14ac:dyDescent="0.25">
      <c r="A93" s="39">
        <v>45939.360853136597</v>
      </c>
      <c r="B93" s="40">
        <v>45939</v>
      </c>
      <c r="C93" t="s">
        <v>23</v>
      </c>
      <c r="D93" t="s">
        <v>24</v>
      </c>
      <c r="E93" t="s">
        <v>161</v>
      </c>
      <c r="F93" t="s">
        <v>1442</v>
      </c>
      <c r="G93" t="s">
        <v>1442</v>
      </c>
      <c r="H93" t="s">
        <v>1442</v>
      </c>
      <c r="I93">
        <v>0</v>
      </c>
      <c r="J93">
        <v>0</v>
      </c>
      <c r="K93">
        <v>-600</v>
      </c>
      <c r="L93">
        <v>0</v>
      </c>
      <c r="M93">
        <v>0</v>
      </c>
      <c r="N93" t="s">
        <v>26</v>
      </c>
      <c r="O93">
        <v>0</v>
      </c>
      <c r="P93" t="s">
        <v>1442</v>
      </c>
      <c r="Q93">
        <v>0</v>
      </c>
      <c r="R93" t="s">
        <v>162</v>
      </c>
      <c r="S93" t="s">
        <v>233</v>
      </c>
      <c r="T93" t="s">
        <v>1442</v>
      </c>
      <c r="U93" t="s">
        <v>1442</v>
      </c>
      <c r="V93" t="s">
        <v>1442</v>
      </c>
      <c r="W93" t="s">
        <v>1442</v>
      </c>
    </row>
    <row r="94" spans="1:23" x14ac:dyDescent="0.25">
      <c r="A94" s="39">
        <v>45939.937921782403</v>
      </c>
      <c r="B94" s="40">
        <v>45939</v>
      </c>
      <c r="C94" t="s">
        <v>23</v>
      </c>
      <c r="D94" t="s">
        <v>30</v>
      </c>
      <c r="E94" t="s">
        <v>31</v>
      </c>
      <c r="F94" t="s">
        <v>64</v>
      </c>
      <c r="G94" t="s">
        <v>69</v>
      </c>
      <c r="H94" t="s">
        <v>69</v>
      </c>
      <c r="I94">
        <v>10.314556</v>
      </c>
      <c r="J94">
        <v>2.423918</v>
      </c>
      <c r="K94">
        <v>-25</v>
      </c>
      <c r="L94">
        <v>-1</v>
      </c>
      <c r="M94">
        <v>0</v>
      </c>
      <c r="N94" t="s">
        <v>26</v>
      </c>
      <c r="O94">
        <v>0</v>
      </c>
      <c r="P94" t="s">
        <v>1442</v>
      </c>
      <c r="Q94">
        <v>0</v>
      </c>
      <c r="R94" t="s">
        <v>234</v>
      </c>
      <c r="S94" t="s">
        <v>235</v>
      </c>
      <c r="T94" t="s">
        <v>1442</v>
      </c>
      <c r="U94" t="s">
        <v>1442</v>
      </c>
      <c r="V94" t="s">
        <v>1442</v>
      </c>
      <c r="W94" t="s">
        <v>1442</v>
      </c>
    </row>
    <row r="95" spans="1:23" x14ac:dyDescent="0.25">
      <c r="A95" s="39">
        <v>45939.938118333303</v>
      </c>
      <c r="B95" s="40">
        <v>45939</v>
      </c>
      <c r="C95" t="s">
        <v>23</v>
      </c>
      <c r="D95" t="s">
        <v>30</v>
      </c>
      <c r="E95" t="s">
        <v>31</v>
      </c>
      <c r="F95" t="s">
        <v>64</v>
      </c>
      <c r="G95" t="s">
        <v>72</v>
      </c>
      <c r="H95" t="s">
        <v>73</v>
      </c>
      <c r="I95">
        <v>28.448975999999998</v>
      </c>
      <c r="J95">
        <v>0.70282800000000001</v>
      </c>
      <c r="K95">
        <v>-19.989999999999998</v>
      </c>
      <c r="L95">
        <v>-1</v>
      </c>
      <c r="M95">
        <v>0</v>
      </c>
      <c r="N95" t="s">
        <v>26</v>
      </c>
      <c r="O95">
        <v>0</v>
      </c>
      <c r="P95" t="s">
        <v>1442</v>
      </c>
      <c r="Q95">
        <v>0</v>
      </c>
      <c r="R95" t="s">
        <v>236</v>
      </c>
      <c r="S95" t="s">
        <v>237</v>
      </c>
      <c r="T95" t="s">
        <v>1442</v>
      </c>
      <c r="U95" t="s">
        <v>1442</v>
      </c>
      <c r="V95" t="s">
        <v>1442</v>
      </c>
      <c r="W95" t="s">
        <v>1442</v>
      </c>
    </row>
    <row r="96" spans="1:23" x14ac:dyDescent="0.25">
      <c r="A96" s="39">
        <v>45939.938826863399</v>
      </c>
      <c r="B96" s="40">
        <v>45939</v>
      </c>
      <c r="C96" t="s">
        <v>23</v>
      </c>
      <c r="D96" t="s">
        <v>30</v>
      </c>
      <c r="E96" t="s">
        <v>31</v>
      </c>
      <c r="F96" t="s">
        <v>64</v>
      </c>
      <c r="G96" t="s">
        <v>118</v>
      </c>
      <c r="H96" t="s">
        <v>119</v>
      </c>
      <c r="I96">
        <v>7.1401029999999999</v>
      </c>
      <c r="J96">
        <v>3.50034</v>
      </c>
      <c r="K96">
        <v>-24.99</v>
      </c>
      <c r="L96">
        <v>-1</v>
      </c>
      <c r="M96">
        <v>0</v>
      </c>
      <c r="N96" t="s">
        <v>26</v>
      </c>
      <c r="O96">
        <v>0</v>
      </c>
      <c r="P96" t="s">
        <v>1442</v>
      </c>
      <c r="Q96">
        <v>0</v>
      </c>
      <c r="R96" t="s">
        <v>238</v>
      </c>
      <c r="S96" t="s">
        <v>239</v>
      </c>
      <c r="T96" t="s">
        <v>1442</v>
      </c>
      <c r="U96" t="s">
        <v>1442</v>
      </c>
      <c r="V96" t="s">
        <v>1442</v>
      </c>
      <c r="W96" t="s">
        <v>1442</v>
      </c>
    </row>
    <row r="97" spans="1:23" x14ac:dyDescent="0.25">
      <c r="A97" s="39">
        <v>45939.938979039398</v>
      </c>
      <c r="B97" s="40">
        <v>45939</v>
      </c>
      <c r="C97" t="s">
        <v>23</v>
      </c>
      <c r="D97" t="s">
        <v>30</v>
      </c>
      <c r="E97" t="s">
        <v>31</v>
      </c>
      <c r="F97" t="s">
        <v>64</v>
      </c>
      <c r="G97" t="s">
        <v>114</v>
      </c>
      <c r="H97" t="s">
        <v>115</v>
      </c>
      <c r="I97">
        <v>8.69</v>
      </c>
      <c r="J97">
        <v>2.8759800000000002</v>
      </c>
      <c r="K97">
        <v>-24.99</v>
      </c>
      <c r="L97">
        <v>-1</v>
      </c>
      <c r="M97">
        <v>0</v>
      </c>
      <c r="N97" t="s">
        <v>26</v>
      </c>
      <c r="O97">
        <v>0</v>
      </c>
      <c r="P97" t="s">
        <v>1442</v>
      </c>
      <c r="Q97">
        <v>0</v>
      </c>
      <c r="R97" t="s">
        <v>240</v>
      </c>
      <c r="S97" t="s">
        <v>241</v>
      </c>
      <c r="T97" t="s">
        <v>1442</v>
      </c>
      <c r="U97" t="s">
        <v>1442</v>
      </c>
      <c r="V97" t="s">
        <v>1442</v>
      </c>
      <c r="W97" t="s">
        <v>1442</v>
      </c>
    </row>
    <row r="98" spans="1:23" x14ac:dyDescent="0.25">
      <c r="A98" s="39">
        <v>45996.461307268502</v>
      </c>
      <c r="B98" s="40">
        <v>45996</v>
      </c>
      <c r="C98" t="s">
        <v>23</v>
      </c>
      <c r="D98" t="s">
        <v>30</v>
      </c>
      <c r="E98" t="s">
        <v>31</v>
      </c>
      <c r="F98" t="s">
        <v>32</v>
      </c>
      <c r="G98" t="s">
        <v>167</v>
      </c>
      <c r="H98" t="s">
        <v>168</v>
      </c>
      <c r="I98">
        <v>0.77513699999999996</v>
      </c>
      <c r="J98">
        <v>1.0940000000000001</v>
      </c>
      <c r="K98">
        <v>-0.85</v>
      </c>
      <c r="L98">
        <v>0</v>
      </c>
      <c r="M98">
        <v>0</v>
      </c>
      <c r="N98" t="s">
        <v>26</v>
      </c>
      <c r="O98">
        <v>0</v>
      </c>
      <c r="P98" t="s">
        <v>1442</v>
      </c>
      <c r="Q98">
        <v>0</v>
      </c>
      <c r="R98" t="s">
        <v>242</v>
      </c>
      <c r="S98" t="s">
        <v>243</v>
      </c>
      <c r="T98" t="s">
        <v>1442</v>
      </c>
      <c r="U98" t="s">
        <v>1442</v>
      </c>
      <c r="V98" t="s">
        <v>1442</v>
      </c>
      <c r="W98" t="s">
        <v>1442</v>
      </c>
    </row>
    <row r="99" spans="1:23" x14ac:dyDescent="0.25">
      <c r="A99" s="39">
        <v>45996.461307291698</v>
      </c>
      <c r="B99" s="40">
        <v>45996</v>
      </c>
      <c r="C99" t="s">
        <v>23</v>
      </c>
      <c r="D99" t="s">
        <v>30</v>
      </c>
      <c r="E99" t="s">
        <v>31</v>
      </c>
      <c r="F99" t="s">
        <v>32</v>
      </c>
      <c r="G99" t="s">
        <v>167</v>
      </c>
      <c r="H99" t="s">
        <v>168</v>
      </c>
      <c r="I99">
        <v>108</v>
      </c>
      <c r="J99">
        <v>1.0940000000000001</v>
      </c>
      <c r="K99">
        <v>-118.15</v>
      </c>
      <c r="L99">
        <v>-1</v>
      </c>
      <c r="M99">
        <v>0</v>
      </c>
      <c r="N99" t="s">
        <v>26</v>
      </c>
      <c r="O99">
        <v>0</v>
      </c>
      <c r="P99" t="s">
        <v>1442</v>
      </c>
      <c r="Q99">
        <v>0</v>
      </c>
      <c r="R99" t="s">
        <v>244</v>
      </c>
      <c r="S99" t="s">
        <v>245</v>
      </c>
      <c r="T99" t="s">
        <v>1442</v>
      </c>
      <c r="U99" t="s">
        <v>1442</v>
      </c>
      <c r="V99" t="s">
        <v>1442</v>
      </c>
      <c r="W99" t="s">
        <v>1442</v>
      </c>
    </row>
    <row r="100" spans="1:23" x14ac:dyDescent="0.25">
      <c r="A100" s="39">
        <v>45996.474324907402</v>
      </c>
      <c r="B100" s="40">
        <v>45996</v>
      </c>
      <c r="C100" t="s">
        <v>23</v>
      </c>
      <c r="D100" t="s">
        <v>24</v>
      </c>
      <c r="E100" t="s">
        <v>25</v>
      </c>
      <c r="F100" t="s">
        <v>1442</v>
      </c>
      <c r="G100" t="s">
        <v>1442</v>
      </c>
      <c r="H100" t="s">
        <v>1442</v>
      </c>
      <c r="I100">
        <v>0</v>
      </c>
      <c r="J100">
        <v>0</v>
      </c>
      <c r="K100">
        <v>100</v>
      </c>
      <c r="L100">
        <v>0</v>
      </c>
      <c r="M100">
        <v>0</v>
      </c>
      <c r="N100" t="s">
        <v>26</v>
      </c>
      <c r="O100">
        <v>0</v>
      </c>
      <c r="P100" t="s">
        <v>1442</v>
      </c>
      <c r="Q100">
        <v>0</v>
      </c>
      <c r="R100" t="s">
        <v>246</v>
      </c>
      <c r="S100" t="s">
        <v>247</v>
      </c>
      <c r="T100" t="s">
        <v>1442</v>
      </c>
      <c r="U100" t="s">
        <v>1442</v>
      </c>
      <c r="V100" t="s">
        <v>1442</v>
      </c>
      <c r="W100" t="s">
        <v>1442</v>
      </c>
    </row>
    <row r="101" spans="1:23" x14ac:dyDescent="0.25">
      <c r="A101" s="39">
        <v>45996.459985243098</v>
      </c>
      <c r="B101" s="40">
        <v>45996</v>
      </c>
      <c r="C101" t="s">
        <v>23</v>
      </c>
      <c r="D101" t="s">
        <v>24</v>
      </c>
      <c r="E101" t="s">
        <v>25</v>
      </c>
      <c r="F101" t="s">
        <v>1442</v>
      </c>
      <c r="G101" t="s">
        <v>1442</v>
      </c>
      <c r="H101" t="s">
        <v>1442</v>
      </c>
      <c r="I101">
        <v>0</v>
      </c>
      <c r="J101">
        <v>0</v>
      </c>
      <c r="K101">
        <v>17.7</v>
      </c>
      <c r="L101">
        <v>0</v>
      </c>
      <c r="M101">
        <v>0</v>
      </c>
      <c r="N101" t="s">
        <v>26</v>
      </c>
      <c r="O101">
        <v>0</v>
      </c>
      <c r="P101" t="s">
        <v>1442</v>
      </c>
      <c r="Q101">
        <v>0</v>
      </c>
      <c r="R101" t="s">
        <v>246</v>
      </c>
      <c r="S101" t="s">
        <v>248</v>
      </c>
      <c r="T101" t="s">
        <v>1442</v>
      </c>
      <c r="U101" t="s">
        <v>1442</v>
      </c>
      <c r="V101" t="s">
        <v>1442</v>
      </c>
      <c r="W101" t="s">
        <v>1442</v>
      </c>
    </row>
    <row r="102" spans="1:23" x14ac:dyDescent="0.25">
      <c r="A102" s="39">
        <v>45996.458492465303</v>
      </c>
      <c r="B102" s="40">
        <v>45996</v>
      </c>
      <c r="C102" t="s">
        <v>23</v>
      </c>
      <c r="D102" t="s">
        <v>24</v>
      </c>
      <c r="E102" t="s">
        <v>25</v>
      </c>
      <c r="F102" t="s">
        <v>1442</v>
      </c>
      <c r="G102" t="s">
        <v>1442</v>
      </c>
      <c r="H102" t="s">
        <v>1442</v>
      </c>
      <c r="I102">
        <v>0</v>
      </c>
      <c r="J102">
        <v>0</v>
      </c>
      <c r="K102">
        <v>100</v>
      </c>
      <c r="L102">
        <v>0</v>
      </c>
      <c r="M102">
        <v>0</v>
      </c>
      <c r="N102" t="s">
        <v>26</v>
      </c>
      <c r="O102">
        <v>0</v>
      </c>
      <c r="P102" t="s">
        <v>1442</v>
      </c>
      <c r="Q102">
        <v>0</v>
      </c>
      <c r="R102" t="s">
        <v>246</v>
      </c>
      <c r="S102" t="s">
        <v>249</v>
      </c>
      <c r="T102" t="s">
        <v>1442</v>
      </c>
      <c r="U102" t="s">
        <v>1442</v>
      </c>
      <c r="V102" t="s">
        <v>1442</v>
      </c>
      <c r="W102" t="s">
        <v>1442</v>
      </c>
    </row>
    <row r="103" spans="1:23" x14ac:dyDescent="0.25">
      <c r="A103" s="39">
        <v>45996.475151435203</v>
      </c>
      <c r="B103" s="40">
        <v>45996</v>
      </c>
      <c r="C103" t="s">
        <v>23</v>
      </c>
      <c r="D103" t="s">
        <v>30</v>
      </c>
      <c r="E103" t="s">
        <v>31</v>
      </c>
      <c r="F103" t="s">
        <v>64</v>
      </c>
      <c r="G103" t="s">
        <v>72</v>
      </c>
      <c r="H103" t="s">
        <v>73</v>
      </c>
      <c r="I103">
        <v>134.17307700000001</v>
      </c>
      <c r="J103">
        <v>0.37263099999999999</v>
      </c>
      <c r="K103">
        <v>-50</v>
      </c>
      <c r="L103">
        <v>-1</v>
      </c>
      <c r="M103">
        <v>0</v>
      </c>
      <c r="N103" t="s">
        <v>26</v>
      </c>
      <c r="O103">
        <v>0</v>
      </c>
      <c r="P103" t="s">
        <v>1442</v>
      </c>
      <c r="Q103">
        <v>0</v>
      </c>
      <c r="R103" t="s">
        <v>250</v>
      </c>
      <c r="S103" t="s">
        <v>251</v>
      </c>
      <c r="T103" t="s">
        <v>1442</v>
      </c>
      <c r="U103" t="s">
        <v>1442</v>
      </c>
      <c r="V103" t="s">
        <v>1442</v>
      </c>
      <c r="W103" t="s">
        <v>1442</v>
      </c>
    </row>
    <row r="104" spans="1:23" x14ac:dyDescent="0.25">
      <c r="A104" s="39">
        <v>45996.475943310201</v>
      </c>
      <c r="B104" s="40">
        <v>45996</v>
      </c>
      <c r="C104" t="s">
        <v>23</v>
      </c>
      <c r="D104" t="s">
        <v>30</v>
      </c>
      <c r="E104" t="s">
        <v>31</v>
      </c>
      <c r="F104" t="s">
        <v>64</v>
      </c>
      <c r="G104" t="s">
        <v>69</v>
      </c>
      <c r="H104" t="s">
        <v>69</v>
      </c>
      <c r="I104">
        <v>26.372817000000001</v>
      </c>
      <c r="J104">
        <v>1.782424</v>
      </c>
      <c r="K104">
        <v>-47.01</v>
      </c>
      <c r="L104">
        <v>-1</v>
      </c>
      <c r="M104">
        <v>0</v>
      </c>
      <c r="N104" t="s">
        <v>26</v>
      </c>
      <c r="O104">
        <v>0</v>
      </c>
      <c r="P104" t="s">
        <v>1442</v>
      </c>
      <c r="Q104">
        <v>0</v>
      </c>
      <c r="R104" t="s">
        <v>252</v>
      </c>
      <c r="S104" t="s">
        <v>253</v>
      </c>
      <c r="T104" t="s">
        <v>1442</v>
      </c>
      <c r="U104" t="s">
        <v>1442</v>
      </c>
      <c r="V104" t="s">
        <v>1442</v>
      </c>
      <c r="W104" t="s">
        <v>1442</v>
      </c>
    </row>
    <row r="105" spans="1:23" x14ac:dyDescent="0.25">
      <c r="A105" s="39">
        <v>45999.325430231504</v>
      </c>
      <c r="B105" s="40">
        <v>45999</v>
      </c>
      <c r="C105" t="s">
        <v>23</v>
      </c>
      <c r="D105" t="s">
        <v>30</v>
      </c>
      <c r="E105" t="s">
        <v>31</v>
      </c>
      <c r="F105" t="s">
        <v>32</v>
      </c>
      <c r="G105" t="s">
        <v>211</v>
      </c>
      <c r="H105" t="s">
        <v>212</v>
      </c>
      <c r="I105">
        <v>8</v>
      </c>
      <c r="J105">
        <v>5.75</v>
      </c>
      <c r="K105">
        <v>-46</v>
      </c>
      <c r="L105">
        <v>-1</v>
      </c>
      <c r="M105">
        <v>0</v>
      </c>
      <c r="N105" t="s">
        <v>26</v>
      </c>
      <c r="O105">
        <v>0</v>
      </c>
      <c r="P105" t="s">
        <v>1442</v>
      </c>
      <c r="Q105">
        <v>0</v>
      </c>
      <c r="R105" t="s">
        <v>254</v>
      </c>
      <c r="S105" t="s">
        <v>255</v>
      </c>
      <c r="T105" t="s">
        <v>1442</v>
      </c>
      <c r="U105" t="s">
        <v>1442</v>
      </c>
      <c r="V105" t="s">
        <v>1442</v>
      </c>
      <c r="W105" t="s">
        <v>1442</v>
      </c>
    </row>
    <row r="106" spans="1:23" x14ac:dyDescent="0.25">
      <c r="A106" s="39">
        <v>45999.325430231504</v>
      </c>
      <c r="B106" s="40">
        <v>45999</v>
      </c>
      <c r="C106" t="s">
        <v>23</v>
      </c>
      <c r="D106" t="s">
        <v>30</v>
      </c>
      <c r="E106" t="s">
        <v>31</v>
      </c>
      <c r="F106" t="s">
        <v>32</v>
      </c>
      <c r="G106" t="s">
        <v>211</v>
      </c>
      <c r="H106" t="s">
        <v>212</v>
      </c>
      <c r="I106">
        <v>0.69565200000000005</v>
      </c>
      <c r="J106">
        <v>5.75</v>
      </c>
      <c r="K106">
        <v>-4</v>
      </c>
      <c r="L106">
        <v>0</v>
      </c>
      <c r="M106">
        <v>0</v>
      </c>
      <c r="N106" t="s">
        <v>26</v>
      </c>
      <c r="O106">
        <v>0</v>
      </c>
      <c r="P106" t="s">
        <v>1442</v>
      </c>
      <c r="Q106">
        <v>0</v>
      </c>
      <c r="R106" t="s">
        <v>256</v>
      </c>
      <c r="S106" t="s">
        <v>257</v>
      </c>
      <c r="T106" t="s">
        <v>1442</v>
      </c>
      <c r="U106" t="s">
        <v>1442</v>
      </c>
      <c r="V106" t="s">
        <v>1442</v>
      </c>
      <c r="W106" t="s">
        <v>1442</v>
      </c>
    </row>
    <row r="107" spans="1:23" x14ac:dyDescent="0.25">
      <c r="A107" s="39">
        <v>45999.419839340298</v>
      </c>
      <c r="B107" s="40">
        <v>45999</v>
      </c>
      <c r="C107" t="s">
        <v>23</v>
      </c>
      <c r="D107" t="s">
        <v>24</v>
      </c>
      <c r="E107" t="s">
        <v>258</v>
      </c>
      <c r="F107" t="s">
        <v>1442</v>
      </c>
      <c r="G107" t="s">
        <v>1442</v>
      </c>
      <c r="H107" t="s">
        <v>1442</v>
      </c>
      <c r="I107">
        <v>0</v>
      </c>
      <c r="J107">
        <v>0</v>
      </c>
      <c r="K107">
        <v>21</v>
      </c>
      <c r="L107">
        <v>0</v>
      </c>
      <c r="M107">
        <v>0</v>
      </c>
      <c r="N107" t="s">
        <v>26</v>
      </c>
      <c r="O107">
        <v>0</v>
      </c>
      <c r="P107" t="s">
        <v>1442</v>
      </c>
      <c r="Q107">
        <v>0</v>
      </c>
      <c r="R107" t="s">
        <v>259</v>
      </c>
      <c r="S107" t="s">
        <v>260</v>
      </c>
      <c r="T107" t="s">
        <v>1442</v>
      </c>
      <c r="U107" t="s">
        <v>1442</v>
      </c>
      <c r="V107" t="s">
        <v>1442</v>
      </c>
      <c r="W107" t="s">
        <v>1442</v>
      </c>
    </row>
    <row r="108" spans="1:23" x14ac:dyDescent="0.25">
      <c r="A108" s="39">
        <v>45999.325018738396</v>
      </c>
      <c r="B108" s="40">
        <v>45999</v>
      </c>
      <c r="C108" t="s">
        <v>23</v>
      </c>
      <c r="D108" t="s">
        <v>24</v>
      </c>
      <c r="E108" t="s">
        <v>25</v>
      </c>
      <c r="F108" t="s">
        <v>1442</v>
      </c>
      <c r="G108" t="s">
        <v>1442</v>
      </c>
      <c r="H108" t="s">
        <v>1442</v>
      </c>
      <c r="I108">
        <v>0</v>
      </c>
      <c r="J108">
        <v>0</v>
      </c>
      <c r="K108">
        <v>50</v>
      </c>
      <c r="L108">
        <v>0</v>
      </c>
      <c r="M108">
        <v>0</v>
      </c>
      <c r="N108" t="s">
        <v>26</v>
      </c>
      <c r="O108">
        <v>0</v>
      </c>
      <c r="P108" t="s">
        <v>1442</v>
      </c>
      <c r="Q108">
        <v>0</v>
      </c>
      <c r="R108" t="s">
        <v>246</v>
      </c>
      <c r="S108" t="s">
        <v>261</v>
      </c>
      <c r="T108" t="s">
        <v>1442</v>
      </c>
      <c r="U108" t="s">
        <v>1442</v>
      </c>
      <c r="V108" t="s">
        <v>1442</v>
      </c>
      <c r="W108" t="s">
        <v>1442</v>
      </c>
    </row>
    <row r="109" spans="1:23" x14ac:dyDescent="0.25">
      <c r="A109" s="39">
        <v>45999.419985057903</v>
      </c>
      <c r="B109" s="40">
        <v>45999</v>
      </c>
      <c r="C109" t="s">
        <v>23</v>
      </c>
      <c r="D109" t="s">
        <v>30</v>
      </c>
      <c r="E109" t="s">
        <v>31</v>
      </c>
      <c r="F109" t="s">
        <v>32</v>
      </c>
      <c r="G109" t="s">
        <v>262</v>
      </c>
      <c r="H109" t="s">
        <v>263</v>
      </c>
      <c r="I109">
        <v>0.58191400000000004</v>
      </c>
      <c r="J109">
        <v>34.335000000000001</v>
      </c>
      <c r="K109">
        <v>-19.98</v>
      </c>
      <c r="L109">
        <v>-1</v>
      </c>
      <c r="M109">
        <v>0</v>
      </c>
      <c r="N109" t="s">
        <v>26</v>
      </c>
      <c r="O109">
        <v>0</v>
      </c>
      <c r="P109" t="s">
        <v>1442</v>
      </c>
      <c r="Q109">
        <v>0</v>
      </c>
      <c r="R109" t="s">
        <v>264</v>
      </c>
      <c r="S109" t="s">
        <v>265</v>
      </c>
      <c r="T109" t="s">
        <v>1442</v>
      </c>
      <c r="U109" t="s">
        <v>1442</v>
      </c>
      <c r="V109" t="s">
        <v>1442</v>
      </c>
      <c r="W109" t="s">
        <v>1442</v>
      </c>
    </row>
    <row r="110" spans="1:23" x14ac:dyDescent="0.25">
      <c r="A110" s="39">
        <v>46000.584048865698</v>
      </c>
      <c r="B110" s="40">
        <v>46000</v>
      </c>
      <c r="C110" t="s">
        <v>23</v>
      </c>
      <c r="D110" t="s">
        <v>30</v>
      </c>
      <c r="E110" t="s">
        <v>31</v>
      </c>
      <c r="F110" t="s">
        <v>32</v>
      </c>
      <c r="G110" t="s">
        <v>154</v>
      </c>
      <c r="H110" t="s">
        <v>155</v>
      </c>
      <c r="I110">
        <v>0.27538000000000001</v>
      </c>
      <c r="J110">
        <v>24.32</v>
      </c>
      <c r="K110">
        <v>-6.7</v>
      </c>
      <c r="L110">
        <v>0</v>
      </c>
      <c r="M110">
        <v>0</v>
      </c>
      <c r="N110" t="s">
        <v>26</v>
      </c>
      <c r="O110">
        <v>0</v>
      </c>
      <c r="P110" t="s">
        <v>1442</v>
      </c>
      <c r="Q110">
        <v>0</v>
      </c>
      <c r="R110" t="s">
        <v>266</v>
      </c>
      <c r="S110" t="s">
        <v>267</v>
      </c>
      <c r="T110" t="s">
        <v>1442</v>
      </c>
      <c r="U110" t="s">
        <v>1442</v>
      </c>
      <c r="V110" t="s">
        <v>1442</v>
      </c>
      <c r="W110" t="s">
        <v>1442</v>
      </c>
    </row>
    <row r="111" spans="1:23" x14ac:dyDescent="0.25">
      <c r="A111" s="39">
        <v>46000.584048888901</v>
      </c>
      <c r="B111" s="40">
        <v>46000</v>
      </c>
      <c r="C111" t="s">
        <v>23</v>
      </c>
      <c r="D111" t="s">
        <v>30</v>
      </c>
      <c r="E111" t="s">
        <v>31</v>
      </c>
      <c r="F111" t="s">
        <v>32</v>
      </c>
      <c r="G111" t="s">
        <v>154</v>
      </c>
      <c r="H111" t="s">
        <v>155</v>
      </c>
      <c r="I111">
        <v>10</v>
      </c>
      <c r="J111">
        <v>24.32</v>
      </c>
      <c r="K111">
        <v>-243.2</v>
      </c>
      <c r="L111">
        <v>-1</v>
      </c>
      <c r="M111">
        <v>0</v>
      </c>
      <c r="N111" t="s">
        <v>26</v>
      </c>
      <c r="O111">
        <v>0</v>
      </c>
      <c r="P111" t="s">
        <v>1442</v>
      </c>
      <c r="Q111">
        <v>0</v>
      </c>
      <c r="R111" t="s">
        <v>268</v>
      </c>
      <c r="S111" t="s">
        <v>269</v>
      </c>
      <c r="T111" t="s">
        <v>1442</v>
      </c>
      <c r="U111" t="s">
        <v>1442</v>
      </c>
      <c r="V111" t="s">
        <v>1442</v>
      </c>
      <c r="W111" t="s">
        <v>1442</v>
      </c>
    </row>
    <row r="112" spans="1:23" x14ac:dyDescent="0.25">
      <c r="A112" s="39">
        <v>46000.809019236098</v>
      </c>
      <c r="B112" s="40">
        <v>46000</v>
      </c>
      <c r="C112" t="s">
        <v>23</v>
      </c>
      <c r="D112" t="s">
        <v>24</v>
      </c>
      <c r="E112" t="s">
        <v>25</v>
      </c>
      <c r="F112" t="s">
        <v>1442</v>
      </c>
      <c r="G112" t="s">
        <v>1442</v>
      </c>
      <c r="H112" t="s">
        <v>1442</v>
      </c>
      <c r="I112">
        <v>0</v>
      </c>
      <c r="J112">
        <v>0</v>
      </c>
      <c r="K112">
        <v>90</v>
      </c>
      <c r="L112">
        <v>0</v>
      </c>
      <c r="M112">
        <v>0</v>
      </c>
      <c r="N112" t="s">
        <v>26</v>
      </c>
      <c r="O112">
        <v>0</v>
      </c>
      <c r="P112" t="s">
        <v>1442</v>
      </c>
      <c r="Q112">
        <v>0</v>
      </c>
      <c r="R112" t="s">
        <v>246</v>
      </c>
      <c r="S112" t="s">
        <v>270</v>
      </c>
      <c r="T112" t="s">
        <v>1442</v>
      </c>
      <c r="U112" t="s">
        <v>1442</v>
      </c>
      <c r="V112" t="s">
        <v>1442</v>
      </c>
      <c r="W112" t="s">
        <v>1442</v>
      </c>
    </row>
    <row r="113" spans="1:23" x14ac:dyDescent="0.25">
      <c r="A113" s="39">
        <v>46000.583655486102</v>
      </c>
      <c r="B113" s="40">
        <v>46000</v>
      </c>
      <c r="C113" t="s">
        <v>23</v>
      </c>
      <c r="D113" t="s">
        <v>24</v>
      </c>
      <c r="E113" t="s">
        <v>25</v>
      </c>
      <c r="F113" t="s">
        <v>1442</v>
      </c>
      <c r="G113" t="s">
        <v>1442</v>
      </c>
      <c r="H113" t="s">
        <v>1442</v>
      </c>
      <c r="I113">
        <v>0</v>
      </c>
      <c r="J113">
        <v>0</v>
      </c>
      <c r="K113">
        <v>251</v>
      </c>
      <c r="L113">
        <v>0</v>
      </c>
      <c r="M113">
        <v>0</v>
      </c>
      <c r="N113" t="s">
        <v>26</v>
      </c>
      <c r="O113">
        <v>0</v>
      </c>
      <c r="P113" t="s">
        <v>1442</v>
      </c>
      <c r="Q113">
        <v>0</v>
      </c>
      <c r="R113" t="s">
        <v>246</v>
      </c>
      <c r="S113" t="s">
        <v>271</v>
      </c>
      <c r="T113" t="s">
        <v>1442</v>
      </c>
      <c r="U113" t="s">
        <v>1442</v>
      </c>
      <c r="V113" t="s">
        <v>1442</v>
      </c>
      <c r="W113" t="s">
        <v>1442</v>
      </c>
    </row>
    <row r="114" spans="1:23" x14ac:dyDescent="0.25">
      <c r="A114" s="39">
        <v>46000.8097329745</v>
      </c>
      <c r="B114" s="40">
        <v>46000</v>
      </c>
      <c r="C114" t="s">
        <v>23</v>
      </c>
      <c r="D114" t="s">
        <v>30</v>
      </c>
      <c r="E114" t="s">
        <v>31</v>
      </c>
      <c r="F114" t="s">
        <v>64</v>
      </c>
      <c r="G114" t="s">
        <v>114</v>
      </c>
      <c r="H114" t="s">
        <v>115</v>
      </c>
      <c r="I114">
        <v>13.04</v>
      </c>
      <c r="J114">
        <v>1.53383</v>
      </c>
      <c r="K114">
        <v>-20</v>
      </c>
      <c r="L114">
        <v>-1</v>
      </c>
      <c r="M114">
        <v>0</v>
      </c>
      <c r="N114" t="s">
        <v>26</v>
      </c>
      <c r="O114">
        <v>0</v>
      </c>
      <c r="P114" t="s">
        <v>1442</v>
      </c>
      <c r="Q114">
        <v>0</v>
      </c>
      <c r="R114" t="s">
        <v>272</v>
      </c>
      <c r="S114" t="s">
        <v>273</v>
      </c>
      <c r="T114" t="s">
        <v>1442</v>
      </c>
      <c r="U114" t="s">
        <v>1442</v>
      </c>
      <c r="V114" t="s">
        <v>1442</v>
      </c>
      <c r="W114" t="s">
        <v>1442</v>
      </c>
    </row>
    <row r="115" spans="1:23" x14ac:dyDescent="0.25">
      <c r="A115" s="39">
        <v>46000.810037581003</v>
      </c>
      <c r="B115" s="40">
        <v>46000</v>
      </c>
      <c r="C115" t="s">
        <v>23</v>
      </c>
      <c r="D115" t="s">
        <v>30</v>
      </c>
      <c r="E115" t="s">
        <v>31</v>
      </c>
      <c r="F115" t="s">
        <v>64</v>
      </c>
      <c r="G115" t="s">
        <v>118</v>
      </c>
      <c r="H115" t="s">
        <v>119</v>
      </c>
      <c r="I115">
        <v>10.857816</v>
      </c>
      <c r="J115">
        <v>2.0261900000000002</v>
      </c>
      <c r="K115">
        <v>-22</v>
      </c>
      <c r="L115">
        <v>-1</v>
      </c>
      <c r="M115">
        <v>0</v>
      </c>
      <c r="N115" t="s">
        <v>26</v>
      </c>
      <c r="O115">
        <v>0</v>
      </c>
      <c r="P115" t="s">
        <v>1442</v>
      </c>
      <c r="Q115">
        <v>0</v>
      </c>
      <c r="R115" t="s">
        <v>274</v>
      </c>
      <c r="S115" t="s">
        <v>275</v>
      </c>
      <c r="T115" t="s">
        <v>1442</v>
      </c>
      <c r="U115" t="s">
        <v>1442</v>
      </c>
      <c r="V115" t="s">
        <v>1442</v>
      </c>
      <c r="W115" t="s">
        <v>1442</v>
      </c>
    </row>
    <row r="116" spans="1:23" x14ac:dyDescent="0.25">
      <c r="A116" s="39">
        <v>46000.810472256897</v>
      </c>
      <c r="B116" s="40">
        <v>46000</v>
      </c>
      <c r="C116" t="s">
        <v>23</v>
      </c>
      <c r="D116" t="s">
        <v>30</v>
      </c>
      <c r="E116" t="s">
        <v>31</v>
      </c>
      <c r="F116" t="s">
        <v>64</v>
      </c>
      <c r="G116" t="s">
        <v>107</v>
      </c>
      <c r="H116" t="s">
        <v>108</v>
      </c>
      <c r="I116">
        <v>3.5138129999999999</v>
      </c>
      <c r="J116">
        <v>12.806699999999999</v>
      </c>
      <c r="K116">
        <v>-45</v>
      </c>
      <c r="L116">
        <v>-1</v>
      </c>
      <c r="M116">
        <v>0</v>
      </c>
      <c r="N116" t="s">
        <v>26</v>
      </c>
      <c r="O116">
        <v>0</v>
      </c>
      <c r="P116" t="s">
        <v>1442</v>
      </c>
      <c r="Q116">
        <v>0</v>
      </c>
      <c r="R116" t="s">
        <v>276</v>
      </c>
      <c r="S116" t="s">
        <v>277</v>
      </c>
      <c r="T116" t="s">
        <v>1442</v>
      </c>
      <c r="U116" t="s">
        <v>1442</v>
      </c>
      <c r="V116" t="s">
        <v>1442</v>
      </c>
      <c r="W116" t="s">
        <v>1442</v>
      </c>
    </row>
    <row r="117" spans="1:23" x14ac:dyDescent="0.25">
      <c r="A117" s="39">
        <v>46001.403074166701</v>
      </c>
      <c r="B117" s="40">
        <v>46001</v>
      </c>
      <c r="C117" t="s">
        <v>23</v>
      </c>
      <c r="D117" t="s">
        <v>30</v>
      </c>
      <c r="E117" t="s">
        <v>31</v>
      </c>
      <c r="F117" t="s">
        <v>32</v>
      </c>
      <c r="G117" t="s">
        <v>211</v>
      </c>
      <c r="H117" t="s">
        <v>212</v>
      </c>
      <c r="I117">
        <v>0.16666600000000001</v>
      </c>
      <c r="J117">
        <v>5.95</v>
      </c>
      <c r="K117">
        <v>-0.99</v>
      </c>
      <c r="L117">
        <v>0</v>
      </c>
      <c r="M117">
        <v>0</v>
      </c>
      <c r="N117" t="s">
        <v>26</v>
      </c>
      <c r="O117">
        <v>0</v>
      </c>
      <c r="P117" t="s">
        <v>1442</v>
      </c>
      <c r="Q117">
        <v>0</v>
      </c>
      <c r="R117" t="s">
        <v>278</v>
      </c>
      <c r="S117" t="s">
        <v>279</v>
      </c>
      <c r="T117" t="s">
        <v>1442</v>
      </c>
      <c r="U117" t="s">
        <v>1442</v>
      </c>
      <c r="V117" t="s">
        <v>1442</v>
      </c>
      <c r="W117" t="s">
        <v>1442</v>
      </c>
    </row>
    <row r="118" spans="1:23" x14ac:dyDescent="0.25">
      <c r="A118" s="39">
        <v>46001.403074247697</v>
      </c>
      <c r="B118" s="40">
        <v>46001</v>
      </c>
      <c r="C118" t="s">
        <v>23</v>
      </c>
      <c r="D118" t="s">
        <v>30</v>
      </c>
      <c r="E118" t="s">
        <v>31</v>
      </c>
      <c r="F118" t="s">
        <v>32</v>
      </c>
      <c r="G118" t="s">
        <v>211</v>
      </c>
      <c r="H118" t="s">
        <v>212</v>
      </c>
      <c r="I118">
        <v>10</v>
      </c>
      <c r="J118">
        <v>5.95</v>
      </c>
      <c r="K118">
        <v>-59.5</v>
      </c>
      <c r="L118">
        <v>-1</v>
      </c>
      <c r="M118">
        <v>0</v>
      </c>
      <c r="N118" t="s">
        <v>26</v>
      </c>
      <c r="O118">
        <v>0</v>
      </c>
      <c r="P118" t="s">
        <v>1442</v>
      </c>
      <c r="Q118">
        <v>0</v>
      </c>
      <c r="R118" t="s">
        <v>280</v>
      </c>
      <c r="S118" t="s">
        <v>281</v>
      </c>
      <c r="T118" t="s">
        <v>1442</v>
      </c>
      <c r="U118" t="s">
        <v>1442</v>
      </c>
      <c r="V118" t="s">
        <v>1442</v>
      </c>
      <c r="W118" t="s">
        <v>1442</v>
      </c>
    </row>
    <row r="119" spans="1:23" x14ac:dyDescent="0.25">
      <c r="A119" s="39">
        <v>46001.403414884298</v>
      </c>
      <c r="B119" s="40">
        <v>46001</v>
      </c>
      <c r="C119" t="s">
        <v>23</v>
      </c>
      <c r="D119" t="s">
        <v>30</v>
      </c>
      <c r="E119" t="s">
        <v>31</v>
      </c>
      <c r="F119" t="s">
        <v>32</v>
      </c>
      <c r="G119" t="s">
        <v>262</v>
      </c>
      <c r="H119" t="s">
        <v>263</v>
      </c>
      <c r="I119">
        <v>1</v>
      </c>
      <c r="J119">
        <v>36.195</v>
      </c>
      <c r="K119">
        <v>-36.200000000000003</v>
      </c>
      <c r="L119">
        <v>-1</v>
      </c>
      <c r="M119">
        <v>0</v>
      </c>
      <c r="N119" t="s">
        <v>26</v>
      </c>
      <c r="O119">
        <v>0</v>
      </c>
      <c r="P119" t="s">
        <v>1442</v>
      </c>
      <c r="Q119">
        <v>0</v>
      </c>
      <c r="R119" t="s">
        <v>282</v>
      </c>
      <c r="S119" t="s">
        <v>283</v>
      </c>
      <c r="T119" t="s">
        <v>1442</v>
      </c>
      <c r="U119" t="s">
        <v>1442</v>
      </c>
      <c r="V119" t="s">
        <v>1442</v>
      </c>
      <c r="W119" t="s">
        <v>1442</v>
      </c>
    </row>
    <row r="120" spans="1:23" x14ac:dyDescent="0.25">
      <c r="A120" s="39">
        <v>46001.403414918997</v>
      </c>
      <c r="B120" s="40">
        <v>46001</v>
      </c>
      <c r="C120" t="s">
        <v>23</v>
      </c>
      <c r="D120" t="s">
        <v>30</v>
      </c>
      <c r="E120" t="s">
        <v>31</v>
      </c>
      <c r="F120" t="s">
        <v>32</v>
      </c>
      <c r="G120" t="s">
        <v>262</v>
      </c>
      <c r="H120" t="s">
        <v>263</v>
      </c>
      <c r="I120">
        <v>2.2239999999999999E-2</v>
      </c>
      <c r="J120">
        <v>36.195</v>
      </c>
      <c r="K120">
        <v>-0.8</v>
      </c>
      <c r="L120">
        <v>0</v>
      </c>
      <c r="M120">
        <v>0</v>
      </c>
      <c r="N120" t="s">
        <v>26</v>
      </c>
      <c r="O120">
        <v>0</v>
      </c>
      <c r="P120" t="s">
        <v>1442</v>
      </c>
      <c r="Q120">
        <v>0</v>
      </c>
      <c r="R120" t="s">
        <v>284</v>
      </c>
      <c r="S120" t="s">
        <v>285</v>
      </c>
      <c r="T120" t="s">
        <v>1442</v>
      </c>
      <c r="U120" t="s">
        <v>1442</v>
      </c>
      <c r="V120" t="s">
        <v>1442</v>
      </c>
      <c r="W120" t="s">
        <v>1442</v>
      </c>
    </row>
    <row r="121" spans="1:23" x14ac:dyDescent="0.25">
      <c r="A121" s="39">
        <v>46001.514003321798</v>
      </c>
      <c r="B121" s="40">
        <v>46001</v>
      </c>
      <c r="C121" t="s">
        <v>23</v>
      </c>
      <c r="D121" t="s">
        <v>30</v>
      </c>
      <c r="E121" t="s">
        <v>31</v>
      </c>
      <c r="F121" t="s">
        <v>32</v>
      </c>
      <c r="G121" t="s">
        <v>154</v>
      </c>
      <c r="H121" t="s">
        <v>155</v>
      </c>
      <c r="I121">
        <v>0.16742399999999999</v>
      </c>
      <c r="J121">
        <v>24.19</v>
      </c>
      <c r="K121">
        <v>-4.05</v>
      </c>
      <c r="L121">
        <v>0</v>
      </c>
      <c r="M121">
        <v>0</v>
      </c>
      <c r="N121" t="s">
        <v>26</v>
      </c>
      <c r="O121">
        <v>0</v>
      </c>
      <c r="P121" t="s">
        <v>1442</v>
      </c>
      <c r="Q121">
        <v>0</v>
      </c>
      <c r="R121" t="s">
        <v>286</v>
      </c>
      <c r="S121" t="s">
        <v>287</v>
      </c>
      <c r="T121" t="s">
        <v>1442</v>
      </c>
      <c r="U121" t="s">
        <v>1442</v>
      </c>
      <c r="V121" t="s">
        <v>1442</v>
      </c>
      <c r="W121" t="s">
        <v>1442</v>
      </c>
    </row>
    <row r="122" spans="1:23" x14ac:dyDescent="0.25">
      <c r="A122" s="39">
        <v>46001.514003333301</v>
      </c>
      <c r="B122" s="40">
        <v>46001</v>
      </c>
      <c r="C122" t="s">
        <v>23</v>
      </c>
      <c r="D122" t="s">
        <v>30</v>
      </c>
      <c r="E122" t="s">
        <v>31</v>
      </c>
      <c r="F122" t="s">
        <v>32</v>
      </c>
      <c r="G122" t="s">
        <v>154</v>
      </c>
      <c r="H122" t="s">
        <v>155</v>
      </c>
      <c r="I122">
        <v>5</v>
      </c>
      <c r="J122">
        <v>24.19</v>
      </c>
      <c r="K122">
        <v>-120.95</v>
      </c>
      <c r="L122">
        <v>-1</v>
      </c>
      <c r="M122">
        <v>0</v>
      </c>
      <c r="N122" t="s">
        <v>26</v>
      </c>
      <c r="O122">
        <v>0</v>
      </c>
      <c r="P122" t="s">
        <v>1442</v>
      </c>
      <c r="Q122">
        <v>0</v>
      </c>
      <c r="R122" t="s">
        <v>288</v>
      </c>
      <c r="S122" t="s">
        <v>289</v>
      </c>
      <c r="T122" t="s">
        <v>1442</v>
      </c>
      <c r="U122" t="s">
        <v>1442</v>
      </c>
      <c r="V122" t="s">
        <v>1442</v>
      </c>
      <c r="W122" t="s">
        <v>1442</v>
      </c>
    </row>
    <row r="123" spans="1:23" x14ac:dyDescent="0.25">
      <c r="A123" s="39">
        <v>46001.957251724503</v>
      </c>
      <c r="B123" s="40">
        <v>46001</v>
      </c>
      <c r="C123" t="s">
        <v>23</v>
      </c>
      <c r="D123" t="s">
        <v>24</v>
      </c>
      <c r="E123" t="s">
        <v>25</v>
      </c>
      <c r="F123" t="s">
        <v>1442</v>
      </c>
      <c r="G123" t="s">
        <v>1442</v>
      </c>
      <c r="H123" t="s">
        <v>1442</v>
      </c>
      <c r="I123">
        <v>0</v>
      </c>
      <c r="J123">
        <v>0</v>
      </c>
      <c r="K123">
        <v>200</v>
      </c>
      <c r="L123">
        <v>0</v>
      </c>
      <c r="M123">
        <v>0</v>
      </c>
      <c r="N123" t="s">
        <v>26</v>
      </c>
      <c r="O123">
        <v>0</v>
      </c>
      <c r="P123" t="s">
        <v>1442</v>
      </c>
      <c r="Q123">
        <v>0</v>
      </c>
      <c r="R123" t="s">
        <v>246</v>
      </c>
      <c r="S123" t="s">
        <v>290</v>
      </c>
      <c r="T123" t="s">
        <v>1442</v>
      </c>
      <c r="U123" t="s">
        <v>1442</v>
      </c>
      <c r="V123" t="s">
        <v>1442</v>
      </c>
      <c r="W123" t="s">
        <v>1442</v>
      </c>
    </row>
    <row r="124" spans="1:23" x14ac:dyDescent="0.25">
      <c r="A124" s="39">
        <v>46001.400944363399</v>
      </c>
      <c r="B124" s="40">
        <v>46001</v>
      </c>
      <c r="C124" t="s">
        <v>23</v>
      </c>
      <c r="D124" t="s">
        <v>24</v>
      </c>
      <c r="E124" t="s">
        <v>25</v>
      </c>
      <c r="F124" t="s">
        <v>1442</v>
      </c>
      <c r="G124" t="s">
        <v>1442</v>
      </c>
      <c r="H124" t="s">
        <v>1442</v>
      </c>
      <c r="I124">
        <v>0</v>
      </c>
      <c r="J124">
        <v>0</v>
      </c>
      <c r="K124">
        <v>100</v>
      </c>
      <c r="L124">
        <v>0</v>
      </c>
      <c r="M124">
        <v>0</v>
      </c>
      <c r="N124" t="s">
        <v>26</v>
      </c>
      <c r="O124">
        <v>0</v>
      </c>
      <c r="P124" t="s">
        <v>1442</v>
      </c>
      <c r="Q124">
        <v>0</v>
      </c>
      <c r="R124" t="s">
        <v>246</v>
      </c>
      <c r="S124" t="s">
        <v>291</v>
      </c>
      <c r="T124" t="s">
        <v>1442</v>
      </c>
      <c r="U124" t="s">
        <v>1442</v>
      </c>
      <c r="V124" t="s">
        <v>1442</v>
      </c>
      <c r="W124" t="s">
        <v>1442</v>
      </c>
    </row>
    <row r="125" spans="1:23" x14ac:dyDescent="0.25">
      <c r="A125" s="39">
        <v>46001.513589722199</v>
      </c>
      <c r="B125" s="40">
        <v>46001</v>
      </c>
      <c r="C125" t="s">
        <v>23</v>
      </c>
      <c r="D125" t="s">
        <v>24</v>
      </c>
      <c r="E125" t="s">
        <v>25</v>
      </c>
      <c r="F125" t="s">
        <v>1442</v>
      </c>
      <c r="G125" t="s">
        <v>1442</v>
      </c>
      <c r="H125" t="s">
        <v>1442</v>
      </c>
      <c r="I125">
        <v>0</v>
      </c>
      <c r="J125">
        <v>0</v>
      </c>
      <c r="K125">
        <v>126</v>
      </c>
      <c r="L125">
        <v>0</v>
      </c>
      <c r="M125">
        <v>0</v>
      </c>
      <c r="N125" t="s">
        <v>26</v>
      </c>
      <c r="O125">
        <v>0</v>
      </c>
      <c r="P125" t="s">
        <v>1442</v>
      </c>
      <c r="Q125">
        <v>0</v>
      </c>
      <c r="R125" t="s">
        <v>246</v>
      </c>
      <c r="S125" t="s">
        <v>292</v>
      </c>
      <c r="T125" t="s">
        <v>1442</v>
      </c>
      <c r="U125" t="s">
        <v>1442</v>
      </c>
      <c r="V125" t="s">
        <v>1442</v>
      </c>
      <c r="W125" t="s">
        <v>1442</v>
      </c>
    </row>
    <row r="126" spans="1:23" x14ac:dyDescent="0.25">
      <c r="A126" s="39">
        <v>46001.957883958297</v>
      </c>
      <c r="B126" s="40">
        <v>46001</v>
      </c>
      <c r="C126" t="s">
        <v>23</v>
      </c>
      <c r="D126" t="s">
        <v>30</v>
      </c>
      <c r="E126" t="s">
        <v>31</v>
      </c>
      <c r="F126" t="s">
        <v>32</v>
      </c>
      <c r="G126" t="s">
        <v>293</v>
      </c>
      <c r="H126" t="s">
        <v>294</v>
      </c>
      <c r="I126">
        <v>23</v>
      </c>
      <c r="J126">
        <v>8.35</v>
      </c>
      <c r="K126">
        <v>-192.05</v>
      </c>
      <c r="L126">
        <v>-1</v>
      </c>
      <c r="M126">
        <v>0</v>
      </c>
      <c r="N126" t="s">
        <v>26</v>
      </c>
      <c r="O126">
        <v>0</v>
      </c>
      <c r="P126" t="s">
        <v>1442</v>
      </c>
      <c r="Q126">
        <v>0</v>
      </c>
      <c r="R126" t="s">
        <v>295</v>
      </c>
      <c r="S126" t="s">
        <v>296</v>
      </c>
      <c r="T126" t="s">
        <v>1442</v>
      </c>
      <c r="U126" t="s">
        <v>1442</v>
      </c>
      <c r="V126" t="s">
        <v>1442</v>
      </c>
      <c r="W126" t="s">
        <v>1442</v>
      </c>
    </row>
    <row r="127" spans="1:23" x14ac:dyDescent="0.25">
      <c r="A127" s="39">
        <v>46001.9578839815</v>
      </c>
      <c r="B127" s="40">
        <v>46001</v>
      </c>
      <c r="C127" t="s">
        <v>23</v>
      </c>
      <c r="D127" t="s">
        <v>30</v>
      </c>
      <c r="E127" t="s">
        <v>31</v>
      </c>
      <c r="F127" t="s">
        <v>32</v>
      </c>
      <c r="G127" t="s">
        <v>293</v>
      </c>
      <c r="H127" t="s">
        <v>294</v>
      </c>
      <c r="I127">
        <v>0.83233500000000005</v>
      </c>
      <c r="J127">
        <v>8.35</v>
      </c>
      <c r="K127">
        <v>-6.95</v>
      </c>
      <c r="L127">
        <v>0</v>
      </c>
      <c r="M127">
        <v>0</v>
      </c>
      <c r="N127" t="s">
        <v>26</v>
      </c>
      <c r="O127">
        <v>0</v>
      </c>
      <c r="P127" t="s">
        <v>1442</v>
      </c>
      <c r="Q127">
        <v>0</v>
      </c>
      <c r="R127" t="s">
        <v>297</v>
      </c>
      <c r="S127" t="s">
        <v>298</v>
      </c>
      <c r="T127" t="s">
        <v>1442</v>
      </c>
      <c r="U127" t="s">
        <v>1442</v>
      </c>
      <c r="V127" t="s">
        <v>1442</v>
      </c>
      <c r="W127" t="s">
        <v>1442</v>
      </c>
    </row>
    <row r="128" spans="1:23" x14ac:dyDescent="0.25">
      <c r="A128" s="39">
        <v>46008.434096921301</v>
      </c>
      <c r="B128" s="40">
        <v>46008</v>
      </c>
      <c r="C128" t="s">
        <v>23</v>
      </c>
      <c r="D128" t="s">
        <v>24</v>
      </c>
      <c r="E128" t="s">
        <v>25</v>
      </c>
      <c r="F128" t="s">
        <v>1442</v>
      </c>
      <c r="G128" t="s">
        <v>1442</v>
      </c>
      <c r="H128" t="s">
        <v>1442</v>
      </c>
      <c r="I128">
        <v>0</v>
      </c>
      <c r="J128">
        <v>0</v>
      </c>
      <c r="K128">
        <v>104.66</v>
      </c>
      <c r="L128">
        <v>0</v>
      </c>
      <c r="M128">
        <v>0</v>
      </c>
      <c r="N128" t="s">
        <v>26</v>
      </c>
      <c r="O128">
        <v>0</v>
      </c>
      <c r="P128" t="s">
        <v>1442</v>
      </c>
      <c r="Q128">
        <v>0</v>
      </c>
      <c r="R128" t="s">
        <v>246</v>
      </c>
      <c r="S128" t="s">
        <v>299</v>
      </c>
      <c r="T128" t="s">
        <v>1442</v>
      </c>
      <c r="U128" t="s">
        <v>1442</v>
      </c>
      <c r="V128" t="s">
        <v>1442</v>
      </c>
      <c r="W128" t="s">
        <v>1442</v>
      </c>
    </row>
    <row r="129" spans="1:23" x14ac:dyDescent="0.25">
      <c r="A129" s="39">
        <v>46008.434497256902</v>
      </c>
      <c r="B129" s="40">
        <v>46008</v>
      </c>
      <c r="C129" t="s">
        <v>23</v>
      </c>
      <c r="D129" t="s">
        <v>30</v>
      </c>
      <c r="E129" t="s">
        <v>31</v>
      </c>
      <c r="F129" t="s">
        <v>32</v>
      </c>
      <c r="G129" t="s">
        <v>300</v>
      </c>
      <c r="H129" t="s">
        <v>301</v>
      </c>
      <c r="I129">
        <v>30</v>
      </c>
      <c r="J129">
        <v>1.885</v>
      </c>
      <c r="K129">
        <v>-56.55</v>
      </c>
      <c r="L129">
        <v>-1</v>
      </c>
      <c r="M129">
        <v>0</v>
      </c>
      <c r="N129" t="s">
        <v>26</v>
      </c>
      <c r="O129">
        <v>0</v>
      </c>
      <c r="P129" t="s">
        <v>1442</v>
      </c>
      <c r="Q129">
        <v>0</v>
      </c>
      <c r="R129" t="s">
        <v>302</v>
      </c>
      <c r="S129" t="s">
        <v>303</v>
      </c>
      <c r="T129" t="s">
        <v>1442</v>
      </c>
      <c r="U129" t="s">
        <v>1442</v>
      </c>
      <c r="V129" t="s">
        <v>1442</v>
      </c>
      <c r="W129" t="s">
        <v>1442</v>
      </c>
    </row>
    <row r="130" spans="1:23" x14ac:dyDescent="0.25">
      <c r="A130" s="39">
        <v>46008.4348569676</v>
      </c>
      <c r="B130" s="40">
        <v>46008</v>
      </c>
      <c r="C130" t="s">
        <v>23</v>
      </c>
      <c r="D130" t="s">
        <v>30</v>
      </c>
      <c r="E130" t="s">
        <v>31</v>
      </c>
      <c r="F130" t="s">
        <v>32</v>
      </c>
      <c r="G130" t="s">
        <v>304</v>
      </c>
      <c r="H130" t="s">
        <v>305</v>
      </c>
      <c r="I130">
        <v>50</v>
      </c>
      <c r="J130">
        <v>0.35599999999999998</v>
      </c>
      <c r="K130">
        <v>-17.8</v>
      </c>
      <c r="L130">
        <v>-1</v>
      </c>
      <c r="M130">
        <v>0</v>
      </c>
      <c r="N130" t="s">
        <v>26</v>
      </c>
      <c r="O130">
        <v>0</v>
      </c>
      <c r="P130" t="s">
        <v>1442</v>
      </c>
      <c r="Q130">
        <v>0</v>
      </c>
      <c r="R130" t="s">
        <v>306</v>
      </c>
      <c r="S130" t="s">
        <v>307</v>
      </c>
      <c r="T130" t="s">
        <v>1442</v>
      </c>
      <c r="U130" t="s">
        <v>1442</v>
      </c>
      <c r="V130" t="s">
        <v>1442</v>
      </c>
      <c r="W130" t="s">
        <v>1442</v>
      </c>
    </row>
    <row r="131" spans="1:23" x14ac:dyDescent="0.25">
      <c r="A131" s="39">
        <v>46008.437641643497</v>
      </c>
      <c r="B131" s="40">
        <v>46008</v>
      </c>
      <c r="C131" t="s">
        <v>23</v>
      </c>
      <c r="D131" t="s">
        <v>30</v>
      </c>
      <c r="E131" t="s">
        <v>31</v>
      </c>
      <c r="F131" t="s">
        <v>32</v>
      </c>
      <c r="G131" t="s">
        <v>308</v>
      </c>
      <c r="H131" t="s">
        <v>309</v>
      </c>
      <c r="I131">
        <v>0.34567900000000001</v>
      </c>
      <c r="J131">
        <v>2.2679999999999998</v>
      </c>
      <c r="K131">
        <v>-0.78</v>
      </c>
      <c r="L131">
        <v>0</v>
      </c>
      <c r="M131">
        <v>0</v>
      </c>
      <c r="N131" t="s">
        <v>26</v>
      </c>
      <c r="O131">
        <v>0</v>
      </c>
      <c r="P131" t="s">
        <v>1442</v>
      </c>
      <c r="Q131">
        <v>0</v>
      </c>
      <c r="R131" t="s">
        <v>310</v>
      </c>
      <c r="S131" t="s">
        <v>311</v>
      </c>
      <c r="T131" t="s">
        <v>1442</v>
      </c>
      <c r="U131" t="s">
        <v>1442</v>
      </c>
      <c r="V131" t="s">
        <v>1442</v>
      </c>
      <c r="W131" t="s">
        <v>1442</v>
      </c>
    </row>
    <row r="132" spans="1:23" x14ac:dyDescent="0.25">
      <c r="A132" s="39">
        <v>46008.4376416667</v>
      </c>
      <c r="B132" s="40">
        <v>46008</v>
      </c>
      <c r="C132" t="s">
        <v>23</v>
      </c>
      <c r="D132" t="s">
        <v>30</v>
      </c>
      <c r="E132" t="s">
        <v>31</v>
      </c>
      <c r="F132" t="s">
        <v>32</v>
      </c>
      <c r="G132" t="s">
        <v>308</v>
      </c>
      <c r="H132" t="s">
        <v>309</v>
      </c>
      <c r="I132">
        <v>12</v>
      </c>
      <c r="J132">
        <v>2.2679999999999998</v>
      </c>
      <c r="K132">
        <v>-27.22</v>
      </c>
      <c r="L132">
        <v>-1</v>
      </c>
      <c r="M132">
        <v>0</v>
      </c>
      <c r="N132" t="s">
        <v>26</v>
      </c>
      <c r="O132">
        <v>0</v>
      </c>
      <c r="P132" t="s">
        <v>1442</v>
      </c>
      <c r="Q132">
        <v>0</v>
      </c>
      <c r="R132" t="s">
        <v>312</v>
      </c>
      <c r="S132" t="s">
        <v>313</v>
      </c>
      <c r="T132" t="s">
        <v>1442</v>
      </c>
      <c r="U132" t="s">
        <v>1442</v>
      </c>
      <c r="V132" t="s">
        <v>1442</v>
      </c>
      <c r="W132" t="s">
        <v>1442</v>
      </c>
    </row>
    <row r="133" spans="1:23" x14ac:dyDescent="0.25">
      <c r="A133" s="39">
        <v>46009.884432268504</v>
      </c>
      <c r="B133" s="40">
        <v>46009</v>
      </c>
      <c r="C133" t="s">
        <v>23</v>
      </c>
      <c r="D133" t="s">
        <v>24</v>
      </c>
      <c r="E133" t="s">
        <v>25</v>
      </c>
      <c r="F133" t="s">
        <v>1442</v>
      </c>
      <c r="G133" t="s">
        <v>1442</v>
      </c>
      <c r="H133" t="s">
        <v>1442</v>
      </c>
      <c r="I133">
        <v>0</v>
      </c>
      <c r="J133">
        <v>0</v>
      </c>
      <c r="K133">
        <v>150</v>
      </c>
      <c r="L133">
        <v>0</v>
      </c>
      <c r="M133">
        <v>0</v>
      </c>
      <c r="N133" t="s">
        <v>26</v>
      </c>
      <c r="O133">
        <v>0</v>
      </c>
      <c r="P133" t="s">
        <v>1442</v>
      </c>
      <c r="Q133">
        <v>0</v>
      </c>
      <c r="R133" t="s">
        <v>246</v>
      </c>
      <c r="S133" t="s">
        <v>314</v>
      </c>
      <c r="T133" t="s">
        <v>1442</v>
      </c>
      <c r="U133" t="s">
        <v>1442</v>
      </c>
      <c r="V133" t="s">
        <v>1442</v>
      </c>
      <c r="W133" t="s">
        <v>1442</v>
      </c>
    </row>
    <row r="134" spans="1:23" x14ac:dyDescent="0.25">
      <c r="A134" s="39">
        <v>46009.892636678203</v>
      </c>
      <c r="B134" s="40">
        <v>46009</v>
      </c>
      <c r="C134" t="s">
        <v>23</v>
      </c>
      <c r="D134" t="s">
        <v>30</v>
      </c>
      <c r="E134" t="s">
        <v>31</v>
      </c>
      <c r="F134" t="s">
        <v>32</v>
      </c>
      <c r="G134" t="s">
        <v>315</v>
      </c>
      <c r="H134" t="s">
        <v>316</v>
      </c>
      <c r="I134">
        <v>14</v>
      </c>
      <c r="J134">
        <v>5.3</v>
      </c>
      <c r="K134">
        <v>-74.2</v>
      </c>
      <c r="L134">
        <v>-1</v>
      </c>
      <c r="M134">
        <v>0</v>
      </c>
      <c r="N134" t="s">
        <v>26</v>
      </c>
      <c r="O134">
        <v>0</v>
      </c>
      <c r="P134" t="s">
        <v>1442</v>
      </c>
      <c r="Q134">
        <v>0</v>
      </c>
      <c r="R134" t="s">
        <v>317</v>
      </c>
      <c r="S134" t="s">
        <v>318</v>
      </c>
      <c r="T134" t="s">
        <v>1442</v>
      </c>
      <c r="U134" t="s">
        <v>1442</v>
      </c>
      <c r="V134" t="s">
        <v>1442</v>
      </c>
      <c r="W134" t="s">
        <v>1442</v>
      </c>
    </row>
    <row r="135" spans="1:23" x14ac:dyDescent="0.25">
      <c r="A135" s="39">
        <v>46009.892636689801</v>
      </c>
      <c r="B135" s="40">
        <v>46009</v>
      </c>
      <c r="C135" t="s">
        <v>23</v>
      </c>
      <c r="D135" t="s">
        <v>30</v>
      </c>
      <c r="E135" t="s">
        <v>31</v>
      </c>
      <c r="F135" t="s">
        <v>32</v>
      </c>
      <c r="G135" t="s">
        <v>315</v>
      </c>
      <c r="H135" t="s">
        <v>316</v>
      </c>
      <c r="I135">
        <v>0.90566000000000002</v>
      </c>
      <c r="J135">
        <v>5.3</v>
      </c>
      <c r="K135">
        <v>-4.8</v>
      </c>
      <c r="L135">
        <v>0</v>
      </c>
      <c r="M135">
        <v>0</v>
      </c>
      <c r="N135" t="s">
        <v>26</v>
      </c>
      <c r="O135">
        <v>0</v>
      </c>
      <c r="P135" t="s">
        <v>1442</v>
      </c>
      <c r="Q135">
        <v>0</v>
      </c>
      <c r="R135" t="s">
        <v>319</v>
      </c>
      <c r="S135" t="s">
        <v>320</v>
      </c>
      <c r="T135" t="s">
        <v>1442</v>
      </c>
      <c r="U135" t="s">
        <v>1442</v>
      </c>
      <c r="V135" t="s">
        <v>1442</v>
      </c>
      <c r="W135" t="s">
        <v>1442</v>
      </c>
    </row>
    <row r="136" spans="1:23" x14ac:dyDescent="0.25">
      <c r="A136" s="39">
        <v>46009.893129976903</v>
      </c>
      <c r="B136" s="40">
        <v>46009</v>
      </c>
      <c r="C136" t="s">
        <v>23</v>
      </c>
      <c r="D136" t="s">
        <v>30</v>
      </c>
      <c r="E136" t="s">
        <v>31</v>
      </c>
      <c r="F136" t="s">
        <v>32</v>
      </c>
      <c r="G136" t="s">
        <v>321</v>
      </c>
      <c r="H136" t="s">
        <v>322</v>
      </c>
      <c r="I136">
        <v>0.401785</v>
      </c>
      <c r="J136">
        <v>4.4800000000000004</v>
      </c>
      <c r="K136">
        <v>-1.8</v>
      </c>
      <c r="L136">
        <v>0</v>
      </c>
      <c r="M136">
        <v>0</v>
      </c>
      <c r="N136" t="s">
        <v>26</v>
      </c>
      <c r="O136">
        <v>0</v>
      </c>
      <c r="P136" t="s">
        <v>1442</v>
      </c>
      <c r="Q136">
        <v>0</v>
      </c>
      <c r="R136" t="s">
        <v>323</v>
      </c>
      <c r="S136" t="s">
        <v>324</v>
      </c>
      <c r="T136" t="s">
        <v>1442</v>
      </c>
      <c r="U136" t="s">
        <v>1442</v>
      </c>
      <c r="V136" t="s">
        <v>1442</v>
      </c>
      <c r="W136" t="s">
        <v>1442</v>
      </c>
    </row>
    <row r="137" spans="1:23" x14ac:dyDescent="0.25">
      <c r="A137" s="39">
        <v>46009.893129988399</v>
      </c>
      <c r="B137" s="40">
        <v>46009</v>
      </c>
      <c r="C137" t="s">
        <v>23</v>
      </c>
      <c r="D137" t="s">
        <v>30</v>
      </c>
      <c r="E137" t="s">
        <v>31</v>
      </c>
      <c r="F137" t="s">
        <v>32</v>
      </c>
      <c r="G137" t="s">
        <v>321</v>
      </c>
      <c r="H137" t="s">
        <v>322</v>
      </c>
      <c r="I137">
        <v>15</v>
      </c>
      <c r="J137">
        <v>4.4800000000000004</v>
      </c>
      <c r="K137">
        <v>-67.2</v>
      </c>
      <c r="L137">
        <v>-1</v>
      </c>
      <c r="M137">
        <v>0</v>
      </c>
      <c r="N137" t="s">
        <v>26</v>
      </c>
      <c r="O137">
        <v>0</v>
      </c>
      <c r="P137" t="s">
        <v>1442</v>
      </c>
      <c r="Q137">
        <v>0</v>
      </c>
      <c r="R137" t="s">
        <v>325</v>
      </c>
      <c r="S137" t="s">
        <v>326</v>
      </c>
      <c r="T137" t="s">
        <v>1442</v>
      </c>
      <c r="U137" t="s">
        <v>1442</v>
      </c>
      <c r="V137" t="s">
        <v>1442</v>
      </c>
      <c r="W137" t="s">
        <v>1442</v>
      </c>
    </row>
    <row r="138" spans="1:23" x14ac:dyDescent="0.25">
      <c r="A138" s="39">
        <v>46010.923546909697</v>
      </c>
      <c r="B138" s="40">
        <v>46010</v>
      </c>
      <c r="C138" t="s">
        <v>23</v>
      </c>
      <c r="D138" t="s">
        <v>24</v>
      </c>
      <c r="E138" t="s">
        <v>25</v>
      </c>
      <c r="F138" t="s">
        <v>1442</v>
      </c>
      <c r="G138" t="s">
        <v>1442</v>
      </c>
      <c r="H138" t="s">
        <v>1442</v>
      </c>
      <c r="I138">
        <v>0</v>
      </c>
      <c r="J138">
        <v>0</v>
      </c>
      <c r="K138">
        <v>100</v>
      </c>
      <c r="L138">
        <v>0</v>
      </c>
      <c r="M138">
        <v>0</v>
      </c>
      <c r="N138" t="s">
        <v>26</v>
      </c>
      <c r="O138">
        <v>0</v>
      </c>
      <c r="P138" t="s">
        <v>1442</v>
      </c>
      <c r="Q138">
        <v>0</v>
      </c>
      <c r="R138" t="s">
        <v>246</v>
      </c>
      <c r="S138" t="s">
        <v>327</v>
      </c>
      <c r="T138" t="s">
        <v>1442</v>
      </c>
      <c r="U138" t="s">
        <v>1442</v>
      </c>
      <c r="V138" t="s">
        <v>1442</v>
      </c>
      <c r="W138" t="s">
        <v>1442</v>
      </c>
    </row>
    <row r="139" spans="1:23" x14ac:dyDescent="0.25">
      <c r="A139" s="39">
        <v>46010.923992013901</v>
      </c>
      <c r="B139" s="40">
        <v>46010</v>
      </c>
      <c r="C139" t="s">
        <v>23</v>
      </c>
      <c r="D139" t="s">
        <v>30</v>
      </c>
      <c r="E139" t="s">
        <v>31</v>
      </c>
      <c r="F139" t="s">
        <v>32</v>
      </c>
      <c r="G139" t="s">
        <v>328</v>
      </c>
      <c r="H139" t="s">
        <v>329</v>
      </c>
      <c r="I139">
        <v>0.265129</v>
      </c>
      <c r="J139">
        <v>6.92</v>
      </c>
      <c r="K139">
        <v>-1.83</v>
      </c>
      <c r="L139">
        <v>0</v>
      </c>
      <c r="M139">
        <v>0</v>
      </c>
      <c r="N139" t="s">
        <v>26</v>
      </c>
      <c r="O139">
        <v>0</v>
      </c>
      <c r="P139" t="s">
        <v>1442</v>
      </c>
      <c r="Q139">
        <v>0</v>
      </c>
      <c r="R139" t="s">
        <v>330</v>
      </c>
      <c r="S139" t="s">
        <v>331</v>
      </c>
      <c r="T139" t="s">
        <v>1442</v>
      </c>
      <c r="U139" t="s">
        <v>1442</v>
      </c>
      <c r="V139" t="s">
        <v>1442</v>
      </c>
      <c r="W139" t="s">
        <v>1442</v>
      </c>
    </row>
    <row r="140" spans="1:23" x14ac:dyDescent="0.25">
      <c r="A140" s="39">
        <v>46010.923992025499</v>
      </c>
      <c r="B140" s="40">
        <v>46010</v>
      </c>
      <c r="C140" t="s">
        <v>23</v>
      </c>
      <c r="D140" t="s">
        <v>30</v>
      </c>
      <c r="E140" t="s">
        <v>31</v>
      </c>
      <c r="F140" t="s">
        <v>32</v>
      </c>
      <c r="G140" t="s">
        <v>328</v>
      </c>
      <c r="H140" t="s">
        <v>329</v>
      </c>
      <c r="I140">
        <v>14</v>
      </c>
      <c r="J140">
        <v>6.92</v>
      </c>
      <c r="K140">
        <v>-96.88</v>
      </c>
      <c r="L140">
        <v>-1</v>
      </c>
      <c r="M140">
        <v>0</v>
      </c>
      <c r="N140" t="s">
        <v>26</v>
      </c>
      <c r="O140">
        <v>0</v>
      </c>
      <c r="P140" t="s">
        <v>1442</v>
      </c>
      <c r="Q140">
        <v>0</v>
      </c>
      <c r="R140" t="s">
        <v>332</v>
      </c>
      <c r="S140" t="s">
        <v>333</v>
      </c>
      <c r="T140" t="s">
        <v>1442</v>
      </c>
      <c r="U140" t="s">
        <v>1442</v>
      </c>
      <c r="V140" t="s">
        <v>1442</v>
      </c>
      <c r="W140" t="s">
        <v>1442</v>
      </c>
    </row>
    <row r="141" spans="1:23" x14ac:dyDescent="0.25">
      <c r="A141" s="39">
        <v>46020.384294432901</v>
      </c>
      <c r="B141" s="40">
        <v>46020</v>
      </c>
      <c r="C141" t="s">
        <v>23</v>
      </c>
      <c r="D141" t="s">
        <v>30</v>
      </c>
      <c r="E141" t="s">
        <v>31</v>
      </c>
      <c r="F141" t="s">
        <v>32</v>
      </c>
      <c r="G141" t="s">
        <v>334</v>
      </c>
      <c r="H141" t="s">
        <v>335</v>
      </c>
      <c r="I141">
        <v>0.73710900000000001</v>
      </c>
      <c r="J141">
        <v>5.915</v>
      </c>
      <c r="K141">
        <v>-4.3600000000000003</v>
      </c>
      <c r="L141">
        <v>0</v>
      </c>
      <c r="M141">
        <v>0</v>
      </c>
      <c r="N141" t="s">
        <v>26</v>
      </c>
      <c r="O141">
        <v>0</v>
      </c>
      <c r="P141" t="s">
        <v>1442</v>
      </c>
      <c r="Q141">
        <v>0</v>
      </c>
      <c r="R141" t="s">
        <v>336</v>
      </c>
      <c r="S141" t="s">
        <v>337</v>
      </c>
      <c r="T141" t="s">
        <v>1442</v>
      </c>
      <c r="U141" t="s">
        <v>1442</v>
      </c>
      <c r="V141" t="s">
        <v>1442</v>
      </c>
      <c r="W141" t="s">
        <v>1442</v>
      </c>
    </row>
    <row r="142" spans="1:23" x14ac:dyDescent="0.25">
      <c r="A142" s="39">
        <v>46020.384294432901</v>
      </c>
      <c r="B142" s="40">
        <v>46020</v>
      </c>
      <c r="C142" t="s">
        <v>23</v>
      </c>
      <c r="D142" t="s">
        <v>30</v>
      </c>
      <c r="E142" t="s">
        <v>31</v>
      </c>
      <c r="F142" t="s">
        <v>32</v>
      </c>
      <c r="G142" t="s">
        <v>334</v>
      </c>
      <c r="H142" t="s">
        <v>335</v>
      </c>
      <c r="I142">
        <v>16</v>
      </c>
      <c r="J142">
        <v>5.915</v>
      </c>
      <c r="K142">
        <v>-94.64</v>
      </c>
      <c r="L142">
        <v>-1</v>
      </c>
      <c r="M142">
        <v>0</v>
      </c>
      <c r="N142" t="s">
        <v>26</v>
      </c>
      <c r="O142">
        <v>0</v>
      </c>
      <c r="P142" t="s">
        <v>1442</v>
      </c>
      <c r="Q142">
        <v>0</v>
      </c>
      <c r="R142" t="s">
        <v>338</v>
      </c>
      <c r="S142" t="s">
        <v>339</v>
      </c>
      <c r="T142" t="s">
        <v>1442</v>
      </c>
      <c r="U142" t="s">
        <v>1442</v>
      </c>
      <c r="V142" t="s">
        <v>1442</v>
      </c>
      <c r="W142" t="s">
        <v>1442</v>
      </c>
    </row>
    <row r="143" spans="1:23" x14ac:dyDescent="0.25">
      <c r="A143" s="39">
        <v>46020.384672222201</v>
      </c>
      <c r="B143" s="40">
        <v>46020</v>
      </c>
      <c r="C143" t="s">
        <v>23</v>
      </c>
      <c r="D143" t="s">
        <v>30</v>
      </c>
      <c r="E143" t="s">
        <v>31</v>
      </c>
      <c r="F143" t="s">
        <v>32</v>
      </c>
      <c r="G143" t="s">
        <v>340</v>
      </c>
      <c r="H143" t="s">
        <v>341</v>
      </c>
      <c r="I143">
        <v>0.55322300000000002</v>
      </c>
      <c r="J143">
        <v>5.3360000000000003</v>
      </c>
      <c r="K143">
        <v>-2.95</v>
      </c>
      <c r="L143">
        <v>0</v>
      </c>
      <c r="M143">
        <v>0</v>
      </c>
      <c r="N143" t="s">
        <v>26</v>
      </c>
      <c r="O143">
        <v>0</v>
      </c>
      <c r="P143" t="s">
        <v>1442</v>
      </c>
      <c r="Q143">
        <v>0</v>
      </c>
      <c r="R143" t="s">
        <v>342</v>
      </c>
      <c r="S143" t="s">
        <v>343</v>
      </c>
      <c r="T143" t="s">
        <v>1442</v>
      </c>
      <c r="U143" t="s">
        <v>1442</v>
      </c>
      <c r="V143" t="s">
        <v>1442</v>
      </c>
      <c r="W143" t="s">
        <v>1442</v>
      </c>
    </row>
    <row r="144" spans="1:23" x14ac:dyDescent="0.25">
      <c r="A144" s="39">
        <v>46020.384672384302</v>
      </c>
      <c r="B144" s="40">
        <v>46020</v>
      </c>
      <c r="C144" t="s">
        <v>23</v>
      </c>
      <c r="D144" t="s">
        <v>30</v>
      </c>
      <c r="E144" t="s">
        <v>31</v>
      </c>
      <c r="F144" t="s">
        <v>32</v>
      </c>
      <c r="G144" t="s">
        <v>340</v>
      </c>
      <c r="H144" t="s">
        <v>341</v>
      </c>
      <c r="I144">
        <v>18</v>
      </c>
      <c r="J144">
        <v>5.3360000000000003</v>
      </c>
      <c r="K144">
        <v>-96.05</v>
      </c>
      <c r="L144">
        <v>-1</v>
      </c>
      <c r="M144">
        <v>0</v>
      </c>
      <c r="N144" t="s">
        <v>26</v>
      </c>
      <c r="O144">
        <v>0</v>
      </c>
      <c r="P144" t="s">
        <v>1442</v>
      </c>
      <c r="Q144">
        <v>0</v>
      </c>
      <c r="R144" t="s">
        <v>344</v>
      </c>
      <c r="S144" t="s">
        <v>345</v>
      </c>
      <c r="T144" t="s">
        <v>1442</v>
      </c>
      <c r="U144" t="s">
        <v>1442</v>
      </c>
      <c r="V144" t="s">
        <v>1442</v>
      </c>
      <c r="W144" t="s">
        <v>1442</v>
      </c>
    </row>
    <row r="145" spans="1:23" x14ac:dyDescent="0.25">
      <c r="A145" s="39">
        <v>46020.628043726902</v>
      </c>
      <c r="B145" s="40">
        <v>46020</v>
      </c>
      <c r="C145" t="s">
        <v>23</v>
      </c>
      <c r="D145" t="s">
        <v>24</v>
      </c>
      <c r="E145" t="s">
        <v>25</v>
      </c>
      <c r="F145" t="s">
        <v>1442</v>
      </c>
      <c r="G145" t="s">
        <v>1442</v>
      </c>
      <c r="H145" t="s">
        <v>1442</v>
      </c>
      <c r="I145">
        <v>0</v>
      </c>
      <c r="J145">
        <v>0</v>
      </c>
      <c r="K145">
        <v>89.73</v>
      </c>
      <c r="L145">
        <v>0</v>
      </c>
      <c r="M145">
        <v>0</v>
      </c>
      <c r="N145" t="s">
        <v>26</v>
      </c>
      <c r="O145">
        <v>0</v>
      </c>
      <c r="P145" t="s">
        <v>1442</v>
      </c>
      <c r="Q145">
        <v>0</v>
      </c>
      <c r="R145" t="s">
        <v>246</v>
      </c>
      <c r="S145" t="s">
        <v>346</v>
      </c>
      <c r="T145" t="s">
        <v>1442</v>
      </c>
      <c r="U145" t="s">
        <v>1442</v>
      </c>
      <c r="V145" t="s">
        <v>1442</v>
      </c>
      <c r="W145" t="s">
        <v>1442</v>
      </c>
    </row>
    <row r="146" spans="1:23" x14ac:dyDescent="0.25">
      <c r="A146" s="39">
        <v>46020.383722893501</v>
      </c>
      <c r="B146" s="40">
        <v>46020</v>
      </c>
      <c r="C146" t="s">
        <v>23</v>
      </c>
      <c r="D146" t="s">
        <v>24</v>
      </c>
      <c r="E146" t="s">
        <v>25</v>
      </c>
      <c r="F146" t="s">
        <v>1442</v>
      </c>
      <c r="G146" t="s">
        <v>1442</v>
      </c>
      <c r="H146" t="s">
        <v>1442</v>
      </c>
      <c r="I146">
        <v>0</v>
      </c>
      <c r="J146">
        <v>0</v>
      </c>
      <c r="K146">
        <v>200</v>
      </c>
      <c r="L146">
        <v>0</v>
      </c>
      <c r="M146">
        <v>0</v>
      </c>
      <c r="N146" t="s">
        <v>26</v>
      </c>
      <c r="O146">
        <v>0</v>
      </c>
      <c r="P146" t="s">
        <v>1442</v>
      </c>
      <c r="Q146">
        <v>0</v>
      </c>
      <c r="R146" t="s">
        <v>246</v>
      </c>
      <c r="S146" t="s">
        <v>347</v>
      </c>
      <c r="T146" t="s">
        <v>1442</v>
      </c>
      <c r="U146" t="s">
        <v>1442</v>
      </c>
      <c r="V146" t="s">
        <v>1442</v>
      </c>
      <c r="W146" t="s">
        <v>1442</v>
      </c>
    </row>
    <row r="147" spans="1:23" x14ac:dyDescent="0.25">
      <c r="A147" s="39">
        <v>46020.630027395797</v>
      </c>
      <c r="B147" s="40">
        <v>46020</v>
      </c>
      <c r="C147" t="s">
        <v>23</v>
      </c>
      <c r="D147" t="s">
        <v>30</v>
      </c>
      <c r="E147" t="s">
        <v>31</v>
      </c>
      <c r="F147" t="s">
        <v>32</v>
      </c>
      <c r="G147" t="s">
        <v>348</v>
      </c>
      <c r="H147" t="s">
        <v>349</v>
      </c>
      <c r="I147">
        <v>28</v>
      </c>
      <c r="J147">
        <v>3.14</v>
      </c>
      <c r="K147">
        <v>-87.92</v>
      </c>
      <c r="L147">
        <v>-1</v>
      </c>
      <c r="M147">
        <v>0</v>
      </c>
      <c r="N147" t="s">
        <v>26</v>
      </c>
      <c r="O147">
        <v>0</v>
      </c>
      <c r="P147" t="s">
        <v>1442</v>
      </c>
      <c r="Q147">
        <v>0</v>
      </c>
      <c r="R147" t="s">
        <v>350</v>
      </c>
      <c r="S147" t="s">
        <v>351</v>
      </c>
      <c r="T147" t="s">
        <v>1442</v>
      </c>
      <c r="U147" t="s">
        <v>1442</v>
      </c>
      <c r="V147" t="s">
        <v>1442</v>
      </c>
      <c r="W147" t="s">
        <v>1442</v>
      </c>
    </row>
    <row r="148" spans="1:23" x14ac:dyDescent="0.25">
      <c r="A148" s="39">
        <v>46020.630027442101</v>
      </c>
      <c r="B148" s="40">
        <v>46020</v>
      </c>
      <c r="C148" t="s">
        <v>23</v>
      </c>
      <c r="D148" t="s">
        <v>30</v>
      </c>
      <c r="E148" t="s">
        <v>31</v>
      </c>
      <c r="F148" t="s">
        <v>32</v>
      </c>
      <c r="G148" t="s">
        <v>348</v>
      </c>
      <c r="H148" t="s">
        <v>349</v>
      </c>
      <c r="I148">
        <v>0.343949</v>
      </c>
      <c r="J148">
        <v>3.14</v>
      </c>
      <c r="K148">
        <v>-1.08</v>
      </c>
      <c r="L148">
        <v>0</v>
      </c>
      <c r="M148">
        <v>0</v>
      </c>
      <c r="N148" t="s">
        <v>26</v>
      </c>
      <c r="O148">
        <v>0</v>
      </c>
      <c r="P148" t="s">
        <v>1442</v>
      </c>
      <c r="Q148">
        <v>0</v>
      </c>
      <c r="R148" t="s">
        <v>352</v>
      </c>
      <c r="S148" t="s">
        <v>353</v>
      </c>
      <c r="T148" t="s">
        <v>1442</v>
      </c>
      <c r="U148" t="s">
        <v>1442</v>
      </c>
      <c r="V148" t="s">
        <v>1442</v>
      </c>
      <c r="W148" t="s">
        <v>1442</v>
      </c>
    </row>
    <row r="149" spans="1:23" x14ac:dyDescent="0.25">
      <c r="A149" s="39">
        <v>46026.587392245397</v>
      </c>
      <c r="B149" s="40">
        <v>46026</v>
      </c>
      <c r="C149" t="s">
        <v>23</v>
      </c>
      <c r="D149" t="s">
        <v>24</v>
      </c>
      <c r="E149" t="s">
        <v>25</v>
      </c>
      <c r="F149" t="s">
        <v>1442</v>
      </c>
      <c r="G149" t="s">
        <v>1442</v>
      </c>
      <c r="H149" t="s">
        <v>1442</v>
      </c>
      <c r="I149">
        <v>0</v>
      </c>
      <c r="J149">
        <v>0</v>
      </c>
      <c r="K149">
        <v>44.56</v>
      </c>
      <c r="L149">
        <v>0</v>
      </c>
      <c r="M149">
        <v>0</v>
      </c>
      <c r="N149" t="s">
        <v>26</v>
      </c>
      <c r="O149">
        <v>0</v>
      </c>
      <c r="P149" t="s">
        <v>1442</v>
      </c>
      <c r="Q149">
        <v>0</v>
      </c>
      <c r="R149" t="s">
        <v>246</v>
      </c>
      <c r="S149" t="s">
        <v>354</v>
      </c>
      <c r="T149" t="s">
        <v>1442</v>
      </c>
      <c r="U149" t="s">
        <v>1442</v>
      </c>
      <c r="V149" t="s">
        <v>1442</v>
      </c>
      <c r="W149" t="s">
        <v>1442</v>
      </c>
    </row>
    <row r="150" spans="1:23" x14ac:dyDescent="0.25">
      <c r="A150" s="39">
        <v>46026.587711377302</v>
      </c>
      <c r="B150" s="40">
        <v>46026</v>
      </c>
      <c r="C150" t="s">
        <v>23</v>
      </c>
      <c r="D150" t="s">
        <v>30</v>
      </c>
      <c r="E150" t="s">
        <v>31</v>
      </c>
      <c r="F150" t="s">
        <v>64</v>
      </c>
      <c r="G150" t="s">
        <v>355</v>
      </c>
      <c r="H150" t="s">
        <v>356</v>
      </c>
      <c r="I150">
        <v>223.93145699999999</v>
      </c>
      <c r="J150">
        <v>0.102711</v>
      </c>
      <c r="K150">
        <v>-23</v>
      </c>
      <c r="L150">
        <v>-1</v>
      </c>
      <c r="M150">
        <v>0</v>
      </c>
      <c r="N150" t="s">
        <v>26</v>
      </c>
      <c r="O150">
        <v>0</v>
      </c>
      <c r="P150" t="s">
        <v>1442</v>
      </c>
      <c r="Q150">
        <v>0</v>
      </c>
      <c r="R150" t="s">
        <v>357</v>
      </c>
      <c r="S150" t="s">
        <v>358</v>
      </c>
      <c r="T150" t="s">
        <v>1442</v>
      </c>
      <c r="U150" t="s">
        <v>1442</v>
      </c>
      <c r="V150" t="s">
        <v>1442</v>
      </c>
      <c r="W150" t="s">
        <v>1442</v>
      </c>
    </row>
    <row r="151" spans="1:23" x14ac:dyDescent="0.25">
      <c r="A151" s="39">
        <v>46026.591131793997</v>
      </c>
      <c r="B151" s="40">
        <v>46026</v>
      </c>
      <c r="C151" t="s">
        <v>23</v>
      </c>
      <c r="D151" t="s">
        <v>30</v>
      </c>
      <c r="E151" t="s">
        <v>31</v>
      </c>
      <c r="F151" t="s">
        <v>64</v>
      </c>
      <c r="G151" t="s">
        <v>359</v>
      </c>
      <c r="H151" t="s">
        <v>360</v>
      </c>
      <c r="I151">
        <v>160.77442500000001</v>
      </c>
      <c r="J151">
        <v>0.11817800000000001</v>
      </c>
      <c r="K151">
        <v>-19</v>
      </c>
      <c r="L151">
        <v>-1</v>
      </c>
      <c r="M151">
        <v>0</v>
      </c>
      <c r="N151" t="s">
        <v>26</v>
      </c>
      <c r="O151">
        <v>0</v>
      </c>
      <c r="P151" t="s">
        <v>1442</v>
      </c>
      <c r="Q151">
        <v>0</v>
      </c>
      <c r="R151" t="s">
        <v>361</v>
      </c>
      <c r="S151" t="s">
        <v>362</v>
      </c>
      <c r="T151" t="s">
        <v>1442</v>
      </c>
      <c r="U151" t="s">
        <v>1442</v>
      </c>
      <c r="V151" t="s">
        <v>1442</v>
      </c>
      <c r="W151" t="s">
        <v>1442</v>
      </c>
    </row>
    <row r="152" spans="1:23" x14ac:dyDescent="0.25">
      <c r="A152" s="39">
        <v>46027.352859247701</v>
      </c>
      <c r="B152" s="40">
        <v>46027</v>
      </c>
      <c r="C152" t="s">
        <v>23</v>
      </c>
      <c r="D152" t="s">
        <v>24</v>
      </c>
      <c r="E152" t="s">
        <v>25</v>
      </c>
      <c r="F152" t="s">
        <v>1442</v>
      </c>
      <c r="G152" t="s">
        <v>1442</v>
      </c>
      <c r="H152" t="s">
        <v>1442</v>
      </c>
      <c r="I152">
        <v>0</v>
      </c>
      <c r="J152">
        <v>0</v>
      </c>
      <c r="K152">
        <v>100</v>
      </c>
      <c r="L152">
        <v>0</v>
      </c>
      <c r="M152">
        <v>0</v>
      </c>
      <c r="N152" t="s">
        <v>26</v>
      </c>
      <c r="O152">
        <v>0</v>
      </c>
      <c r="P152" t="s">
        <v>1442</v>
      </c>
      <c r="Q152">
        <v>0</v>
      </c>
      <c r="R152" t="s">
        <v>246</v>
      </c>
      <c r="S152" t="s">
        <v>363</v>
      </c>
      <c r="T152" t="s">
        <v>1442</v>
      </c>
      <c r="U152" t="s">
        <v>1442</v>
      </c>
      <c r="V152" t="s">
        <v>1442</v>
      </c>
      <c r="W152" t="s">
        <v>1442</v>
      </c>
    </row>
    <row r="153" spans="1:23" x14ac:dyDescent="0.25">
      <c r="A153" s="39">
        <v>46027.353140173604</v>
      </c>
      <c r="B153" s="40">
        <v>46027</v>
      </c>
      <c r="C153" t="s">
        <v>23</v>
      </c>
      <c r="D153" t="s">
        <v>30</v>
      </c>
      <c r="E153" t="s">
        <v>31</v>
      </c>
      <c r="F153" t="s">
        <v>32</v>
      </c>
      <c r="G153" t="s">
        <v>364</v>
      </c>
      <c r="H153" t="s">
        <v>365</v>
      </c>
      <c r="I153">
        <v>39</v>
      </c>
      <c r="J153">
        <v>2.5099999999999998</v>
      </c>
      <c r="K153">
        <v>-97.89</v>
      </c>
      <c r="L153">
        <v>-1</v>
      </c>
      <c r="M153">
        <v>0</v>
      </c>
      <c r="N153" t="s">
        <v>26</v>
      </c>
      <c r="O153">
        <v>0</v>
      </c>
      <c r="P153" t="s">
        <v>1442</v>
      </c>
      <c r="Q153">
        <v>0</v>
      </c>
      <c r="R153" t="s">
        <v>366</v>
      </c>
      <c r="S153" t="s">
        <v>367</v>
      </c>
      <c r="T153" t="s">
        <v>1442</v>
      </c>
      <c r="U153" t="s">
        <v>1442</v>
      </c>
      <c r="V153" t="s">
        <v>1442</v>
      </c>
      <c r="W153" t="s">
        <v>1442</v>
      </c>
    </row>
    <row r="154" spans="1:23" x14ac:dyDescent="0.25">
      <c r="A154" s="39">
        <v>46027.353140231498</v>
      </c>
      <c r="B154" s="40">
        <v>46027</v>
      </c>
      <c r="C154" t="s">
        <v>23</v>
      </c>
      <c r="D154" t="s">
        <v>30</v>
      </c>
      <c r="E154" t="s">
        <v>31</v>
      </c>
      <c r="F154" t="s">
        <v>32</v>
      </c>
      <c r="G154" t="s">
        <v>364</v>
      </c>
      <c r="H154" t="s">
        <v>365</v>
      </c>
      <c r="I154">
        <v>0.44223099999999999</v>
      </c>
      <c r="J154">
        <v>2.5099999999999998</v>
      </c>
      <c r="K154">
        <v>-1.1100000000000001</v>
      </c>
      <c r="L154">
        <v>0</v>
      </c>
      <c r="M154">
        <v>0</v>
      </c>
      <c r="N154" t="s">
        <v>26</v>
      </c>
      <c r="O154">
        <v>0</v>
      </c>
      <c r="P154" t="s">
        <v>1442</v>
      </c>
      <c r="Q154">
        <v>0</v>
      </c>
      <c r="R154" t="s">
        <v>368</v>
      </c>
      <c r="S154" t="s">
        <v>369</v>
      </c>
      <c r="T154" t="s">
        <v>1442</v>
      </c>
      <c r="U154" t="s">
        <v>1442</v>
      </c>
      <c r="V154" t="s">
        <v>1442</v>
      </c>
      <c r="W154" t="s">
        <v>1442</v>
      </c>
    </row>
    <row r="155" spans="1:23" x14ac:dyDescent="0.25">
      <c r="A155" s="39">
        <v>46028.396455289403</v>
      </c>
      <c r="B155" s="40">
        <v>46028</v>
      </c>
      <c r="C155" t="s">
        <v>23</v>
      </c>
      <c r="D155" t="s">
        <v>24</v>
      </c>
      <c r="E155" t="s">
        <v>25</v>
      </c>
      <c r="F155" t="s">
        <v>1442</v>
      </c>
      <c r="G155" t="s">
        <v>1442</v>
      </c>
      <c r="H155" t="s">
        <v>1442</v>
      </c>
      <c r="I155">
        <v>0</v>
      </c>
      <c r="J155">
        <v>0</v>
      </c>
      <c r="K155">
        <v>61.44</v>
      </c>
      <c r="L155">
        <v>0</v>
      </c>
      <c r="M155">
        <v>0</v>
      </c>
      <c r="N155" t="s">
        <v>26</v>
      </c>
      <c r="O155">
        <v>0</v>
      </c>
      <c r="P155" t="s">
        <v>1442</v>
      </c>
      <c r="Q155">
        <v>0</v>
      </c>
      <c r="R155" t="s">
        <v>246</v>
      </c>
      <c r="S155" t="s">
        <v>370</v>
      </c>
      <c r="T155" t="s">
        <v>1442</v>
      </c>
      <c r="U155" t="s">
        <v>1442</v>
      </c>
      <c r="V155" t="s">
        <v>1442</v>
      </c>
      <c r="W155" t="s">
        <v>1442</v>
      </c>
    </row>
    <row r="156" spans="1:23" x14ac:dyDescent="0.25">
      <c r="A156" s="39">
        <v>46028.398043171299</v>
      </c>
      <c r="B156" s="40">
        <v>46028</v>
      </c>
      <c r="C156" t="s">
        <v>23</v>
      </c>
      <c r="D156" t="s">
        <v>30</v>
      </c>
      <c r="E156" t="s">
        <v>31</v>
      </c>
      <c r="F156" t="s">
        <v>32</v>
      </c>
      <c r="G156" t="s">
        <v>205</v>
      </c>
      <c r="H156" t="s">
        <v>206</v>
      </c>
      <c r="I156">
        <v>20</v>
      </c>
      <c r="J156">
        <v>2.0179999999999998</v>
      </c>
      <c r="K156">
        <v>-40.36</v>
      </c>
      <c r="L156">
        <v>-1</v>
      </c>
      <c r="M156">
        <v>0</v>
      </c>
      <c r="N156" t="s">
        <v>26</v>
      </c>
      <c r="O156">
        <v>0</v>
      </c>
      <c r="P156" t="s">
        <v>1442</v>
      </c>
      <c r="Q156">
        <v>0</v>
      </c>
      <c r="R156" t="s">
        <v>371</v>
      </c>
      <c r="S156" t="s">
        <v>372</v>
      </c>
      <c r="T156" t="s">
        <v>1442</v>
      </c>
      <c r="U156" t="s">
        <v>1442</v>
      </c>
      <c r="V156" t="s">
        <v>1442</v>
      </c>
      <c r="W156" t="s">
        <v>1442</v>
      </c>
    </row>
    <row r="157" spans="1:23" x14ac:dyDescent="0.25">
      <c r="A157" s="39">
        <v>46028.3980435185</v>
      </c>
      <c r="B157" s="40">
        <v>46028</v>
      </c>
      <c r="C157" t="s">
        <v>23</v>
      </c>
      <c r="D157" t="s">
        <v>30</v>
      </c>
      <c r="E157" t="s">
        <v>31</v>
      </c>
      <c r="F157" t="s">
        <v>32</v>
      </c>
      <c r="G157" t="s">
        <v>205</v>
      </c>
      <c r="H157" t="s">
        <v>206</v>
      </c>
      <c r="I157">
        <v>0.31714500000000001</v>
      </c>
      <c r="J157">
        <v>2.0179999999999998</v>
      </c>
      <c r="K157">
        <v>-0.64</v>
      </c>
      <c r="L157">
        <v>0</v>
      </c>
      <c r="M157">
        <v>0</v>
      </c>
      <c r="N157" t="s">
        <v>26</v>
      </c>
      <c r="O157">
        <v>0</v>
      </c>
      <c r="P157" t="s">
        <v>1442</v>
      </c>
      <c r="Q157">
        <v>0</v>
      </c>
      <c r="R157" t="s">
        <v>373</v>
      </c>
      <c r="S157" t="s">
        <v>374</v>
      </c>
      <c r="T157" t="s">
        <v>1442</v>
      </c>
      <c r="U157" t="s">
        <v>1442</v>
      </c>
      <c r="V157" t="s">
        <v>1442</v>
      </c>
      <c r="W157" t="s">
        <v>1442</v>
      </c>
    </row>
    <row r="158" spans="1:23" x14ac:dyDescent="0.25">
      <c r="A158" s="39">
        <v>46028.399732060199</v>
      </c>
      <c r="B158" s="40">
        <v>46028</v>
      </c>
      <c r="C158" t="s">
        <v>23</v>
      </c>
      <c r="D158" t="s">
        <v>30</v>
      </c>
      <c r="E158" t="s">
        <v>31</v>
      </c>
      <c r="F158" t="s">
        <v>32</v>
      </c>
      <c r="G158" t="s">
        <v>211</v>
      </c>
      <c r="H158" t="s">
        <v>212</v>
      </c>
      <c r="I158">
        <v>0.92561899999999997</v>
      </c>
      <c r="J158">
        <v>4.82</v>
      </c>
      <c r="K158">
        <v>-4.46</v>
      </c>
      <c r="L158">
        <v>0</v>
      </c>
      <c r="M158">
        <v>0</v>
      </c>
      <c r="N158" t="s">
        <v>26</v>
      </c>
      <c r="O158">
        <v>0</v>
      </c>
      <c r="P158" t="s">
        <v>1442</v>
      </c>
      <c r="Q158">
        <v>0</v>
      </c>
      <c r="R158" t="s">
        <v>375</v>
      </c>
      <c r="S158" t="s">
        <v>376</v>
      </c>
      <c r="T158" t="s">
        <v>1442</v>
      </c>
      <c r="U158" t="s">
        <v>1442</v>
      </c>
      <c r="V158" t="s">
        <v>1442</v>
      </c>
      <c r="W158" t="s">
        <v>1442</v>
      </c>
    </row>
    <row r="159" spans="1:23" x14ac:dyDescent="0.25">
      <c r="A159" s="39">
        <v>46028.399732106504</v>
      </c>
      <c r="B159" s="40">
        <v>46028</v>
      </c>
      <c r="C159" t="s">
        <v>23</v>
      </c>
      <c r="D159" t="s">
        <v>30</v>
      </c>
      <c r="E159" t="s">
        <v>31</v>
      </c>
      <c r="F159" t="s">
        <v>32</v>
      </c>
      <c r="G159" t="s">
        <v>211</v>
      </c>
      <c r="H159" t="s">
        <v>212</v>
      </c>
      <c r="I159">
        <v>3</v>
      </c>
      <c r="J159">
        <v>4.82</v>
      </c>
      <c r="K159">
        <v>-14.46</v>
      </c>
      <c r="L159">
        <v>-1</v>
      </c>
      <c r="M159">
        <v>0</v>
      </c>
      <c r="N159" t="s">
        <v>26</v>
      </c>
      <c r="O159">
        <v>0</v>
      </c>
      <c r="P159" t="s">
        <v>1442</v>
      </c>
      <c r="Q159">
        <v>0</v>
      </c>
      <c r="R159" t="s">
        <v>377</v>
      </c>
      <c r="S159" t="s">
        <v>378</v>
      </c>
      <c r="T159" t="s">
        <v>1442</v>
      </c>
      <c r="U159" t="s">
        <v>1442</v>
      </c>
      <c r="V159" t="s">
        <v>1442</v>
      </c>
      <c r="W159" t="s">
        <v>1442</v>
      </c>
    </row>
    <row r="160" spans="1:23" x14ac:dyDescent="0.25">
      <c r="A160" s="39">
        <v>46029.3301075579</v>
      </c>
      <c r="B160" s="40">
        <v>46029</v>
      </c>
      <c r="C160" t="s">
        <v>23</v>
      </c>
      <c r="D160" t="s">
        <v>24</v>
      </c>
      <c r="E160" t="s">
        <v>25</v>
      </c>
      <c r="F160" t="s">
        <v>1442</v>
      </c>
      <c r="G160" t="s">
        <v>1442</v>
      </c>
      <c r="H160" t="s">
        <v>1442</v>
      </c>
      <c r="I160">
        <v>0</v>
      </c>
      <c r="J160">
        <v>0</v>
      </c>
      <c r="K160">
        <v>29.34</v>
      </c>
      <c r="L160">
        <v>0</v>
      </c>
      <c r="M160">
        <v>0</v>
      </c>
      <c r="N160" t="s">
        <v>26</v>
      </c>
      <c r="O160">
        <v>0</v>
      </c>
      <c r="P160" t="s">
        <v>1442</v>
      </c>
      <c r="Q160">
        <v>0</v>
      </c>
      <c r="R160" t="s">
        <v>246</v>
      </c>
      <c r="S160" t="s">
        <v>379</v>
      </c>
      <c r="T160" t="s">
        <v>1442</v>
      </c>
      <c r="U160" t="s">
        <v>1442</v>
      </c>
      <c r="V160" t="s">
        <v>1442</v>
      </c>
      <c r="W160" t="s">
        <v>1442</v>
      </c>
    </row>
    <row r="161" spans="1:23" x14ac:dyDescent="0.25">
      <c r="A161" s="39">
        <v>46029.446802071798</v>
      </c>
      <c r="B161" s="40">
        <v>46029</v>
      </c>
      <c r="C161" t="s">
        <v>23</v>
      </c>
      <c r="D161" t="s">
        <v>30</v>
      </c>
      <c r="E161" t="s">
        <v>31</v>
      </c>
      <c r="F161" t="s">
        <v>32</v>
      </c>
      <c r="G161" t="s">
        <v>380</v>
      </c>
      <c r="H161" t="s">
        <v>381</v>
      </c>
      <c r="I161">
        <v>1.75E-3</v>
      </c>
      <c r="J161">
        <v>3.9990000000000001</v>
      </c>
      <c r="K161">
        <v>-0.01</v>
      </c>
      <c r="L161">
        <v>0</v>
      </c>
      <c r="M161">
        <v>0</v>
      </c>
      <c r="N161" t="s">
        <v>26</v>
      </c>
      <c r="O161">
        <v>0</v>
      </c>
      <c r="P161" t="s">
        <v>1442</v>
      </c>
      <c r="Q161">
        <v>0</v>
      </c>
      <c r="R161" t="s">
        <v>382</v>
      </c>
      <c r="S161" t="s">
        <v>383</v>
      </c>
      <c r="T161" t="s">
        <v>1442</v>
      </c>
      <c r="U161" t="s">
        <v>1442</v>
      </c>
      <c r="V161" t="s">
        <v>1442</v>
      </c>
      <c r="W161" t="s">
        <v>1442</v>
      </c>
    </row>
    <row r="162" spans="1:23" x14ac:dyDescent="0.25">
      <c r="A162" s="39">
        <v>46029.446802083301</v>
      </c>
      <c r="B162" s="40">
        <v>46029</v>
      </c>
      <c r="C162" t="s">
        <v>23</v>
      </c>
      <c r="D162" t="s">
        <v>30</v>
      </c>
      <c r="E162" t="s">
        <v>31</v>
      </c>
      <c r="F162" t="s">
        <v>32</v>
      </c>
      <c r="G162" t="s">
        <v>380</v>
      </c>
      <c r="H162" t="s">
        <v>381</v>
      </c>
      <c r="I162">
        <v>7</v>
      </c>
      <c r="J162">
        <v>3.9990000000000001</v>
      </c>
      <c r="K162">
        <v>-27.99</v>
      </c>
      <c r="L162">
        <v>-1</v>
      </c>
      <c r="M162">
        <v>0</v>
      </c>
      <c r="N162" t="s">
        <v>26</v>
      </c>
      <c r="O162">
        <v>0</v>
      </c>
      <c r="P162" t="s">
        <v>1442</v>
      </c>
      <c r="Q162">
        <v>0</v>
      </c>
      <c r="R162" t="s">
        <v>384</v>
      </c>
      <c r="S162" t="s">
        <v>385</v>
      </c>
      <c r="T162" t="s">
        <v>1442</v>
      </c>
      <c r="U162" t="s">
        <v>1442</v>
      </c>
      <c r="V162" t="s">
        <v>1442</v>
      </c>
      <c r="W162" t="s">
        <v>1442</v>
      </c>
    </row>
    <row r="163" spans="1:23" x14ac:dyDescent="0.25">
      <c r="A163" s="39">
        <v>46029.859067071797</v>
      </c>
      <c r="B163" s="40">
        <v>46029</v>
      </c>
      <c r="C163" t="s">
        <v>23</v>
      </c>
      <c r="D163" t="s">
        <v>30</v>
      </c>
      <c r="E163" t="s">
        <v>82</v>
      </c>
      <c r="F163" t="s">
        <v>32</v>
      </c>
      <c r="G163" t="s">
        <v>167</v>
      </c>
      <c r="H163" t="s">
        <v>168</v>
      </c>
      <c r="I163">
        <v>-0.38756800000000002</v>
      </c>
      <c r="J163">
        <v>2.27</v>
      </c>
      <c r="K163">
        <v>0.88</v>
      </c>
      <c r="L163">
        <v>0</v>
      </c>
      <c r="M163">
        <v>-0.12</v>
      </c>
      <c r="N163" t="s">
        <v>26</v>
      </c>
      <c r="O163">
        <v>0</v>
      </c>
      <c r="P163" t="s">
        <v>1442</v>
      </c>
      <c r="Q163">
        <v>0</v>
      </c>
      <c r="R163" t="s">
        <v>386</v>
      </c>
      <c r="S163" t="s">
        <v>387</v>
      </c>
      <c r="T163" t="s">
        <v>1442</v>
      </c>
      <c r="U163" t="s">
        <v>1442</v>
      </c>
      <c r="V163" t="s">
        <v>1442</v>
      </c>
      <c r="W163" t="s">
        <v>1442</v>
      </c>
    </row>
    <row r="164" spans="1:23" x14ac:dyDescent="0.25">
      <c r="A164" s="39">
        <v>46029.859067233803</v>
      </c>
      <c r="B164" s="40">
        <v>46029</v>
      </c>
      <c r="C164" t="s">
        <v>23</v>
      </c>
      <c r="D164" t="s">
        <v>30</v>
      </c>
      <c r="E164" t="s">
        <v>82</v>
      </c>
      <c r="F164" t="s">
        <v>32</v>
      </c>
      <c r="G164" t="s">
        <v>167</v>
      </c>
      <c r="H164" t="s">
        <v>168</v>
      </c>
      <c r="I164">
        <v>-54</v>
      </c>
      <c r="J164">
        <v>2.27</v>
      </c>
      <c r="K164">
        <v>122.58</v>
      </c>
      <c r="L164">
        <v>-1</v>
      </c>
      <c r="M164">
        <v>-16.350000000000001</v>
      </c>
      <c r="N164" t="s">
        <v>26</v>
      </c>
      <c r="O164">
        <v>0</v>
      </c>
      <c r="P164" t="s">
        <v>1442</v>
      </c>
      <c r="Q164">
        <v>0</v>
      </c>
      <c r="R164" t="s">
        <v>388</v>
      </c>
      <c r="S164" t="s">
        <v>389</v>
      </c>
      <c r="T164" t="s">
        <v>1442</v>
      </c>
      <c r="U164" t="s">
        <v>1442</v>
      </c>
      <c r="V164" t="s">
        <v>1442</v>
      </c>
      <c r="W164" t="s">
        <v>1442</v>
      </c>
    </row>
    <row r="165" spans="1:23" x14ac:dyDescent="0.25">
      <c r="A165" s="39">
        <v>46030.020777314799</v>
      </c>
      <c r="B165" s="40">
        <v>46029</v>
      </c>
      <c r="C165" t="s">
        <v>23</v>
      </c>
      <c r="D165" t="s">
        <v>24</v>
      </c>
      <c r="E165" t="s">
        <v>390</v>
      </c>
      <c r="F165" t="s">
        <v>1442</v>
      </c>
      <c r="G165" t="s">
        <v>1442</v>
      </c>
      <c r="H165" t="s">
        <v>1442</v>
      </c>
      <c r="I165">
        <v>0</v>
      </c>
      <c r="J165">
        <v>0</v>
      </c>
      <c r="K165">
        <v>0</v>
      </c>
      <c r="L165">
        <v>0</v>
      </c>
      <c r="M165">
        <v>16.47</v>
      </c>
      <c r="N165" t="s">
        <v>26</v>
      </c>
      <c r="O165">
        <v>0</v>
      </c>
      <c r="P165" t="s">
        <v>1442</v>
      </c>
      <c r="Q165">
        <v>0</v>
      </c>
      <c r="R165" t="s">
        <v>391</v>
      </c>
      <c r="S165" t="s">
        <v>392</v>
      </c>
      <c r="T165" t="s">
        <v>1442</v>
      </c>
      <c r="U165" t="s">
        <v>1442</v>
      </c>
      <c r="V165" t="s">
        <v>1442</v>
      </c>
      <c r="W165" t="s">
        <v>1442</v>
      </c>
    </row>
    <row r="166" spans="1:23" x14ac:dyDescent="0.25">
      <c r="A166" s="39">
        <v>46031.836544629601</v>
      </c>
      <c r="B166" s="40">
        <v>46031</v>
      </c>
      <c r="C166" t="s">
        <v>23</v>
      </c>
      <c r="D166" t="s">
        <v>30</v>
      </c>
      <c r="E166" t="s">
        <v>82</v>
      </c>
      <c r="F166" t="s">
        <v>32</v>
      </c>
      <c r="G166" t="s">
        <v>226</v>
      </c>
      <c r="H166" t="s">
        <v>227</v>
      </c>
      <c r="I166">
        <v>-7</v>
      </c>
      <c r="J166">
        <v>14</v>
      </c>
      <c r="K166">
        <v>98</v>
      </c>
      <c r="L166">
        <v>-1</v>
      </c>
      <c r="M166">
        <v>0</v>
      </c>
      <c r="N166" t="s">
        <v>26</v>
      </c>
      <c r="O166">
        <v>0</v>
      </c>
      <c r="P166" t="s">
        <v>1442</v>
      </c>
      <c r="Q166">
        <v>0</v>
      </c>
      <c r="R166" t="s">
        <v>393</v>
      </c>
      <c r="S166" t="s">
        <v>394</v>
      </c>
      <c r="T166" t="s">
        <v>1442</v>
      </c>
      <c r="U166" t="s">
        <v>1442</v>
      </c>
      <c r="V166" t="s">
        <v>1442</v>
      </c>
      <c r="W166" t="s">
        <v>1442</v>
      </c>
    </row>
    <row r="167" spans="1:23" x14ac:dyDescent="0.25">
      <c r="A167" s="39">
        <v>46031.885010636601</v>
      </c>
      <c r="B167" s="40">
        <v>46031</v>
      </c>
      <c r="C167" t="s">
        <v>23</v>
      </c>
      <c r="D167" t="s">
        <v>30</v>
      </c>
      <c r="E167" t="s">
        <v>82</v>
      </c>
      <c r="F167" t="s">
        <v>32</v>
      </c>
      <c r="G167" t="s">
        <v>154</v>
      </c>
      <c r="H167" t="s">
        <v>155</v>
      </c>
      <c r="I167">
        <v>-15</v>
      </c>
      <c r="J167">
        <v>24.4</v>
      </c>
      <c r="K167">
        <v>366</v>
      </c>
      <c r="L167">
        <v>-1</v>
      </c>
      <c r="M167">
        <v>0</v>
      </c>
      <c r="N167" t="s">
        <v>26</v>
      </c>
      <c r="O167">
        <v>0</v>
      </c>
      <c r="P167" t="s">
        <v>1442</v>
      </c>
      <c r="Q167">
        <v>0</v>
      </c>
      <c r="R167" t="s">
        <v>395</v>
      </c>
      <c r="S167" t="s">
        <v>396</v>
      </c>
      <c r="T167" t="s">
        <v>1442</v>
      </c>
      <c r="U167" t="s">
        <v>1442</v>
      </c>
      <c r="V167" t="s">
        <v>1442</v>
      </c>
      <c r="W167" t="s">
        <v>1442</v>
      </c>
    </row>
    <row r="168" spans="1:23" x14ac:dyDescent="0.25">
      <c r="A168" s="39">
        <v>46032.3611335764</v>
      </c>
      <c r="B168" s="40">
        <v>46032</v>
      </c>
      <c r="C168" t="s">
        <v>23</v>
      </c>
      <c r="D168" t="s">
        <v>24</v>
      </c>
      <c r="E168" t="s">
        <v>161</v>
      </c>
      <c r="F168" t="s">
        <v>1442</v>
      </c>
      <c r="G168" t="s">
        <v>1442</v>
      </c>
      <c r="H168" t="s">
        <v>1442</v>
      </c>
      <c r="I168">
        <v>0</v>
      </c>
      <c r="J168">
        <v>0</v>
      </c>
      <c r="K168">
        <v>-584.46</v>
      </c>
      <c r="L168">
        <v>0</v>
      </c>
      <c r="M168">
        <v>0</v>
      </c>
      <c r="N168" t="s">
        <v>26</v>
      </c>
      <c r="O168">
        <v>0</v>
      </c>
      <c r="P168" t="s">
        <v>1442</v>
      </c>
      <c r="Q168">
        <v>0</v>
      </c>
      <c r="R168" t="s">
        <v>397</v>
      </c>
      <c r="S168" t="s">
        <v>398</v>
      </c>
      <c r="T168" t="s">
        <v>1442</v>
      </c>
      <c r="U168" t="s">
        <v>1442</v>
      </c>
      <c r="V168" t="s">
        <v>1442</v>
      </c>
      <c r="W168" t="s">
        <v>1442</v>
      </c>
    </row>
    <row r="169" spans="1:23" x14ac:dyDescent="0.25">
      <c r="A169" s="39">
        <v>46034.903474976898</v>
      </c>
      <c r="B169" s="40">
        <v>46034</v>
      </c>
      <c r="C169" t="s">
        <v>23</v>
      </c>
      <c r="D169" t="s">
        <v>30</v>
      </c>
      <c r="E169" t="s">
        <v>82</v>
      </c>
      <c r="F169" t="s">
        <v>32</v>
      </c>
      <c r="G169" t="s">
        <v>293</v>
      </c>
      <c r="H169" t="s">
        <v>294</v>
      </c>
      <c r="I169">
        <v>-0.83233500000000005</v>
      </c>
      <c r="J169">
        <v>10.6</v>
      </c>
      <c r="K169">
        <v>8.82</v>
      </c>
      <c r="L169">
        <v>-1</v>
      </c>
      <c r="M169">
        <v>0</v>
      </c>
      <c r="N169" t="s">
        <v>26</v>
      </c>
      <c r="O169">
        <v>0</v>
      </c>
      <c r="P169" t="s">
        <v>1442</v>
      </c>
      <c r="Q169">
        <v>0</v>
      </c>
      <c r="R169" t="s">
        <v>399</v>
      </c>
      <c r="S169" t="s">
        <v>400</v>
      </c>
      <c r="T169" t="s">
        <v>1442</v>
      </c>
      <c r="U169" t="s">
        <v>1442</v>
      </c>
      <c r="V169" t="s">
        <v>1442</v>
      </c>
      <c r="W169" t="s">
        <v>1442</v>
      </c>
    </row>
    <row r="170" spans="1:23" x14ac:dyDescent="0.25">
      <c r="A170" s="39">
        <v>46034.903801030101</v>
      </c>
      <c r="B170" s="40">
        <v>46034</v>
      </c>
      <c r="C170" t="s">
        <v>23</v>
      </c>
      <c r="D170" t="s">
        <v>30</v>
      </c>
      <c r="E170" t="s">
        <v>82</v>
      </c>
      <c r="F170" t="s">
        <v>32</v>
      </c>
      <c r="G170" t="s">
        <v>293</v>
      </c>
      <c r="H170" t="s">
        <v>294</v>
      </c>
      <c r="I170">
        <v>-23</v>
      </c>
      <c r="J170">
        <v>10.6</v>
      </c>
      <c r="K170">
        <v>243.8</v>
      </c>
      <c r="L170">
        <v>-1</v>
      </c>
      <c r="M170">
        <v>0</v>
      </c>
      <c r="N170" t="s">
        <v>26</v>
      </c>
      <c r="O170">
        <v>0</v>
      </c>
      <c r="P170" t="s">
        <v>1442</v>
      </c>
      <c r="Q170">
        <v>0</v>
      </c>
      <c r="R170" t="s">
        <v>401</v>
      </c>
      <c r="S170" t="s">
        <v>402</v>
      </c>
      <c r="T170" t="s">
        <v>1442</v>
      </c>
      <c r="U170" t="s">
        <v>1442</v>
      </c>
      <c r="V170" t="s">
        <v>1442</v>
      </c>
      <c r="W170" t="s">
        <v>1442</v>
      </c>
    </row>
    <row r="171" spans="1:23" x14ac:dyDescent="0.25">
      <c r="A171" s="39">
        <v>46034.904119710598</v>
      </c>
      <c r="B171" s="40">
        <v>46034</v>
      </c>
      <c r="C171" t="s">
        <v>23</v>
      </c>
      <c r="D171" t="s">
        <v>30</v>
      </c>
      <c r="E171" t="s">
        <v>82</v>
      </c>
      <c r="F171" t="s">
        <v>32</v>
      </c>
      <c r="G171" t="s">
        <v>328</v>
      </c>
      <c r="H171" t="s">
        <v>329</v>
      </c>
      <c r="I171">
        <v>-0.265129</v>
      </c>
      <c r="J171">
        <v>10.199999999999999</v>
      </c>
      <c r="K171">
        <v>2.7</v>
      </c>
      <c r="L171">
        <v>0</v>
      </c>
      <c r="M171">
        <v>0</v>
      </c>
      <c r="N171" t="s">
        <v>26</v>
      </c>
      <c r="O171">
        <v>0</v>
      </c>
      <c r="P171" t="s">
        <v>1442</v>
      </c>
      <c r="Q171">
        <v>0</v>
      </c>
      <c r="R171" t="s">
        <v>403</v>
      </c>
      <c r="S171" t="s">
        <v>404</v>
      </c>
      <c r="T171" t="s">
        <v>1442</v>
      </c>
      <c r="U171" t="s">
        <v>1442</v>
      </c>
      <c r="V171" t="s">
        <v>1442</v>
      </c>
      <c r="W171" t="s">
        <v>1442</v>
      </c>
    </row>
    <row r="172" spans="1:23" x14ac:dyDescent="0.25">
      <c r="A172" s="39">
        <v>46034.904119710598</v>
      </c>
      <c r="B172" s="40">
        <v>46034</v>
      </c>
      <c r="C172" t="s">
        <v>23</v>
      </c>
      <c r="D172" t="s">
        <v>30</v>
      </c>
      <c r="E172" t="s">
        <v>82</v>
      </c>
      <c r="F172" t="s">
        <v>32</v>
      </c>
      <c r="G172" t="s">
        <v>328</v>
      </c>
      <c r="H172" t="s">
        <v>329</v>
      </c>
      <c r="I172">
        <v>-14</v>
      </c>
      <c r="J172">
        <v>10.199999999999999</v>
      </c>
      <c r="K172">
        <v>142.80000000000001</v>
      </c>
      <c r="L172">
        <v>-1</v>
      </c>
      <c r="M172">
        <v>0</v>
      </c>
      <c r="N172" t="s">
        <v>26</v>
      </c>
      <c r="O172">
        <v>0</v>
      </c>
      <c r="P172" t="s">
        <v>1442</v>
      </c>
      <c r="Q172">
        <v>0</v>
      </c>
      <c r="R172" t="s">
        <v>405</v>
      </c>
      <c r="S172" t="s">
        <v>406</v>
      </c>
      <c r="T172" t="s">
        <v>1442</v>
      </c>
      <c r="U172" t="s">
        <v>1442</v>
      </c>
      <c r="V172" t="s">
        <v>1442</v>
      </c>
      <c r="W172" t="s">
        <v>1442</v>
      </c>
    </row>
    <row r="173" spans="1:23" x14ac:dyDescent="0.25">
      <c r="A173" s="39">
        <v>46034.904457546298</v>
      </c>
      <c r="B173" s="40">
        <v>46034</v>
      </c>
      <c r="C173" t="s">
        <v>23</v>
      </c>
      <c r="D173" t="s">
        <v>30</v>
      </c>
      <c r="E173" t="s">
        <v>82</v>
      </c>
      <c r="F173" t="s">
        <v>32</v>
      </c>
      <c r="G173" t="s">
        <v>315</v>
      </c>
      <c r="H173" t="s">
        <v>316</v>
      </c>
      <c r="I173">
        <v>-14</v>
      </c>
      <c r="J173">
        <v>8.25</v>
      </c>
      <c r="K173">
        <v>115.5</v>
      </c>
      <c r="L173">
        <v>-1</v>
      </c>
      <c r="M173">
        <v>0</v>
      </c>
      <c r="N173" t="s">
        <v>26</v>
      </c>
      <c r="O173">
        <v>0</v>
      </c>
      <c r="P173" t="s">
        <v>1442</v>
      </c>
      <c r="Q173">
        <v>0</v>
      </c>
      <c r="R173" t="s">
        <v>407</v>
      </c>
      <c r="S173" t="s">
        <v>408</v>
      </c>
      <c r="T173" t="s">
        <v>1442</v>
      </c>
      <c r="U173" t="s">
        <v>1442</v>
      </c>
      <c r="V173" t="s">
        <v>1442</v>
      </c>
      <c r="W173" t="s">
        <v>1442</v>
      </c>
    </row>
    <row r="174" spans="1:23" x14ac:dyDescent="0.25">
      <c r="A174" s="39">
        <v>46034.904457557903</v>
      </c>
      <c r="B174" s="40">
        <v>46034</v>
      </c>
      <c r="C174" t="s">
        <v>23</v>
      </c>
      <c r="D174" t="s">
        <v>30</v>
      </c>
      <c r="E174" t="s">
        <v>82</v>
      </c>
      <c r="F174" t="s">
        <v>32</v>
      </c>
      <c r="G174" t="s">
        <v>315</v>
      </c>
      <c r="H174" t="s">
        <v>316</v>
      </c>
      <c r="I174">
        <v>-0.90566000000000002</v>
      </c>
      <c r="J174">
        <v>8.25</v>
      </c>
      <c r="K174">
        <v>7.47</v>
      </c>
      <c r="L174">
        <v>0</v>
      </c>
      <c r="M174">
        <v>0</v>
      </c>
      <c r="N174" t="s">
        <v>26</v>
      </c>
      <c r="O174">
        <v>0</v>
      </c>
      <c r="P174" t="s">
        <v>1442</v>
      </c>
      <c r="Q174">
        <v>0</v>
      </c>
      <c r="R174" t="s">
        <v>409</v>
      </c>
      <c r="S174" t="s">
        <v>410</v>
      </c>
      <c r="T174" t="s">
        <v>1442</v>
      </c>
      <c r="U174" t="s">
        <v>1442</v>
      </c>
      <c r="V174" t="s">
        <v>1442</v>
      </c>
      <c r="W174" t="s">
        <v>1442</v>
      </c>
    </row>
    <row r="175" spans="1:23" x14ac:dyDescent="0.25">
      <c r="A175" s="39">
        <v>46034.904775625</v>
      </c>
      <c r="B175" s="40">
        <v>46034</v>
      </c>
      <c r="C175" t="s">
        <v>23</v>
      </c>
      <c r="D175" t="s">
        <v>30</v>
      </c>
      <c r="E175" t="s">
        <v>82</v>
      </c>
      <c r="F175" t="s">
        <v>32</v>
      </c>
      <c r="G175" t="s">
        <v>167</v>
      </c>
      <c r="H175" t="s">
        <v>168</v>
      </c>
      <c r="I175">
        <v>-54</v>
      </c>
      <c r="J175">
        <v>2.2050000000000001</v>
      </c>
      <c r="K175">
        <v>119.07</v>
      </c>
      <c r="L175">
        <v>-1</v>
      </c>
      <c r="M175">
        <v>0</v>
      </c>
      <c r="N175" t="s">
        <v>26</v>
      </c>
      <c r="O175">
        <v>0</v>
      </c>
      <c r="P175" t="s">
        <v>1442</v>
      </c>
      <c r="Q175">
        <v>0</v>
      </c>
      <c r="R175" t="s">
        <v>388</v>
      </c>
      <c r="S175" t="s">
        <v>411</v>
      </c>
      <c r="T175" t="s">
        <v>1442</v>
      </c>
      <c r="U175" t="s">
        <v>1442</v>
      </c>
      <c r="V175" t="s">
        <v>1442</v>
      </c>
      <c r="W175" t="s">
        <v>1442</v>
      </c>
    </row>
    <row r="176" spans="1:23" x14ac:dyDescent="0.25">
      <c r="A176" s="39">
        <v>46034.904775648101</v>
      </c>
      <c r="B176" s="40">
        <v>46034</v>
      </c>
      <c r="C176" t="s">
        <v>23</v>
      </c>
      <c r="D176" t="s">
        <v>30</v>
      </c>
      <c r="E176" t="s">
        <v>82</v>
      </c>
      <c r="F176" t="s">
        <v>32</v>
      </c>
      <c r="G176" t="s">
        <v>167</v>
      </c>
      <c r="H176" t="s">
        <v>168</v>
      </c>
      <c r="I176">
        <v>-0.387569</v>
      </c>
      <c r="J176">
        <v>2.2050000000000001</v>
      </c>
      <c r="K176">
        <v>0.85</v>
      </c>
      <c r="L176">
        <v>0</v>
      </c>
      <c r="M176">
        <v>0</v>
      </c>
      <c r="N176" t="s">
        <v>26</v>
      </c>
      <c r="O176">
        <v>0</v>
      </c>
      <c r="P176" t="s">
        <v>1442</v>
      </c>
      <c r="Q176">
        <v>0</v>
      </c>
      <c r="R176" t="s">
        <v>412</v>
      </c>
      <c r="S176" t="s">
        <v>413</v>
      </c>
      <c r="T176" t="s">
        <v>1442</v>
      </c>
      <c r="U176" t="s">
        <v>1442</v>
      </c>
      <c r="V176" t="s">
        <v>1442</v>
      </c>
      <c r="W176" t="s">
        <v>1442</v>
      </c>
    </row>
    <row r="177" spans="1:23" x14ac:dyDescent="0.25">
      <c r="A177" s="39">
        <v>46034.9051014699</v>
      </c>
      <c r="B177" s="40">
        <v>46034</v>
      </c>
      <c r="C177" t="s">
        <v>23</v>
      </c>
      <c r="D177" t="s">
        <v>30</v>
      </c>
      <c r="E177" t="s">
        <v>82</v>
      </c>
      <c r="F177" t="s">
        <v>32</v>
      </c>
      <c r="G177" t="s">
        <v>340</v>
      </c>
      <c r="H177" t="s">
        <v>341</v>
      </c>
      <c r="I177">
        <v>-0.55322300000000002</v>
      </c>
      <c r="J177">
        <v>6.4219999999999997</v>
      </c>
      <c r="K177">
        <v>3.55</v>
      </c>
      <c r="L177">
        <v>0</v>
      </c>
      <c r="M177">
        <v>0</v>
      </c>
      <c r="N177" t="s">
        <v>26</v>
      </c>
      <c r="O177">
        <v>0</v>
      </c>
      <c r="P177" t="s">
        <v>1442</v>
      </c>
      <c r="Q177">
        <v>0</v>
      </c>
      <c r="R177" t="s">
        <v>414</v>
      </c>
      <c r="S177" t="s">
        <v>415</v>
      </c>
      <c r="T177" t="s">
        <v>1442</v>
      </c>
      <c r="U177" t="s">
        <v>1442</v>
      </c>
      <c r="V177" t="s">
        <v>1442</v>
      </c>
      <c r="W177" t="s">
        <v>1442</v>
      </c>
    </row>
    <row r="178" spans="1:23" x14ac:dyDescent="0.25">
      <c r="A178" s="39">
        <v>46034.9051014699</v>
      </c>
      <c r="B178" s="40">
        <v>46034</v>
      </c>
      <c r="C178" t="s">
        <v>23</v>
      </c>
      <c r="D178" t="s">
        <v>30</v>
      </c>
      <c r="E178" t="s">
        <v>82</v>
      </c>
      <c r="F178" t="s">
        <v>32</v>
      </c>
      <c r="G178" t="s">
        <v>340</v>
      </c>
      <c r="H178" t="s">
        <v>341</v>
      </c>
      <c r="I178">
        <v>-18</v>
      </c>
      <c r="J178">
        <v>6.4219999999999997</v>
      </c>
      <c r="K178">
        <v>115.6</v>
      </c>
      <c r="L178">
        <v>-1</v>
      </c>
      <c r="M178">
        <v>0</v>
      </c>
      <c r="N178" t="s">
        <v>26</v>
      </c>
      <c r="O178">
        <v>0</v>
      </c>
      <c r="P178" t="s">
        <v>1442</v>
      </c>
      <c r="Q178">
        <v>0</v>
      </c>
      <c r="R178" t="s">
        <v>416</v>
      </c>
      <c r="S178" t="s">
        <v>417</v>
      </c>
      <c r="T178" t="s">
        <v>1442</v>
      </c>
      <c r="U178" t="s">
        <v>1442</v>
      </c>
      <c r="V178" t="s">
        <v>1442</v>
      </c>
      <c r="W178" t="s">
        <v>1442</v>
      </c>
    </row>
    <row r="179" spans="1:23" x14ac:dyDescent="0.25">
      <c r="A179" s="39">
        <v>46034.9053812153</v>
      </c>
      <c r="B179" s="40">
        <v>46034</v>
      </c>
      <c r="C179" t="s">
        <v>23</v>
      </c>
      <c r="D179" t="s">
        <v>30</v>
      </c>
      <c r="E179" t="s">
        <v>82</v>
      </c>
      <c r="F179" t="s">
        <v>32</v>
      </c>
      <c r="G179" t="s">
        <v>364</v>
      </c>
      <c r="H179" t="s">
        <v>365</v>
      </c>
      <c r="I179">
        <v>-39</v>
      </c>
      <c r="J179">
        <v>2.95</v>
      </c>
      <c r="K179">
        <v>115.05</v>
      </c>
      <c r="L179">
        <v>-1</v>
      </c>
      <c r="M179">
        <v>0</v>
      </c>
      <c r="N179" t="s">
        <v>26</v>
      </c>
      <c r="O179">
        <v>0</v>
      </c>
      <c r="P179" t="s">
        <v>1442</v>
      </c>
      <c r="Q179">
        <v>0</v>
      </c>
      <c r="R179" t="s">
        <v>418</v>
      </c>
      <c r="S179" t="s">
        <v>419</v>
      </c>
      <c r="T179" t="s">
        <v>1442</v>
      </c>
      <c r="U179" t="s">
        <v>1442</v>
      </c>
      <c r="V179" t="s">
        <v>1442</v>
      </c>
      <c r="W179" t="s">
        <v>1442</v>
      </c>
    </row>
    <row r="180" spans="1:23" x14ac:dyDescent="0.25">
      <c r="A180" s="39">
        <v>46034.9053812153</v>
      </c>
      <c r="B180" s="40">
        <v>46034</v>
      </c>
      <c r="C180" t="s">
        <v>23</v>
      </c>
      <c r="D180" t="s">
        <v>30</v>
      </c>
      <c r="E180" t="s">
        <v>82</v>
      </c>
      <c r="F180" t="s">
        <v>32</v>
      </c>
      <c r="G180" t="s">
        <v>364</v>
      </c>
      <c r="H180" t="s">
        <v>365</v>
      </c>
      <c r="I180">
        <v>-0.44223099999999999</v>
      </c>
      <c r="J180">
        <v>2.95</v>
      </c>
      <c r="K180">
        <v>1.3</v>
      </c>
      <c r="L180">
        <v>0</v>
      </c>
      <c r="M180">
        <v>0</v>
      </c>
      <c r="N180" t="s">
        <v>26</v>
      </c>
      <c r="O180">
        <v>0</v>
      </c>
      <c r="P180" t="s">
        <v>1442</v>
      </c>
      <c r="Q180">
        <v>0</v>
      </c>
      <c r="R180" t="s">
        <v>420</v>
      </c>
      <c r="S180" t="s">
        <v>421</v>
      </c>
      <c r="T180" t="s">
        <v>1442</v>
      </c>
      <c r="U180" t="s">
        <v>1442</v>
      </c>
      <c r="V180" t="s">
        <v>1442</v>
      </c>
      <c r="W180" t="s">
        <v>1442</v>
      </c>
    </row>
    <row r="181" spans="1:23" x14ac:dyDescent="0.25">
      <c r="A181" s="39">
        <v>46034.9065727083</v>
      </c>
      <c r="B181" s="40">
        <v>46034</v>
      </c>
      <c r="C181" t="s">
        <v>23</v>
      </c>
      <c r="D181" t="s">
        <v>30</v>
      </c>
      <c r="E181" t="s">
        <v>82</v>
      </c>
      <c r="F181" t="s">
        <v>32</v>
      </c>
      <c r="G181" t="s">
        <v>154</v>
      </c>
      <c r="H181" t="s">
        <v>155</v>
      </c>
      <c r="I181">
        <v>-0.44280399999999998</v>
      </c>
      <c r="J181">
        <v>24.32</v>
      </c>
      <c r="K181">
        <v>10.77</v>
      </c>
      <c r="L181">
        <v>-1</v>
      </c>
      <c r="M181">
        <v>0</v>
      </c>
      <c r="N181" t="s">
        <v>26</v>
      </c>
      <c r="O181">
        <v>0</v>
      </c>
      <c r="P181" t="s">
        <v>1442</v>
      </c>
      <c r="Q181">
        <v>0</v>
      </c>
      <c r="R181" t="s">
        <v>422</v>
      </c>
      <c r="S181" t="s">
        <v>423</v>
      </c>
      <c r="T181" t="s">
        <v>1442</v>
      </c>
      <c r="U181" t="s">
        <v>1442</v>
      </c>
      <c r="V181" t="s">
        <v>1442</v>
      </c>
      <c r="W181" t="s">
        <v>1442</v>
      </c>
    </row>
    <row r="182" spans="1:23" x14ac:dyDescent="0.25">
      <c r="A182" s="39">
        <v>46034.911843240698</v>
      </c>
      <c r="B182" s="40">
        <v>46034</v>
      </c>
      <c r="C182" t="s">
        <v>23</v>
      </c>
      <c r="D182" t="s">
        <v>30</v>
      </c>
      <c r="E182" t="s">
        <v>82</v>
      </c>
      <c r="F182" t="s">
        <v>32</v>
      </c>
      <c r="G182" t="s">
        <v>321</v>
      </c>
      <c r="H182" t="s">
        <v>322</v>
      </c>
      <c r="I182">
        <v>-0.401785</v>
      </c>
      <c r="J182">
        <v>5.3</v>
      </c>
      <c r="K182">
        <v>2.13</v>
      </c>
      <c r="L182">
        <v>0</v>
      </c>
      <c r="M182">
        <v>0</v>
      </c>
      <c r="N182" t="s">
        <v>26</v>
      </c>
      <c r="O182">
        <v>0</v>
      </c>
      <c r="P182" t="s">
        <v>1442</v>
      </c>
      <c r="Q182">
        <v>0</v>
      </c>
      <c r="R182" t="s">
        <v>424</v>
      </c>
      <c r="S182" t="s">
        <v>425</v>
      </c>
      <c r="T182" t="s">
        <v>1442</v>
      </c>
      <c r="U182" t="s">
        <v>1442</v>
      </c>
      <c r="V182" t="s">
        <v>1442</v>
      </c>
      <c r="W182" t="s">
        <v>1442</v>
      </c>
    </row>
    <row r="183" spans="1:23" x14ac:dyDescent="0.25">
      <c r="A183" s="39">
        <v>46034.911843252303</v>
      </c>
      <c r="B183" s="40">
        <v>46034</v>
      </c>
      <c r="C183" t="s">
        <v>23</v>
      </c>
      <c r="D183" t="s">
        <v>30</v>
      </c>
      <c r="E183" t="s">
        <v>82</v>
      </c>
      <c r="F183" t="s">
        <v>32</v>
      </c>
      <c r="G183" t="s">
        <v>321</v>
      </c>
      <c r="H183" t="s">
        <v>322</v>
      </c>
      <c r="I183">
        <v>-15</v>
      </c>
      <c r="J183">
        <v>5.3</v>
      </c>
      <c r="K183">
        <v>79.5</v>
      </c>
      <c r="L183">
        <v>-1</v>
      </c>
      <c r="M183">
        <v>0</v>
      </c>
      <c r="N183" t="s">
        <v>26</v>
      </c>
      <c r="O183">
        <v>0</v>
      </c>
      <c r="P183" t="s">
        <v>1442</v>
      </c>
      <c r="Q183">
        <v>0</v>
      </c>
      <c r="R183" t="s">
        <v>426</v>
      </c>
      <c r="S183" t="s">
        <v>427</v>
      </c>
      <c r="T183" t="s">
        <v>1442</v>
      </c>
      <c r="U183" t="s">
        <v>1442</v>
      </c>
      <c r="V183" t="s">
        <v>1442</v>
      </c>
      <c r="W183" t="s">
        <v>1442</v>
      </c>
    </row>
    <row r="184" spans="1:23" x14ac:dyDescent="0.25">
      <c r="A184" s="39">
        <v>46035.243596921297</v>
      </c>
      <c r="B184" s="40">
        <v>46035</v>
      </c>
      <c r="C184" t="s">
        <v>23</v>
      </c>
      <c r="D184" t="s">
        <v>24</v>
      </c>
      <c r="E184" t="s">
        <v>161</v>
      </c>
      <c r="F184" t="s">
        <v>1442</v>
      </c>
      <c r="G184" t="s">
        <v>1442</v>
      </c>
      <c r="H184" t="s">
        <v>1442</v>
      </c>
      <c r="I184">
        <v>0</v>
      </c>
      <c r="J184">
        <v>0</v>
      </c>
      <c r="K184">
        <v>-960.46</v>
      </c>
      <c r="L184">
        <v>0</v>
      </c>
      <c r="M184">
        <v>0</v>
      </c>
      <c r="N184" t="s">
        <v>26</v>
      </c>
      <c r="O184">
        <v>0</v>
      </c>
      <c r="P184" t="s">
        <v>1442</v>
      </c>
      <c r="Q184">
        <v>0</v>
      </c>
      <c r="R184" t="s">
        <v>397</v>
      </c>
      <c r="S184" t="s">
        <v>428</v>
      </c>
      <c r="T184" t="s">
        <v>1442</v>
      </c>
      <c r="U184" t="s">
        <v>1442</v>
      </c>
      <c r="V184" t="s">
        <v>1442</v>
      </c>
      <c r="W184" t="s">
        <v>1442</v>
      </c>
    </row>
    <row r="185" spans="1:23" x14ac:dyDescent="0.25">
      <c r="A185" s="39">
        <v>46035.374317384303</v>
      </c>
      <c r="B185" s="40">
        <v>46035</v>
      </c>
      <c r="C185" t="s">
        <v>23</v>
      </c>
      <c r="D185" t="s">
        <v>30</v>
      </c>
      <c r="E185" t="s">
        <v>82</v>
      </c>
      <c r="F185" t="s">
        <v>32</v>
      </c>
      <c r="G185" t="s">
        <v>334</v>
      </c>
      <c r="H185" t="s">
        <v>335</v>
      </c>
      <c r="I185">
        <v>-16</v>
      </c>
      <c r="J185">
        <v>6.4850000000000003</v>
      </c>
      <c r="K185">
        <v>103.76</v>
      </c>
      <c r="L185">
        <v>-1</v>
      </c>
      <c r="M185">
        <v>0</v>
      </c>
      <c r="N185" t="s">
        <v>26</v>
      </c>
      <c r="O185">
        <v>0</v>
      </c>
      <c r="P185" t="s">
        <v>1442</v>
      </c>
      <c r="Q185">
        <v>0</v>
      </c>
      <c r="R185" t="s">
        <v>429</v>
      </c>
      <c r="S185" t="s">
        <v>430</v>
      </c>
      <c r="T185" t="s">
        <v>1442</v>
      </c>
      <c r="U185" t="s">
        <v>1442</v>
      </c>
      <c r="V185" t="s">
        <v>1442</v>
      </c>
      <c r="W185" t="s">
        <v>1442</v>
      </c>
    </row>
    <row r="186" spans="1:23" x14ac:dyDescent="0.25">
      <c r="A186" s="39">
        <v>46035.378525347202</v>
      </c>
      <c r="B186" s="40">
        <v>46035</v>
      </c>
      <c r="C186" t="s">
        <v>23</v>
      </c>
      <c r="D186" t="s">
        <v>30</v>
      </c>
      <c r="E186" t="s">
        <v>82</v>
      </c>
      <c r="F186" t="s">
        <v>32</v>
      </c>
      <c r="G186" t="s">
        <v>334</v>
      </c>
      <c r="H186" t="s">
        <v>335</v>
      </c>
      <c r="I186">
        <v>-0.73710900000000001</v>
      </c>
      <c r="J186">
        <v>6.43</v>
      </c>
      <c r="K186">
        <v>4.74</v>
      </c>
      <c r="L186">
        <v>-1</v>
      </c>
      <c r="M186">
        <v>0</v>
      </c>
      <c r="N186" t="s">
        <v>26</v>
      </c>
      <c r="O186">
        <v>0</v>
      </c>
      <c r="P186" t="s">
        <v>1442</v>
      </c>
      <c r="Q186">
        <v>0</v>
      </c>
      <c r="R186" t="s">
        <v>431</v>
      </c>
      <c r="S186" t="s">
        <v>432</v>
      </c>
      <c r="T186" t="s">
        <v>1442</v>
      </c>
      <c r="U186" t="s">
        <v>1442</v>
      </c>
      <c r="V186" t="s">
        <v>1442</v>
      </c>
      <c r="W186" t="s">
        <v>1442</v>
      </c>
    </row>
    <row r="187" spans="1:23" x14ac:dyDescent="0.25">
      <c r="A187" s="39">
        <v>46035.509952870401</v>
      </c>
      <c r="B187" s="40">
        <v>46035</v>
      </c>
      <c r="C187" t="s">
        <v>23</v>
      </c>
      <c r="D187" t="s">
        <v>30</v>
      </c>
      <c r="E187" t="s">
        <v>82</v>
      </c>
      <c r="F187" t="s">
        <v>32</v>
      </c>
      <c r="G187" t="s">
        <v>226</v>
      </c>
      <c r="H187" t="s">
        <v>227</v>
      </c>
      <c r="I187">
        <v>-0.21123900000000001</v>
      </c>
      <c r="J187">
        <v>14.86</v>
      </c>
      <c r="K187">
        <v>3.14</v>
      </c>
      <c r="L187">
        <v>-1</v>
      </c>
      <c r="M187">
        <v>0</v>
      </c>
      <c r="N187" t="s">
        <v>26</v>
      </c>
      <c r="O187">
        <v>0</v>
      </c>
      <c r="P187" t="s">
        <v>1442</v>
      </c>
      <c r="Q187">
        <v>0</v>
      </c>
      <c r="R187" t="s">
        <v>433</v>
      </c>
      <c r="S187" t="s">
        <v>434</v>
      </c>
      <c r="T187" t="s">
        <v>1442</v>
      </c>
      <c r="U187" t="s">
        <v>1442</v>
      </c>
      <c r="V187" t="s">
        <v>1442</v>
      </c>
      <c r="W187" t="s">
        <v>1442</v>
      </c>
    </row>
    <row r="188" spans="1:23" x14ac:dyDescent="0.25">
      <c r="A188" s="39">
        <v>46035.7486920718</v>
      </c>
      <c r="B188" s="40">
        <v>46035</v>
      </c>
      <c r="C188" t="s">
        <v>23</v>
      </c>
      <c r="D188" t="s">
        <v>30</v>
      </c>
      <c r="E188" t="s">
        <v>82</v>
      </c>
      <c r="F188" t="s">
        <v>32</v>
      </c>
      <c r="G188" t="s">
        <v>262</v>
      </c>
      <c r="H188" t="s">
        <v>263</v>
      </c>
      <c r="I188">
        <v>-2.2239999999999999E-2</v>
      </c>
      <c r="J188">
        <v>38.895000000000003</v>
      </c>
      <c r="K188">
        <v>0.87</v>
      </c>
      <c r="L188">
        <v>-1</v>
      </c>
      <c r="M188">
        <v>0</v>
      </c>
      <c r="N188" t="s">
        <v>26</v>
      </c>
      <c r="O188">
        <v>0</v>
      </c>
      <c r="P188" t="s">
        <v>1442</v>
      </c>
      <c r="Q188">
        <v>0</v>
      </c>
      <c r="R188" t="s">
        <v>435</v>
      </c>
      <c r="S188" t="s">
        <v>436</v>
      </c>
      <c r="T188" t="s">
        <v>1442</v>
      </c>
      <c r="U188" t="s">
        <v>1442</v>
      </c>
      <c r="V188" t="s">
        <v>1442</v>
      </c>
      <c r="W188" t="s">
        <v>1442</v>
      </c>
    </row>
    <row r="189" spans="1:23" x14ac:dyDescent="0.25">
      <c r="A189" s="39">
        <v>46035.749249386601</v>
      </c>
      <c r="B189" s="40">
        <v>46035</v>
      </c>
      <c r="C189" t="s">
        <v>23</v>
      </c>
      <c r="D189" t="s">
        <v>30</v>
      </c>
      <c r="E189" t="s">
        <v>82</v>
      </c>
      <c r="F189" t="s">
        <v>32</v>
      </c>
      <c r="G189" t="s">
        <v>262</v>
      </c>
      <c r="H189" t="s">
        <v>263</v>
      </c>
      <c r="I189">
        <v>-1</v>
      </c>
      <c r="J189">
        <v>38.884999999999998</v>
      </c>
      <c r="K189">
        <v>38.89</v>
      </c>
      <c r="L189">
        <v>-1</v>
      </c>
      <c r="M189">
        <v>0</v>
      </c>
      <c r="N189" t="s">
        <v>26</v>
      </c>
      <c r="O189">
        <v>0</v>
      </c>
      <c r="P189" t="s">
        <v>1442</v>
      </c>
      <c r="Q189">
        <v>0</v>
      </c>
      <c r="R189" t="s">
        <v>437</v>
      </c>
      <c r="S189" t="s">
        <v>438</v>
      </c>
      <c r="T189" t="s">
        <v>1442</v>
      </c>
      <c r="U189" t="s">
        <v>1442</v>
      </c>
      <c r="V189" t="s">
        <v>1442</v>
      </c>
      <c r="W189" t="s">
        <v>1442</v>
      </c>
    </row>
    <row r="190" spans="1:23" x14ac:dyDescent="0.25">
      <c r="A190" s="39">
        <v>46035.751200509301</v>
      </c>
      <c r="B190" s="40">
        <v>46035</v>
      </c>
      <c r="C190" t="s">
        <v>23</v>
      </c>
      <c r="D190" t="s">
        <v>30</v>
      </c>
      <c r="E190" t="s">
        <v>82</v>
      </c>
      <c r="F190" t="s">
        <v>32</v>
      </c>
      <c r="G190" t="s">
        <v>308</v>
      </c>
      <c r="H190" t="s">
        <v>309</v>
      </c>
      <c r="I190">
        <v>-0.34567900000000001</v>
      </c>
      <c r="J190">
        <v>2.6859999999999999</v>
      </c>
      <c r="K190">
        <v>0.93</v>
      </c>
      <c r="L190">
        <v>0</v>
      </c>
      <c r="M190">
        <v>0</v>
      </c>
      <c r="N190" t="s">
        <v>26</v>
      </c>
      <c r="O190">
        <v>0</v>
      </c>
      <c r="P190" t="s">
        <v>1442</v>
      </c>
      <c r="Q190">
        <v>0</v>
      </c>
      <c r="R190" t="s">
        <v>439</v>
      </c>
      <c r="S190" t="s">
        <v>440</v>
      </c>
      <c r="T190" t="s">
        <v>1442</v>
      </c>
      <c r="U190" t="s">
        <v>1442</v>
      </c>
      <c r="V190" t="s">
        <v>1442</v>
      </c>
      <c r="W190" t="s">
        <v>1442</v>
      </c>
    </row>
    <row r="191" spans="1:23" x14ac:dyDescent="0.25">
      <c r="A191" s="39">
        <v>46035.751200509301</v>
      </c>
      <c r="B191" s="40">
        <v>46035</v>
      </c>
      <c r="C191" t="s">
        <v>23</v>
      </c>
      <c r="D191" t="s">
        <v>30</v>
      </c>
      <c r="E191" t="s">
        <v>82</v>
      </c>
      <c r="F191" t="s">
        <v>32</v>
      </c>
      <c r="G191" t="s">
        <v>308</v>
      </c>
      <c r="H191" t="s">
        <v>309</v>
      </c>
      <c r="I191">
        <v>-12</v>
      </c>
      <c r="J191">
        <v>2.6859999999999999</v>
      </c>
      <c r="K191">
        <v>32.229999999999997</v>
      </c>
      <c r="L191">
        <v>-1</v>
      </c>
      <c r="M191">
        <v>0</v>
      </c>
      <c r="N191" t="s">
        <v>26</v>
      </c>
      <c r="O191">
        <v>0</v>
      </c>
      <c r="P191" t="s">
        <v>1442</v>
      </c>
      <c r="Q191">
        <v>0</v>
      </c>
      <c r="R191" t="s">
        <v>441</v>
      </c>
      <c r="S191" t="s">
        <v>442</v>
      </c>
      <c r="T191" t="s">
        <v>1442</v>
      </c>
      <c r="U191" t="s">
        <v>1442</v>
      </c>
      <c r="V191" t="s">
        <v>1442</v>
      </c>
      <c r="W191" t="s">
        <v>1442</v>
      </c>
    </row>
    <row r="192" spans="1:23" x14ac:dyDescent="0.25">
      <c r="A192" s="39">
        <v>46035.751998298598</v>
      </c>
      <c r="B192" s="40">
        <v>46035</v>
      </c>
      <c r="C192" t="s">
        <v>23</v>
      </c>
      <c r="D192" t="s">
        <v>30</v>
      </c>
      <c r="E192" t="s">
        <v>82</v>
      </c>
      <c r="F192" t="s">
        <v>32</v>
      </c>
      <c r="G192" t="s">
        <v>304</v>
      </c>
      <c r="H192" t="s">
        <v>305</v>
      </c>
      <c r="I192">
        <v>-50</v>
      </c>
      <c r="J192">
        <v>0.42199999999999999</v>
      </c>
      <c r="K192">
        <v>21.1</v>
      </c>
      <c r="L192">
        <v>-1</v>
      </c>
      <c r="M192">
        <v>0</v>
      </c>
      <c r="N192" t="s">
        <v>26</v>
      </c>
      <c r="O192">
        <v>0</v>
      </c>
      <c r="P192" t="s">
        <v>1442</v>
      </c>
      <c r="Q192">
        <v>0</v>
      </c>
      <c r="R192" t="s">
        <v>443</v>
      </c>
      <c r="S192" t="s">
        <v>444</v>
      </c>
      <c r="T192" t="s">
        <v>1442</v>
      </c>
      <c r="U192" t="s">
        <v>1442</v>
      </c>
      <c r="V192" t="s">
        <v>1442</v>
      </c>
      <c r="W192" t="s">
        <v>1442</v>
      </c>
    </row>
    <row r="193" spans="1:23" x14ac:dyDescent="0.25">
      <c r="A193" s="39">
        <v>46035.7522659838</v>
      </c>
      <c r="B193" s="40">
        <v>46035</v>
      </c>
      <c r="C193" t="s">
        <v>23</v>
      </c>
      <c r="D193" t="s">
        <v>30</v>
      </c>
      <c r="E193" t="s">
        <v>82</v>
      </c>
      <c r="F193" t="s">
        <v>32</v>
      </c>
      <c r="G193" t="s">
        <v>380</v>
      </c>
      <c r="H193" t="s">
        <v>381</v>
      </c>
      <c r="I193">
        <v>-1.75E-3</v>
      </c>
      <c r="J193">
        <v>4.3285</v>
      </c>
      <c r="K193">
        <v>0.01</v>
      </c>
      <c r="L193">
        <v>0</v>
      </c>
      <c r="M193">
        <v>0</v>
      </c>
      <c r="N193" t="s">
        <v>26</v>
      </c>
      <c r="O193">
        <v>0</v>
      </c>
      <c r="P193" t="s">
        <v>1442</v>
      </c>
      <c r="Q193">
        <v>0</v>
      </c>
      <c r="R193" t="s">
        <v>445</v>
      </c>
      <c r="S193" t="s">
        <v>446</v>
      </c>
      <c r="T193" t="s">
        <v>1442</v>
      </c>
      <c r="U193" t="s">
        <v>1442</v>
      </c>
      <c r="V193" t="s">
        <v>1442</v>
      </c>
      <c r="W193" t="s">
        <v>1442</v>
      </c>
    </row>
    <row r="194" spans="1:23" x14ac:dyDescent="0.25">
      <c r="A194" s="39">
        <v>46035.7522659838</v>
      </c>
      <c r="B194" s="40">
        <v>46035</v>
      </c>
      <c r="C194" t="s">
        <v>23</v>
      </c>
      <c r="D194" t="s">
        <v>30</v>
      </c>
      <c r="E194" t="s">
        <v>82</v>
      </c>
      <c r="F194" t="s">
        <v>32</v>
      </c>
      <c r="G194" t="s">
        <v>380</v>
      </c>
      <c r="H194" t="s">
        <v>381</v>
      </c>
      <c r="I194">
        <v>-7</v>
      </c>
      <c r="J194">
        <v>4.3285</v>
      </c>
      <c r="K194">
        <v>30.3</v>
      </c>
      <c r="L194">
        <v>-1</v>
      </c>
      <c r="M194">
        <v>0</v>
      </c>
      <c r="N194" t="s">
        <v>26</v>
      </c>
      <c r="O194">
        <v>0</v>
      </c>
      <c r="P194" t="s">
        <v>1442</v>
      </c>
      <c r="Q194">
        <v>0</v>
      </c>
      <c r="R194" t="s">
        <v>447</v>
      </c>
      <c r="S194" t="s">
        <v>448</v>
      </c>
      <c r="T194" t="s">
        <v>1442</v>
      </c>
      <c r="U194" t="s">
        <v>1442</v>
      </c>
      <c r="V194" t="s">
        <v>1442</v>
      </c>
      <c r="W194" t="s">
        <v>1442</v>
      </c>
    </row>
    <row r="195" spans="1:23" x14ac:dyDescent="0.25">
      <c r="A195" s="39">
        <v>46036.286791840299</v>
      </c>
      <c r="B195" s="40">
        <v>46036</v>
      </c>
      <c r="C195" t="s">
        <v>23</v>
      </c>
      <c r="D195" t="s">
        <v>24</v>
      </c>
      <c r="E195" t="s">
        <v>161</v>
      </c>
      <c r="F195" t="s">
        <v>1442</v>
      </c>
      <c r="G195" t="s">
        <v>1442</v>
      </c>
      <c r="H195" t="s">
        <v>1442</v>
      </c>
      <c r="I195">
        <v>0</v>
      </c>
      <c r="J195">
        <v>0</v>
      </c>
      <c r="K195">
        <v>-227.97</v>
      </c>
      <c r="L195">
        <v>0</v>
      </c>
      <c r="M195">
        <v>0</v>
      </c>
      <c r="N195" t="s">
        <v>26</v>
      </c>
      <c r="O195">
        <v>0</v>
      </c>
      <c r="P195" t="s">
        <v>1442</v>
      </c>
      <c r="Q195">
        <v>0</v>
      </c>
      <c r="R195" t="s">
        <v>397</v>
      </c>
      <c r="S195" t="s">
        <v>449</v>
      </c>
      <c r="T195" t="s">
        <v>1442</v>
      </c>
      <c r="U195" t="s">
        <v>1442</v>
      </c>
      <c r="V195" t="s">
        <v>1442</v>
      </c>
      <c r="W195" t="s">
        <v>1442</v>
      </c>
    </row>
    <row r="196" spans="1:23" x14ac:dyDescent="0.25">
      <c r="A196" s="39">
        <v>46036.933815937497</v>
      </c>
      <c r="B196" s="40">
        <v>46036</v>
      </c>
      <c r="C196" t="s">
        <v>23</v>
      </c>
      <c r="D196" t="s">
        <v>24</v>
      </c>
      <c r="E196" t="s">
        <v>25</v>
      </c>
      <c r="F196" t="s">
        <v>1442</v>
      </c>
      <c r="G196" t="s">
        <v>1442</v>
      </c>
      <c r="H196" t="s">
        <v>1442</v>
      </c>
      <c r="I196">
        <v>0</v>
      </c>
      <c r="J196">
        <v>0</v>
      </c>
      <c r="K196">
        <v>300</v>
      </c>
      <c r="L196">
        <v>0</v>
      </c>
      <c r="M196">
        <v>0</v>
      </c>
      <c r="N196" t="s">
        <v>26</v>
      </c>
      <c r="O196">
        <v>0</v>
      </c>
      <c r="P196" t="s">
        <v>1442</v>
      </c>
      <c r="Q196">
        <v>0</v>
      </c>
      <c r="R196" t="s">
        <v>246</v>
      </c>
      <c r="S196" t="s">
        <v>450</v>
      </c>
      <c r="T196" t="s">
        <v>1442</v>
      </c>
      <c r="U196" t="s">
        <v>1442</v>
      </c>
      <c r="V196" t="s">
        <v>1442</v>
      </c>
      <c r="W196" t="s">
        <v>1442</v>
      </c>
    </row>
    <row r="197" spans="1:23" x14ac:dyDescent="0.25">
      <c r="A197" s="39">
        <v>46037.446461782398</v>
      </c>
      <c r="B197" s="40">
        <v>46037</v>
      </c>
      <c r="C197" t="s">
        <v>23</v>
      </c>
      <c r="D197" t="s">
        <v>24</v>
      </c>
      <c r="E197" t="s">
        <v>161</v>
      </c>
      <c r="F197" t="s">
        <v>1442</v>
      </c>
      <c r="G197" t="s">
        <v>1442</v>
      </c>
      <c r="H197" t="s">
        <v>1442</v>
      </c>
      <c r="I197">
        <v>0</v>
      </c>
      <c r="J197">
        <v>0</v>
      </c>
      <c r="K197">
        <v>-300</v>
      </c>
      <c r="L197">
        <v>0</v>
      </c>
      <c r="M197">
        <v>0</v>
      </c>
      <c r="N197" t="s">
        <v>26</v>
      </c>
      <c r="O197">
        <v>0</v>
      </c>
      <c r="P197" t="s">
        <v>1442</v>
      </c>
      <c r="Q197">
        <v>0</v>
      </c>
      <c r="R197" t="s">
        <v>397</v>
      </c>
      <c r="S197" t="s">
        <v>451</v>
      </c>
      <c r="T197" t="s">
        <v>1442</v>
      </c>
      <c r="U197" t="s">
        <v>1442</v>
      </c>
      <c r="V197" t="s">
        <v>1442</v>
      </c>
      <c r="W197" t="s">
        <v>1442</v>
      </c>
    </row>
    <row r="198" spans="1:23" x14ac:dyDescent="0.25">
      <c r="A198" s="39">
        <v>46038.453992338</v>
      </c>
      <c r="B198" s="40">
        <v>46038</v>
      </c>
      <c r="C198" t="s">
        <v>23</v>
      </c>
      <c r="D198" t="s">
        <v>24</v>
      </c>
      <c r="E198" t="s">
        <v>25</v>
      </c>
      <c r="F198" t="s">
        <v>1442</v>
      </c>
      <c r="G198" t="s">
        <v>1442</v>
      </c>
      <c r="H198" t="s">
        <v>1442</v>
      </c>
      <c r="I198">
        <v>0</v>
      </c>
      <c r="J198">
        <v>0</v>
      </c>
      <c r="K198">
        <v>363</v>
      </c>
      <c r="L198">
        <v>0</v>
      </c>
      <c r="M198">
        <v>0</v>
      </c>
      <c r="N198" t="s">
        <v>26</v>
      </c>
      <c r="O198">
        <v>0</v>
      </c>
      <c r="P198" t="s">
        <v>1442</v>
      </c>
      <c r="Q198">
        <v>0</v>
      </c>
      <c r="R198" t="s">
        <v>246</v>
      </c>
      <c r="S198" t="s">
        <v>452</v>
      </c>
      <c r="T198" t="s">
        <v>1442</v>
      </c>
      <c r="U198" t="s">
        <v>1442</v>
      </c>
      <c r="V198" t="s">
        <v>1442</v>
      </c>
      <c r="W198" t="s">
        <v>1442</v>
      </c>
    </row>
    <row r="199" spans="1:23" x14ac:dyDescent="0.25">
      <c r="A199" s="39">
        <v>46038.468435613402</v>
      </c>
      <c r="B199" s="40">
        <v>46038</v>
      </c>
      <c r="C199" t="s">
        <v>23</v>
      </c>
      <c r="D199" t="s">
        <v>30</v>
      </c>
      <c r="E199" t="s">
        <v>31</v>
      </c>
      <c r="F199" t="s">
        <v>32</v>
      </c>
      <c r="G199" t="s">
        <v>167</v>
      </c>
      <c r="H199" t="s">
        <v>168</v>
      </c>
      <c r="I199">
        <v>0.38152599999999998</v>
      </c>
      <c r="J199">
        <v>2.4900000000000002</v>
      </c>
      <c r="K199">
        <v>-0.95</v>
      </c>
      <c r="L199">
        <v>0</v>
      </c>
      <c r="M199">
        <v>0</v>
      </c>
      <c r="N199" t="s">
        <v>26</v>
      </c>
      <c r="O199">
        <v>0</v>
      </c>
      <c r="P199" t="s">
        <v>1442</v>
      </c>
      <c r="Q199">
        <v>0</v>
      </c>
      <c r="R199" t="s">
        <v>453</v>
      </c>
      <c r="S199" t="s">
        <v>454</v>
      </c>
      <c r="T199" t="s">
        <v>1442</v>
      </c>
      <c r="U199" t="s">
        <v>1442</v>
      </c>
      <c r="V199" t="s">
        <v>1442</v>
      </c>
      <c r="W199" t="s">
        <v>1442</v>
      </c>
    </row>
    <row r="200" spans="1:23" x14ac:dyDescent="0.25">
      <c r="A200" s="39">
        <v>46038.468438263902</v>
      </c>
      <c r="B200" s="40">
        <v>46038</v>
      </c>
      <c r="C200" t="s">
        <v>23</v>
      </c>
      <c r="D200" t="s">
        <v>30</v>
      </c>
      <c r="E200" t="s">
        <v>31</v>
      </c>
      <c r="F200" t="s">
        <v>32</v>
      </c>
      <c r="G200" t="s">
        <v>167</v>
      </c>
      <c r="H200" t="s">
        <v>168</v>
      </c>
      <c r="I200">
        <v>145</v>
      </c>
      <c r="J200">
        <v>2.4900000000000002</v>
      </c>
      <c r="K200">
        <v>-361.05</v>
      </c>
      <c r="L200">
        <v>-1</v>
      </c>
      <c r="M200">
        <v>0</v>
      </c>
      <c r="N200" t="s">
        <v>26</v>
      </c>
      <c r="O200">
        <v>0</v>
      </c>
      <c r="P200" t="s">
        <v>1442</v>
      </c>
      <c r="Q200">
        <v>0</v>
      </c>
      <c r="R200" t="s">
        <v>455</v>
      </c>
      <c r="S200" t="s">
        <v>456</v>
      </c>
      <c r="T200" t="s">
        <v>1442</v>
      </c>
      <c r="U200" t="s">
        <v>1442</v>
      </c>
      <c r="V200" t="s">
        <v>1442</v>
      </c>
      <c r="W200" t="s">
        <v>1442</v>
      </c>
    </row>
    <row r="201" spans="1:23" x14ac:dyDescent="0.25">
      <c r="A201" s="39">
        <v>46041.329772106503</v>
      </c>
      <c r="B201" s="40">
        <v>46041</v>
      </c>
      <c r="C201" t="s">
        <v>23</v>
      </c>
      <c r="D201" t="s">
        <v>30</v>
      </c>
      <c r="E201" t="s">
        <v>82</v>
      </c>
      <c r="F201" t="s">
        <v>32</v>
      </c>
      <c r="G201" t="s">
        <v>167</v>
      </c>
      <c r="H201" t="s">
        <v>168</v>
      </c>
      <c r="I201">
        <v>-145</v>
      </c>
      <c r="J201">
        <v>2.5750000000000002</v>
      </c>
      <c r="K201">
        <v>373.38</v>
      </c>
      <c r="L201">
        <v>-1</v>
      </c>
      <c r="M201">
        <v>0</v>
      </c>
      <c r="N201" t="s">
        <v>26</v>
      </c>
      <c r="O201">
        <v>0</v>
      </c>
      <c r="P201" t="s">
        <v>1442</v>
      </c>
      <c r="Q201">
        <v>0</v>
      </c>
      <c r="R201" t="s">
        <v>457</v>
      </c>
      <c r="S201" t="s">
        <v>458</v>
      </c>
      <c r="T201" t="s">
        <v>1442</v>
      </c>
      <c r="U201" t="s">
        <v>1442</v>
      </c>
      <c r="V201" t="s">
        <v>1442</v>
      </c>
      <c r="W201" t="s">
        <v>1442</v>
      </c>
    </row>
    <row r="202" spans="1:23" x14ac:dyDescent="0.25">
      <c r="A202" s="39">
        <v>46041.331427361103</v>
      </c>
      <c r="B202" s="40">
        <v>46041</v>
      </c>
      <c r="C202" t="s">
        <v>23</v>
      </c>
      <c r="D202" t="s">
        <v>30</v>
      </c>
      <c r="E202" t="s">
        <v>31</v>
      </c>
      <c r="F202" t="s">
        <v>32</v>
      </c>
      <c r="G202" t="s">
        <v>167</v>
      </c>
      <c r="H202" t="s">
        <v>168</v>
      </c>
      <c r="I202">
        <v>143</v>
      </c>
      <c r="J202">
        <v>2.58</v>
      </c>
      <c r="K202">
        <v>-368.94</v>
      </c>
      <c r="L202">
        <v>-1</v>
      </c>
      <c r="M202">
        <v>0</v>
      </c>
      <c r="N202" t="s">
        <v>26</v>
      </c>
      <c r="O202">
        <v>0</v>
      </c>
      <c r="P202" t="s">
        <v>1442</v>
      </c>
      <c r="Q202">
        <v>0</v>
      </c>
      <c r="R202" t="s">
        <v>459</v>
      </c>
      <c r="S202" t="s">
        <v>460</v>
      </c>
      <c r="T202" t="s">
        <v>1442</v>
      </c>
      <c r="U202" t="s">
        <v>1442</v>
      </c>
      <c r="V202" t="s">
        <v>1442</v>
      </c>
      <c r="W202" t="s">
        <v>1442</v>
      </c>
    </row>
    <row r="203" spans="1:23" x14ac:dyDescent="0.25">
      <c r="A203" s="39">
        <v>46041.331427418998</v>
      </c>
      <c r="B203" s="40">
        <v>46041</v>
      </c>
      <c r="C203" t="s">
        <v>23</v>
      </c>
      <c r="D203" t="s">
        <v>30</v>
      </c>
      <c r="E203" t="s">
        <v>31</v>
      </c>
      <c r="F203" t="s">
        <v>32</v>
      </c>
      <c r="G203" t="s">
        <v>167</v>
      </c>
      <c r="H203" t="s">
        <v>168</v>
      </c>
      <c r="I203">
        <v>0.79844899999999996</v>
      </c>
      <c r="J203">
        <v>2.58</v>
      </c>
      <c r="K203">
        <v>-2.06</v>
      </c>
      <c r="L203">
        <v>0</v>
      </c>
      <c r="M203">
        <v>0</v>
      </c>
      <c r="N203" t="s">
        <v>26</v>
      </c>
      <c r="O203">
        <v>0</v>
      </c>
      <c r="P203" t="s">
        <v>1442</v>
      </c>
      <c r="Q203">
        <v>0</v>
      </c>
      <c r="R203" t="s">
        <v>461</v>
      </c>
      <c r="S203" t="s">
        <v>462</v>
      </c>
      <c r="T203" t="s">
        <v>1442</v>
      </c>
      <c r="U203" t="s">
        <v>1442</v>
      </c>
      <c r="V203" t="s">
        <v>1442</v>
      </c>
      <c r="W203" t="s">
        <v>1442</v>
      </c>
    </row>
    <row r="204" spans="1:23" x14ac:dyDescent="0.25">
      <c r="A204" s="39">
        <v>46041.9368073843</v>
      </c>
      <c r="B204" s="40">
        <v>46041</v>
      </c>
      <c r="C204" t="s">
        <v>23</v>
      </c>
      <c r="D204" t="s">
        <v>24</v>
      </c>
      <c r="E204" t="s">
        <v>25</v>
      </c>
      <c r="F204" t="s">
        <v>1442</v>
      </c>
      <c r="G204" t="s">
        <v>1442</v>
      </c>
      <c r="H204" t="s">
        <v>1442</v>
      </c>
      <c r="I204">
        <v>0</v>
      </c>
      <c r="J204">
        <v>0</v>
      </c>
      <c r="K204">
        <v>151</v>
      </c>
      <c r="L204">
        <v>0</v>
      </c>
      <c r="M204">
        <v>0</v>
      </c>
      <c r="N204" t="s">
        <v>26</v>
      </c>
      <c r="O204">
        <v>0</v>
      </c>
      <c r="P204" t="s">
        <v>1442</v>
      </c>
      <c r="Q204">
        <v>0</v>
      </c>
      <c r="R204" t="s">
        <v>246</v>
      </c>
      <c r="S204" t="s">
        <v>463</v>
      </c>
      <c r="T204" t="s">
        <v>1442</v>
      </c>
      <c r="U204" t="s">
        <v>1442</v>
      </c>
      <c r="V204" t="s">
        <v>1442</v>
      </c>
      <c r="W204" t="s">
        <v>1442</v>
      </c>
    </row>
    <row r="205" spans="1:23" x14ac:dyDescent="0.25">
      <c r="A205" s="39">
        <v>46041.940398148101</v>
      </c>
      <c r="B205" s="40">
        <v>46041</v>
      </c>
      <c r="C205" t="s">
        <v>23</v>
      </c>
      <c r="D205" t="s">
        <v>30</v>
      </c>
      <c r="E205" t="s">
        <v>31</v>
      </c>
      <c r="F205" t="s">
        <v>464</v>
      </c>
      <c r="G205" t="s">
        <v>465</v>
      </c>
      <c r="H205" t="s">
        <v>466</v>
      </c>
      <c r="I205">
        <v>0.32567299999999999</v>
      </c>
      <c r="J205">
        <v>113.145</v>
      </c>
      <c r="K205">
        <v>-36.85</v>
      </c>
      <c r="L205">
        <v>0</v>
      </c>
      <c r="M205">
        <v>0</v>
      </c>
      <c r="N205" t="s">
        <v>26</v>
      </c>
      <c r="O205">
        <v>0</v>
      </c>
      <c r="P205" t="s">
        <v>1442</v>
      </c>
      <c r="Q205">
        <v>0</v>
      </c>
      <c r="R205" t="s">
        <v>467</v>
      </c>
      <c r="S205" t="s">
        <v>468</v>
      </c>
      <c r="T205" t="s">
        <v>1442</v>
      </c>
      <c r="U205" t="s">
        <v>1442</v>
      </c>
      <c r="V205" t="s">
        <v>1442</v>
      </c>
      <c r="W205" t="s">
        <v>1442</v>
      </c>
    </row>
    <row r="206" spans="1:23" x14ac:dyDescent="0.25">
      <c r="A206" s="39">
        <v>46041.940398229199</v>
      </c>
      <c r="B206" s="40">
        <v>46041</v>
      </c>
      <c r="C206" t="s">
        <v>23</v>
      </c>
      <c r="D206" t="s">
        <v>30</v>
      </c>
      <c r="E206" t="s">
        <v>31</v>
      </c>
      <c r="F206" t="s">
        <v>464</v>
      </c>
      <c r="G206" t="s">
        <v>465</v>
      </c>
      <c r="H206" t="s">
        <v>466</v>
      </c>
      <c r="I206">
        <v>1</v>
      </c>
      <c r="J206">
        <v>113.145</v>
      </c>
      <c r="K206">
        <v>-113.15</v>
      </c>
      <c r="L206">
        <v>-1</v>
      </c>
      <c r="M206">
        <v>0</v>
      </c>
      <c r="N206" t="s">
        <v>26</v>
      </c>
      <c r="O206">
        <v>0</v>
      </c>
      <c r="P206" t="s">
        <v>1442</v>
      </c>
      <c r="Q206">
        <v>0</v>
      </c>
      <c r="R206" t="s">
        <v>469</v>
      </c>
      <c r="S206" t="s">
        <v>470</v>
      </c>
      <c r="T206" t="s">
        <v>1442</v>
      </c>
      <c r="U206" t="s">
        <v>1442</v>
      </c>
      <c r="V206" t="s">
        <v>1442</v>
      </c>
      <c r="W206" t="s">
        <v>1442</v>
      </c>
    </row>
    <row r="207" spans="1:23" x14ac:dyDescent="0.25">
      <c r="A207" s="39">
        <v>46041.948451828699</v>
      </c>
      <c r="B207" s="40">
        <v>46041</v>
      </c>
      <c r="C207" t="s">
        <v>23</v>
      </c>
      <c r="D207" t="s">
        <v>30</v>
      </c>
      <c r="E207" t="s">
        <v>31</v>
      </c>
      <c r="F207" t="s">
        <v>32</v>
      </c>
      <c r="G207" t="s">
        <v>471</v>
      </c>
      <c r="H207" t="s">
        <v>472</v>
      </c>
      <c r="I207">
        <v>0.45109399999999999</v>
      </c>
      <c r="J207">
        <v>11.195</v>
      </c>
      <c r="K207">
        <v>-5.05</v>
      </c>
      <c r="L207">
        <v>0</v>
      </c>
      <c r="M207">
        <v>0</v>
      </c>
      <c r="N207" t="s">
        <v>26</v>
      </c>
      <c r="O207">
        <v>0</v>
      </c>
      <c r="P207" t="s">
        <v>1442</v>
      </c>
      <c r="Q207">
        <v>0</v>
      </c>
      <c r="R207" t="s">
        <v>475</v>
      </c>
      <c r="S207" t="s">
        <v>476</v>
      </c>
      <c r="T207" t="s">
        <v>1442</v>
      </c>
      <c r="U207" t="s">
        <v>1442</v>
      </c>
      <c r="V207" t="s">
        <v>1442</v>
      </c>
      <c r="W207" t="s">
        <v>1442</v>
      </c>
    </row>
    <row r="208" spans="1:23" x14ac:dyDescent="0.25">
      <c r="A208" s="39">
        <v>46041.948451828699</v>
      </c>
      <c r="B208" s="40">
        <v>46041</v>
      </c>
      <c r="C208" t="s">
        <v>23</v>
      </c>
      <c r="D208" t="s">
        <v>30</v>
      </c>
      <c r="E208" t="s">
        <v>31</v>
      </c>
      <c r="F208" t="s">
        <v>32</v>
      </c>
      <c r="G208" t="s">
        <v>471</v>
      </c>
      <c r="H208" t="s">
        <v>472</v>
      </c>
      <c r="I208">
        <v>10</v>
      </c>
      <c r="J208">
        <v>11.195</v>
      </c>
      <c r="K208">
        <v>-111.95</v>
      </c>
      <c r="L208">
        <v>-1</v>
      </c>
      <c r="M208">
        <v>0</v>
      </c>
      <c r="N208" t="s">
        <v>26</v>
      </c>
      <c r="O208">
        <v>0</v>
      </c>
      <c r="P208" t="s">
        <v>1442</v>
      </c>
      <c r="Q208">
        <v>0</v>
      </c>
      <c r="R208" t="s">
        <v>473</v>
      </c>
      <c r="S208" t="s">
        <v>474</v>
      </c>
      <c r="T208" t="s">
        <v>1442</v>
      </c>
      <c r="U208" t="s">
        <v>1442</v>
      </c>
      <c r="V208" t="s">
        <v>1442</v>
      </c>
      <c r="W208" t="s">
        <v>1442</v>
      </c>
    </row>
    <row r="209" spans="1:23" x14ac:dyDescent="0.25">
      <c r="A209" s="39">
        <v>46042.782399294003</v>
      </c>
      <c r="B209" s="40">
        <v>46041</v>
      </c>
      <c r="C209" t="s">
        <v>23</v>
      </c>
      <c r="D209" t="s">
        <v>24</v>
      </c>
      <c r="E209" t="s">
        <v>390</v>
      </c>
      <c r="F209" t="s">
        <v>1442</v>
      </c>
      <c r="G209" t="s">
        <v>1442</v>
      </c>
      <c r="H209" t="s">
        <v>1442</v>
      </c>
      <c r="I209">
        <v>0</v>
      </c>
      <c r="J209">
        <v>0</v>
      </c>
      <c r="K209">
        <v>0</v>
      </c>
      <c r="L209">
        <v>0</v>
      </c>
      <c r="M209">
        <v>16.350000000000001</v>
      </c>
      <c r="N209" t="s">
        <v>26</v>
      </c>
      <c r="O209">
        <v>0</v>
      </c>
      <c r="P209" t="s">
        <v>1442</v>
      </c>
      <c r="Q209">
        <v>0</v>
      </c>
      <c r="R209" t="s">
        <v>477</v>
      </c>
      <c r="S209" t="s">
        <v>478</v>
      </c>
      <c r="T209" t="s">
        <v>1442</v>
      </c>
      <c r="U209" t="s">
        <v>1442</v>
      </c>
      <c r="V209" t="s">
        <v>1442</v>
      </c>
      <c r="W209" t="s">
        <v>1442</v>
      </c>
    </row>
    <row r="210" spans="1:23" x14ac:dyDescent="0.25">
      <c r="A210" s="39">
        <v>46042.782398263902</v>
      </c>
      <c r="B210" s="40">
        <v>46041</v>
      </c>
      <c r="C210" t="s">
        <v>23</v>
      </c>
      <c r="D210" t="s">
        <v>24</v>
      </c>
      <c r="E210" t="s">
        <v>390</v>
      </c>
      <c r="F210" t="s">
        <v>1442</v>
      </c>
      <c r="G210" t="s">
        <v>1442</v>
      </c>
      <c r="H210" t="s">
        <v>1442</v>
      </c>
      <c r="I210">
        <v>0</v>
      </c>
      <c r="J210">
        <v>0</v>
      </c>
      <c r="K210">
        <v>0</v>
      </c>
      <c r="L210">
        <v>0</v>
      </c>
      <c r="M210">
        <v>0.12</v>
      </c>
      <c r="N210" t="s">
        <v>26</v>
      </c>
      <c r="O210">
        <v>0</v>
      </c>
      <c r="P210" t="s">
        <v>1442</v>
      </c>
      <c r="Q210">
        <v>0</v>
      </c>
      <c r="R210" t="s">
        <v>479</v>
      </c>
      <c r="S210" t="s">
        <v>480</v>
      </c>
      <c r="T210" t="s">
        <v>1442</v>
      </c>
      <c r="U210" t="s">
        <v>1442</v>
      </c>
      <c r="V210" t="s">
        <v>1442</v>
      </c>
      <c r="W210" t="s">
        <v>1442</v>
      </c>
    </row>
    <row r="211" spans="1:23" x14ac:dyDescent="0.25">
      <c r="A211" s="39">
        <v>46041.947279259301</v>
      </c>
      <c r="B211" s="40">
        <v>46041</v>
      </c>
      <c r="C211" t="s">
        <v>23</v>
      </c>
      <c r="D211" t="s">
        <v>24</v>
      </c>
      <c r="E211" t="s">
        <v>25</v>
      </c>
      <c r="F211" t="s">
        <v>1442</v>
      </c>
      <c r="G211" t="s">
        <v>1442</v>
      </c>
      <c r="H211" t="s">
        <v>1442</v>
      </c>
      <c r="I211">
        <v>0</v>
      </c>
      <c r="J211">
        <v>0</v>
      </c>
      <c r="K211">
        <v>112.42</v>
      </c>
      <c r="L211">
        <v>0</v>
      </c>
      <c r="M211">
        <v>0</v>
      </c>
      <c r="N211" t="s">
        <v>26</v>
      </c>
      <c r="O211">
        <v>0</v>
      </c>
      <c r="P211" t="s">
        <v>1442</v>
      </c>
      <c r="Q211">
        <v>0</v>
      </c>
      <c r="R211" t="s">
        <v>246</v>
      </c>
      <c r="S211" t="s">
        <v>481</v>
      </c>
      <c r="T211" t="s">
        <v>1442</v>
      </c>
      <c r="U211" t="s">
        <v>1442</v>
      </c>
      <c r="V211" t="s">
        <v>1442</v>
      </c>
      <c r="W211" t="s">
        <v>1442</v>
      </c>
    </row>
    <row r="212" spans="1:23" x14ac:dyDescent="0.25">
      <c r="A212" s="39">
        <v>46041.948013310197</v>
      </c>
      <c r="B212" s="40">
        <v>46041</v>
      </c>
      <c r="C212" t="s">
        <v>23</v>
      </c>
      <c r="D212" t="s">
        <v>24</v>
      </c>
      <c r="E212" t="s">
        <v>25</v>
      </c>
      <c r="F212" t="s">
        <v>1442</v>
      </c>
      <c r="G212" t="s">
        <v>1442</v>
      </c>
      <c r="H212" t="s">
        <v>1442</v>
      </c>
      <c r="I212">
        <v>0</v>
      </c>
      <c r="J212">
        <v>0</v>
      </c>
      <c r="K212">
        <v>6</v>
      </c>
      <c r="L212">
        <v>0</v>
      </c>
      <c r="M212">
        <v>0</v>
      </c>
      <c r="N212" t="s">
        <v>26</v>
      </c>
      <c r="O212">
        <v>0</v>
      </c>
      <c r="P212" t="s">
        <v>1442</v>
      </c>
      <c r="Q212">
        <v>0</v>
      </c>
      <c r="R212" t="s">
        <v>246</v>
      </c>
      <c r="S212" t="s">
        <v>482</v>
      </c>
      <c r="T212" t="s">
        <v>1442</v>
      </c>
      <c r="U212" t="s">
        <v>1442</v>
      </c>
      <c r="V212" t="s">
        <v>1442</v>
      </c>
      <c r="W212" t="s">
        <v>1442</v>
      </c>
    </row>
    <row r="213" spans="1:23" x14ac:dyDescent="0.25">
      <c r="A213" s="39">
        <v>46042.405350289402</v>
      </c>
      <c r="B213" s="40">
        <v>46042</v>
      </c>
      <c r="C213" t="s">
        <v>23</v>
      </c>
      <c r="D213" t="s">
        <v>30</v>
      </c>
      <c r="E213" t="s">
        <v>82</v>
      </c>
      <c r="F213" t="s">
        <v>32</v>
      </c>
      <c r="G213" t="s">
        <v>167</v>
      </c>
      <c r="H213" t="s">
        <v>168</v>
      </c>
      <c r="I213">
        <v>-144</v>
      </c>
      <c r="J213">
        <v>2.58</v>
      </c>
      <c r="K213">
        <v>371.52</v>
      </c>
      <c r="L213">
        <v>-1</v>
      </c>
      <c r="M213">
        <v>0</v>
      </c>
      <c r="N213" t="s">
        <v>26</v>
      </c>
      <c r="O213">
        <v>0</v>
      </c>
      <c r="P213" t="s">
        <v>1442</v>
      </c>
      <c r="Q213">
        <v>0</v>
      </c>
      <c r="R213" t="s">
        <v>483</v>
      </c>
      <c r="S213" t="s">
        <v>484</v>
      </c>
      <c r="T213" t="s">
        <v>1442</v>
      </c>
      <c r="U213" t="s">
        <v>1442</v>
      </c>
      <c r="V213" t="s">
        <v>1442</v>
      </c>
      <c r="W213" t="s">
        <v>1442</v>
      </c>
    </row>
    <row r="214" spans="1:23" x14ac:dyDescent="0.25">
      <c r="A214" s="39">
        <v>46042.782398807904</v>
      </c>
      <c r="B214" s="40">
        <v>46042</v>
      </c>
      <c r="C214" t="s">
        <v>23</v>
      </c>
      <c r="D214" t="s">
        <v>24</v>
      </c>
      <c r="E214" t="s">
        <v>390</v>
      </c>
      <c r="F214" t="s">
        <v>1442</v>
      </c>
      <c r="G214" t="s">
        <v>1442</v>
      </c>
      <c r="H214" t="s">
        <v>1442</v>
      </c>
      <c r="I214">
        <v>0</v>
      </c>
      <c r="J214">
        <v>0</v>
      </c>
      <c r="K214">
        <v>0</v>
      </c>
      <c r="L214">
        <v>0</v>
      </c>
      <c r="M214">
        <v>-16.47</v>
      </c>
      <c r="N214" t="s">
        <v>26</v>
      </c>
      <c r="O214">
        <v>0</v>
      </c>
      <c r="P214" t="s">
        <v>1442</v>
      </c>
      <c r="Q214">
        <v>0</v>
      </c>
      <c r="R214" t="s">
        <v>391</v>
      </c>
      <c r="S214" t="s">
        <v>485</v>
      </c>
      <c r="T214" t="s">
        <v>1442</v>
      </c>
      <c r="U214" t="s">
        <v>1442</v>
      </c>
      <c r="V214" t="s">
        <v>1442</v>
      </c>
      <c r="W214" t="s">
        <v>1442</v>
      </c>
    </row>
    <row r="215" spans="1:23" x14ac:dyDescent="0.25">
      <c r="A215" s="39">
        <v>46043.417221643504</v>
      </c>
      <c r="B215" s="40">
        <v>46043</v>
      </c>
      <c r="C215" t="s">
        <v>23</v>
      </c>
      <c r="D215" t="s">
        <v>24</v>
      </c>
      <c r="E215" t="s">
        <v>161</v>
      </c>
      <c r="F215" t="s">
        <v>1442</v>
      </c>
      <c r="G215" t="s">
        <v>1442</v>
      </c>
      <c r="H215" t="s">
        <v>1442</v>
      </c>
      <c r="I215">
        <v>0</v>
      </c>
      <c r="J215">
        <v>0</v>
      </c>
      <c r="K215">
        <v>-371.32</v>
      </c>
      <c r="L215">
        <v>0</v>
      </c>
      <c r="M215">
        <v>0</v>
      </c>
      <c r="N215" t="s">
        <v>26</v>
      </c>
      <c r="O215">
        <v>0</v>
      </c>
      <c r="P215" t="s">
        <v>1442</v>
      </c>
      <c r="Q215">
        <v>0</v>
      </c>
      <c r="R215" t="s">
        <v>397</v>
      </c>
      <c r="S215" t="s">
        <v>486</v>
      </c>
      <c r="T215" t="s">
        <v>1442</v>
      </c>
      <c r="U215" t="s">
        <v>1442</v>
      </c>
      <c r="V215" t="s">
        <v>1442</v>
      </c>
      <c r="W215" t="s">
        <v>1442</v>
      </c>
    </row>
    <row r="216" spans="1:23" x14ac:dyDescent="0.25">
      <c r="A216" s="39">
        <v>46048.432626435198</v>
      </c>
      <c r="B216" s="40">
        <v>46044</v>
      </c>
      <c r="C216" t="s">
        <v>23</v>
      </c>
      <c r="D216" t="s">
        <v>487</v>
      </c>
      <c r="E216" t="s">
        <v>488</v>
      </c>
      <c r="F216" t="s">
        <v>489</v>
      </c>
      <c r="G216" t="s">
        <v>490</v>
      </c>
      <c r="H216" t="s">
        <v>491</v>
      </c>
      <c r="I216">
        <v>-30</v>
      </c>
      <c r="J216">
        <v>0</v>
      </c>
      <c r="K216">
        <v>0</v>
      </c>
      <c r="L216">
        <v>0</v>
      </c>
      <c r="M216">
        <v>0</v>
      </c>
      <c r="N216" t="s">
        <v>1442</v>
      </c>
      <c r="O216">
        <v>0</v>
      </c>
      <c r="P216" t="s">
        <v>1442</v>
      </c>
      <c r="Q216">
        <v>0</v>
      </c>
      <c r="R216" t="s">
        <v>492</v>
      </c>
      <c r="S216" t="s">
        <v>493</v>
      </c>
      <c r="T216" t="s">
        <v>1442</v>
      </c>
      <c r="U216" t="s">
        <v>1442</v>
      </c>
      <c r="V216" t="s">
        <v>1442</v>
      </c>
      <c r="W216" t="s">
        <v>1442</v>
      </c>
    </row>
    <row r="217" spans="1:23" x14ac:dyDescent="0.25">
      <c r="A217" s="39">
        <v>46048.450117499997</v>
      </c>
      <c r="B217" s="40">
        <v>46044</v>
      </c>
      <c r="C217" t="s">
        <v>23</v>
      </c>
      <c r="D217" t="s">
        <v>487</v>
      </c>
      <c r="E217" t="s">
        <v>494</v>
      </c>
      <c r="F217" t="s">
        <v>489</v>
      </c>
      <c r="G217" t="s">
        <v>490</v>
      </c>
      <c r="H217" t="s">
        <v>491</v>
      </c>
      <c r="I217">
        <v>30</v>
      </c>
      <c r="J217">
        <v>0</v>
      </c>
      <c r="K217">
        <v>0</v>
      </c>
      <c r="L217">
        <v>0</v>
      </c>
      <c r="M217">
        <v>0</v>
      </c>
      <c r="N217" t="s">
        <v>1442</v>
      </c>
      <c r="O217">
        <v>0</v>
      </c>
      <c r="P217" t="s">
        <v>1442</v>
      </c>
      <c r="Q217">
        <v>0</v>
      </c>
      <c r="R217" t="s">
        <v>492</v>
      </c>
      <c r="S217" t="s">
        <v>495</v>
      </c>
      <c r="T217" t="s">
        <v>1442</v>
      </c>
      <c r="U217" t="s">
        <v>1442</v>
      </c>
      <c r="V217" t="s">
        <v>1442</v>
      </c>
      <c r="W217" t="s">
        <v>1442</v>
      </c>
    </row>
    <row r="218" spans="1:23" x14ac:dyDescent="0.25">
      <c r="A218" s="39">
        <v>46048.454065544</v>
      </c>
      <c r="B218" s="40">
        <v>46044</v>
      </c>
      <c r="C218" t="s">
        <v>23</v>
      </c>
      <c r="D218" t="s">
        <v>487</v>
      </c>
      <c r="E218" t="s">
        <v>488</v>
      </c>
      <c r="F218" t="s">
        <v>489</v>
      </c>
      <c r="G218" t="s">
        <v>490</v>
      </c>
      <c r="H218" t="s">
        <v>491</v>
      </c>
      <c r="I218">
        <v>30</v>
      </c>
      <c r="J218">
        <v>0</v>
      </c>
      <c r="K218">
        <v>0</v>
      </c>
      <c r="L218">
        <v>0</v>
      </c>
      <c r="M218">
        <v>0</v>
      </c>
      <c r="N218" t="s">
        <v>1442</v>
      </c>
      <c r="O218">
        <v>0</v>
      </c>
      <c r="P218" t="s">
        <v>1442</v>
      </c>
      <c r="Q218">
        <v>0</v>
      </c>
      <c r="R218" t="s">
        <v>492</v>
      </c>
      <c r="S218" t="s">
        <v>496</v>
      </c>
      <c r="T218" t="s">
        <v>1442</v>
      </c>
      <c r="U218" t="s">
        <v>1442</v>
      </c>
      <c r="V218" t="s">
        <v>1442</v>
      </c>
      <c r="W218" t="s">
        <v>1442</v>
      </c>
    </row>
    <row r="219" spans="1:23" x14ac:dyDescent="0.25">
      <c r="A219" s="39">
        <v>46048.2511629398</v>
      </c>
      <c r="B219" s="40">
        <v>46048</v>
      </c>
      <c r="C219" t="s">
        <v>23</v>
      </c>
      <c r="D219" t="s">
        <v>30</v>
      </c>
      <c r="E219" t="s">
        <v>31</v>
      </c>
      <c r="F219" t="s">
        <v>64</v>
      </c>
      <c r="G219" t="s">
        <v>107</v>
      </c>
      <c r="H219" t="s">
        <v>108</v>
      </c>
      <c r="I219">
        <v>5.0231060000000003</v>
      </c>
      <c r="J219">
        <v>9.9535</v>
      </c>
      <c r="K219">
        <v>-50</v>
      </c>
      <c r="L219">
        <v>-1</v>
      </c>
      <c r="M219">
        <v>0</v>
      </c>
      <c r="N219" t="s">
        <v>26</v>
      </c>
      <c r="O219">
        <v>0</v>
      </c>
      <c r="P219" t="s">
        <v>1442</v>
      </c>
      <c r="Q219">
        <v>0</v>
      </c>
      <c r="R219" t="s">
        <v>497</v>
      </c>
      <c r="S219" t="s">
        <v>498</v>
      </c>
      <c r="T219" t="s">
        <v>1442</v>
      </c>
      <c r="U219" t="s">
        <v>1442</v>
      </c>
      <c r="V219" t="s">
        <v>1442</v>
      </c>
      <c r="W219" t="s">
        <v>1442</v>
      </c>
    </row>
    <row r="220" spans="1:23" x14ac:dyDescent="0.25">
      <c r="A220" s="39">
        <v>46048.2517255208</v>
      </c>
      <c r="B220" s="40">
        <v>46048</v>
      </c>
      <c r="C220" t="s">
        <v>23</v>
      </c>
      <c r="D220" t="s">
        <v>30</v>
      </c>
      <c r="E220" t="s">
        <v>31</v>
      </c>
      <c r="F220" t="s">
        <v>64</v>
      </c>
      <c r="G220" t="s">
        <v>69</v>
      </c>
      <c r="H220" t="s">
        <v>69</v>
      </c>
      <c r="I220">
        <v>16.968933</v>
      </c>
      <c r="J220">
        <v>1.591153</v>
      </c>
      <c r="K220">
        <v>-27</v>
      </c>
      <c r="L220">
        <v>-1</v>
      </c>
      <c r="M220">
        <v>0</v>
      </c>
      <c r="N220" t="s">
        <v>26</v>
      </c>
      <c r="O220">
        <v>0</v>
      </c>
      <c r="P220" t="s">
        <v>1442</v>
      </c>
      <c r="Q220">
        <v>0</v>
      </c>
      <c r="R220" t="s">
        <v>499</v>
      </c>
      <c r="S220" t="s">
        <v>500</v>
      </c>
      <c r="T220" t="s">
        <v>1442</v>
      </c>
      <c r="U220" t="s">
        <v>1442</v>
      </c>
      <c r="V220" t="s">
        <v>1442</v>
      </c>
      <c r="W220" t="s">
        <v>1442</v>
      </c>
    </row>
    <row r="221" spans="1:23" x14ac:dyDescent="0.25">
      <c r="A221" s="39">
        <v>46048.377995983799</v>
      </c>
      <c r="B221" s="40">
        <v>46048</v>
      </c>
      <c r="C221" t="s">
        <v>23</v>
      </c>
      <c r="D221" t="s">
        <v>30</v>
      </c>
      <c r="E221" t="s">
        <v>31</v>
      </c>
      <c r="F221" t="s">
        <v>32</v>
      </c>
      <c r="G221" t="s">
        <v>167</v>
      </c>
      <c r="H221" t="s">
        <v>168</v>
      </c>
      <c r="I221">
        <v>75</v>
      </c>
      <c r="J221">
        <v>2.62</v>
      </c>
      <c r="K221">
        <v>-196.5</v>
      </c>
      <c r="L221">
        <v>-1</v>
      </c>
      <c r="M221">
        <v>0</v>
      </c>
      <c r="N221" t="s">
        <v>26</v>
      </c>
      <c r="O221">
        <v>0</v>
      </c>
      <c r="P221" t="s">
        <v>1442</v>
      </c>
      <c r="Q221">
        <v>0</v>
      </c>
      <c r="R221" t="s">
        <v>501</v>
      </c>
      <c r="S221" t="s">
        <v>502</v>
      </c>
      <c r="T221" t="s">
        <v>1442</v>
      </c>
      <c r="U221" t="s">
        <v>1442</v>
      </c>
      <c r="V221" t="s">
        <v>1442</v>
      </c>
      <c r="W221" t="s">
        <v>1442</v>
      </c>
    </row>
    <row r="222" spans="1:23" x14ac:dyDescent="0.25">
      <c r="A222" s="39">
        <v>46048.377996018498</v>
      </c>
      <c r="B222" s="40">
        <v>46048</v>
      </c>
      <c r="C222" t="s">
        <v>23</v>
      </c>
      <c r="D222" t="s">
        <v>30</v>
      </c>
      <c r="E222" t="s">
        <v>31</v>
      </c>
      <c r="F222" t="s">
        <v>32</v>
      </c>
      <c r="G222" t="s">
        <v>167</v>
      </c>
      <c r="H222" t="s">
        <v>168</v>
      </c>
      <c r="I222">
        <v>0.95419799999999999</v>
      </c>
      <c r="J222">
        <v>2.62</v>
      </c>
      <c r="K222">
        <v>-2.5</v>
      </c>
      <c r="L222">
        <v>0</v>
      </c>
      <c r="M222">
        <v>0</v>
      </c>
      <c r="N222" t="s">
        <v>26</v>
      </c>
      <c r="O222">
        <v>0</v>
      </c>
      <c r="P222" t="s">
        <v>1442</v>
      </c>
      <c r="Q222">
        <v>0</v>
      </c>
      <c r="R222" t="s">
        <v>503</v>
      </c>
      <c r="S222" t="s">
        <v>504</v>
      </c>
      <c r="T222" t="s">
        <v>1442</v>
      </c>
      <c r="U222" t="s">
        <v>1442</v>
      </c>
      <c r="V222" t="s">
        <v>1442</v>
      </c>
      <c r="W222" t="s">
        <v>1442</v>
      </c>
    </row>
    <row r="223" spans="1:23" x14ac:dyDescent="0.25">
      <c r="A223" s="39">
        <v>46048.7046589815</v>
      </c>
      <c r="B223" s="40">
        <v>46048</v>
      </c>
      <c r="C223" t="s">
        <v>23</v>
      </c>
      <c r="D223" t="s">
        <v>24</v>
      </c>
      <c r="E223" t="s">
        <v>25</v>
      </c>
      <c r="F223" t="s">
        <v>1442</v>
      </c>
      <c r="G223" t="s">
        <v>1442</v>
      </c>
      <c r="H223" t="s">
        <v>1442</v>
      </c>
      <c r="I223">
        <v>0</v>
      </c>
      <c r="J223">
        <v>0</v>
      </c>
      <c r="K223">
        <v>9.76</v>
      </c>
      <c r="L223">
        <v>0</v>
      </c>
      <c r="M223">
        <v>0</v>
      </c>
      <c r="N223" t="s">
        <v>26</v>
      </c>
      <c r="O223">
        <v>0</v>
      </c>
      <c r="P223" t="s">
        <v>1442</v>
      </c>
      <c r="Q223">
        <v>0</v>
      </c>
      <c r="R223" t="s">
        <v>246</v>
      </c>
      <c r="S223" t="s">
        <v>505</v>
      </c>
      <c r="T223" t="s">
        <v>1442</v>
      </c>
      <c r="U223" t="s">
        <v>1442</v>
      </c>
      <c r="V223" t="s">
        <v>1442</v>
      </c>
      <c r="W223" t="s">
        <v>1442</v>
      </c>
    </row>
    <row r="224" spans="1:23" x14ac:dyDescent="0.25">
      <c r="A224" s="39">
        <v>46048.377457893497</v>
      </c>
      <c r="B224" s="40">
        <v>46048</v>
      </c>
      <c r="C224" t="s">
        <v>23</v>
      </c>
      <c r="D224" t="s">
        <v>24</v>
      </c>
      <c r="E224" t="s">
        <v>25</v>
      </c>
      <c r="F224" t="s">
        <v>1442</v>
      </c>
      <c r="G224" t="s">
        <v>1442</v>
      </c>
      <c r="H224" t="s">
        <v>1442</v>
      </c>
      <c r="I224">
        <v>0</v>
      </c>
      <c r="J224">
        <v>0</v>
      </c>
      <c r="K224">
        <v>200</v>
      </c>
      <c r="L224">
        <v>0</v>
      </c>
      <c r="M224">
        <v>0</v>
      </c>
      <c r="N224" t="s">
        <v>26</v>
      </c>
      <c r="O224">
        <v>0</v>
      </c>
      <c r="P224" t="s">
        <v>1442</v>
      </c>
      <c r="Q224">
        <v>0</v>
      </c>
      <c r="R224" t="s">
        <v>246</v>
      </c>
      <c r="S224" t="s">
        <v>506</v>
      </c>
      <c r="T224" t="s">
        <v>1442</v>
      </c>
      <c r="U224" t="s">
        <v>1442</v>
      </c>
      <c r="V224" t="s">
        <v>1442</v>
      </c>
      <c r="W224" t="s">
        <v>1442</v>
      </c>
    </row>
    <row r="225" spans="1:23" x14ac:dyDescent="0.25">
      <c r="A225" s="39">
        <v>46048.707923530099</v>
      </c>
      <c r="B225" s="40">
        <v>46048</v>
      </c>
      <c r="C225" t="s">
        <v>23</v>
      </c>
      <c r="D225" t="s">
        <v>30</v>
      </c>
      <c r="E225" t="s">
        <v>31</v>
      </c>
      <c r="F225" t="s">
        <v>32</v>
      </c>
      <c r="G225" t="s">
        <v>167</v>
      </c>
      <c r="H225" t="s">
        <v>168</v>
      </c>
      <c r="I225">
        <v>3</v>
      </c>
      <c r="J225">
        <v>2.56</v>
      </c>
      <c r="K225">
        <v>-7.68</v>
      </c>
      <c r="L225">
        <v>-1</v>
      </c>
      <c r="M225">
        <v>0</v>
      </c>
      <c r="N225" t="s">
        <v>26</v>
      </c>
      <c r="O225">
        <v>0</v>
      </c>
      <c r="P225" t="s">
        <v>1442</v>
      </c>
      <c r="Q225">
        <v>0</v>
      </c>
      <c r="R225" t="s">
        <v>507</v>
      </c>
      <c r="S225" t="s">
        <v>508</v>
      </c>
      <c r="T225" t="s">
        <v>1442</v>
      </c>
      <c r="U225" t="s">
        <v>1442</v>
      </c>
      <c r="V225" t="s">
        <v>1442</v>
      </c>
      <c r="W225" t="s">
        <v>1442</v>
      </c>
    </row>
    <row r="226" spans="1:23" x14ac:dyDescent="0.25">
      <c r="A226" s="39">
        <v>46048.707923541697</v>
      </c>
      <c r="B226" s="40">
        <v>46048</v>
      </c>
      <c r="C226" t="s">
        <v>23</v>
      </c>
      <c r="D226" t="s">
        <v>30</v>
      </c>
      <c r="E226" t="s">
        <v>31</v>
      </c>
      <c r="F226" t="s">
        <v>32</v>
      </c>
      <c r="G226" t="s">
        <v>167</v>
      </c>
      <c r="H226" t="s">
        <v>168</v>
      </c>
      <c r="I226">
        <v>0.515625</v>
      </c>
      <c r="J226">
        <v>2.56</v>
      </c>
      <c r="K226">
        <v>-1.32</v>
      </c>
      <c r="L226">
        <v>0</v>
      </c>
      <c r="M226">
        <v>0</v>
      </c>
      <c r="N226" t="s">
        <v>26</v>
      </c>
      <c r="O226">
        <v>0</v>
      </c>
      <c r="P226" t="s">
        <v>1442</v>
      </c>
      <c r="Q226">
        <v>0</v>
      </c>
      <c r="R226" t="s">
        <v>509</v>
      </c>
      <c r="S226" t="s">
        <v>510</v>
      </c>
      <c r="T226" t="s">
        <v>1442</v>
      </c>
      <c r="U226" t="s">
        <v>1442</v>
      </c>
      <c r="V226" t="s">
        <v>1442</v>
      </c>
      <c r="W226" t="s">
        <v>1442</v>
      </c>
    </row>
    <row r="227" spans="1:23" x14ac:dyDescent="0.25">
      <c r="A227" s="39">
        <v>46048.953267071804</v>
      </c>
      <c r="B227" s="40">
        <v>46048</v>
      </c>
      <c r="C227" t="s">
        <v>23</v>
      </c>
      <c r="D227" t="s">
        <v>24</v>
      </c>
      <c r="E227" t="s">
        <v>161</v>
      </c>
      <c r="F227" t="s">
        <v>1442</v>
      </c>
      <c r="G227" t="s">
        <v>1442</v>
      </c>
      <c r="H227" t="s">
        <v>1442</v>
      </c>
      <c r="I227">
        <v>0</v>
      </c>
      <c r="J227">
        <v>0</v>
      </c>
      <c r="K227">
        <v>-200.76</v>
      </c>
      <c r="L227">
        <v>0</v>
      </c>
      <c r="M227">
        <v>0</v>
      </c>
      <c r="N227" t="s">
        <v>26</v>
      </c>
      <c r="O227">
        <v>0</v>
      </c>
      <c r="P227" t="s">
        <v>1442</v>
      </c>
      <c r="Q227">
        <v>0</v>
      </c>
      <c r="R227" t="s">
        <v>397</v>
      </c>
      <c r="S227" t="s">
        <v>511</v>
      </c>
      <c r="T227" t="s">
        <v>1442</v>
      </c>
      <c r="U227" t="s">
        <v>1442</v>
      </c>
      <c r="V227" t="s">
        <v>1442</v>
      </c>
      <c r="W227" t="s">
        <v>1442</v>
      </c>
    </row>
    <row r="228" spans="1:23" x14ac:dyDescent="0.25">
      <c r="A228" s="39">
        <v>46048.918906296298</v>
      </c>
      <c r="B228" s="40">
        <v>46048</v>
      </c>
      <c r="C228" t="s">
        <v>23</v>
      </c>
      <c r="D228" t="s">
        <v>24</v>
      </c>
      <c r="E228" t="s">
        <v>25</v>
      </c>
      <c r="F228" t="s">
        <v>1442</v>
      </c>
      <c r="G228" t="s">
        <v>1442</v>
      </c>
      <c r="H228" t="s">
        <v>1442</v>
      </c>
      <c r="I228">
        <v>0</v>
      </c>
      <c r="J228">
        <v>0</v>
      </c>
      <c r="K228">
        <v>200</v>
      </c>
      <c r="L228">
        <v>0</v>
      </c>
      <c r="M228">
        <v>0</v>
      </c>
      <c r="N228" t="s">
        <v>26</v>
      </c>
      <c r="O228">
        <v>0</v>
      </c>
      <c r="P228" t="s">
        <v>1442</v>
      </c>
      <c r="Q228">
        <v>0</v>
      </c>
      <c r="R228" t="s">
        <v>246</v>
      </c>
      <c r="S228" t="s">
        <v>512</v>
      </c>
      <c r="T228" t="s">
        <v>1442</v>
      </c>
      <c r="U228" t="s">
        <v>1442</v>
      </c>
      <c r="V228" t="s">
        <v>1442</v>
      </c>
      <c r="W228" t="s">
        <v>1442</v>
      </c>
    </row>
    <row r="229" spans="1:23" x14ac:dyDescent="0.25">
      <c r="A229" s="39">
        <v>46048.250263668997</v>
      </c>
      <c r="B229" s="40">
        <v>46048</v>
      </c>
      <c r="C229" t="s">
        <v>23</v>
      </c>
      <c r="D229" t="s">
        <v>24</v>
      </c>
      <c r="E229" t="s">
        <v>25</v>
      </c>
      <c r="F229" t="s">
        <v>1442</v>
      </c>
      <c r="G229" t="s">
        <v>1442</v>
      </c>
      <c r="H229" t="s">
        <v>1442</v>
      </c>
      <c r="I229">
        <v>0</v>
      </c>
      <c r="J229">
        <v>0</v>
      </c>
      <c r="K229">
        <v>80</v>
      </c>
      <c r="L229">
        <v>0</v>
      </c>
      <c r="M229">
        <v>0</v>
      </c>
      <c r="N229" t="s">
        <v>26</v>
      </c>
      <c r="O229">
        <v>0</v>
      </c>
      <c r="P229" t="s">
        <v>1442</v>
      </c>
      <c r="Q229">
        <v>0</v>
      </c>
      <c r="R229" t="s">
        <v>246</v>
      </c>
      <c r="S229" t="s">
        <v>513</v>
      </c>
      <c r="T229" t="s">
        <v>1442</v>
      </c>
      <c r="U229" t="s">
        <v>1442</v>
      </c>
      <c r="V229" t="s">
        <v>1442</v>
      </c>
      <c r="W229" t="s">
        <v>1442</v>
      </c>
    </row>
    <row r="230" spans="1:23" x14ac:dyDescent="0.25">
      <c r="A230" s="39">
        <v>46050.479182916701</v>
      </c>
      <c r="B230" s="40">
        <v>46050</v>
      </c>
      <c r="C230" t="s">
        <v>23</v>
      </c>
      <c r="D230" t="s">
        <v>24</v>
      </c>
      <c r="E230" t="s">
        <v>25</v>
      </c>
      <c r="F230" t="s">
        <v>1442</v>
      </c>
      <c r="G230" t="s">
        <v>1442</v>
      </c>
      <c r="H230" t="s">
        <v>1442</v>
      </c>
      <c r="I230">
        <v>0</v>
      </c>
      <c r="J230">
        <v>0</v>
      </c>
      <c r="K230">
        <v>233.92</v>
      </c>
      <c r="L230">
        <v>0</v>
      </c>
      <c r="M230">
        <v>0</v>
      </c>
      <c r="N230" t="s">
        <v>26</v>
      </c>
      <c r="O230">
        <v>0</v>
      </c>
      <c r="P230" t="s">
        <v>1442</v>
      </c>
      <c r="Q230">
        <v>0</v>
      </c>
      <c r="R230" t="s">
        <v>246</v>
      </c>
      <c r="S230" t="s">
        <v>514</v>
      </c>
      <c r="T230" t="s">
        <v>1442</v>
      </c>
      <c r="U230" t="s">
        <v>1442</v>
      </c>
      <c r="V230" t="s">
        <v>1442</v>
      </c>
      <c r="W230" t="s">
        <v>1442</v>
      </c>
    </row>
    <row r="231" spans="1:23" x14ac:dyDescent="0.25">
      <c r="A231" s="39">
        <v>46050.479603182903</v>
      </c>
      <c r="B231" s="40">
        <v>46050</v>
      </c>
      <c r="C231" t="s">
        <v>23</v>
      </c>
      <c r="D231" t="s">
        <v>30</v>
      </c>
      <c r="E231" t="s">
        <v>31</v>
      </c>
      <c r="F231" t="s">
        <v>32</v>
      </c>
      <c r="G231" t="s">
        <v>515</v>
      </c>
      <c r="H231" t="s">
        <v>516</v>
      </c>
      <c r="I231">
        <v>0.96076499999999998</v>
      </c>
      <c r="J231">
        <v>16.617999999999999</v>
      </c>
      <c r="K231">
        <v>-15.97</v>
      </c>
      <c r="L231">
        <v>0</v>
      </c>
      <c r="M231">
        <v>0</v>
      </c>
      <c r="N231" t="s">
        <v>26</v>
      </c>
      <c r="O231">
        <v>0</v>
      </c>
      <c r="P231" t="s">
        <v>1442</v>
      </c>
      <c r="Q231">
        <v>0</v>
      </c>
      <c r="R231" t="s">
        <v>517</v>
      </c>
      <c r="S231" t="s">
        <v>518</v>
      </c>
      <c r="T231" t="s">
        <v>1442</v>
      </c>
      <c r="U231" t="s">
        <v>1442</v>
      </c>
      <c r="V231" t="s">
        <v>1442</v>
      </c>
      <c r="W231" t="s">
        <v>1442</v>
      </c>
    </row>
    <row r="232" spans="1:23" x14ac:dyDescent="0.25">
      <c r="A232" s="39">
        <v>46050.479603194399</v>
      </c>
      <c r="B232" s="40">
        <v>46050</v>
      </c>
      <c r="C232" t="s">
        <v>23</v>
      </c>
      <c r="D232" t="s">
        <v>30</v>
      </c>
      <c r="E232" t="s">
        <v>31</v>
      </c>
      <c r="F232" t="s">
        <v>32</v>
      </c>
      <c r="G232" t="s">
        <v>515</v>
      </c>
      <c r="H232" t="s">
        <v>516</v>
      </c>
      <c r="I232">
        <v>13</v>
      </c>
      <c r="J232">
        <v>16.617999999999999</v>
      </c>
      <c r="K232">
        <v>-216.03</v>
      </c>
      <c r="L232">
        <v>-1</v>
      </c>
      <c r="M232">
        <v>0</v>
      </c>
      <c r="N232" t="s">
        <v>26</v>
      </c>
      <c r="O232">
        <v>0</v>
      </c>
      <c r="P232" t="s">
        <v>1442</v>
      </c>
      <c r="Q232">
        <v>0</v>
      </c>
      <c r="R232" t="s">
        <v>519</v>
      </c>
      <c r="S232" t="s">
        <v>520</v>
      </c>
      <c r="T232" t="s">
        <v>1442</v>
      </c>
      <c r="U232" t="s">
        <v>1442</v>
      </c>
      <c r="V232" t="s">
        <v>1442</v>
      </c>
      <c r="W232" t="s">
        <v>1442</v>
      </c>
    </row>
    <row r="233" spans="1:23" x14ac:dyDescent="0.25">
      <c r="A233" s="39">
        <v>46051.321588229199</v>
      </c>
      <c r="B233" s="40">
        <v>46051</v>
      </c>
      <c r="C233" t="s">
        <v>23</v>
      </c>
      <c r="D233" t="s">
        <v>24</v>
      </c>
      <c r="E233" t="s">
        <v>25</v>
      </c>
      <c r="F233" t="s">
        <v>1442</v>
      </c>
      <c r="G233" t="s">
        <v>1442</v>
      </c>
      <c r="H233" t="s">
        <v>1442</v>
      </c>
      <c r="I233">
        <v>0</v>
      </c>
      <c r="J233">
        <v>0</v>
      </c>
      <c r="K233">
        <v>40</v>
      </c>
      <c r="L233">
        <v>0</v>
      </c>
      <c r="M233">
        <v>0</v>
      </c>
      <c r="N233" t="s">
        <v>26</v>
      </c>
      <c r="O233">
        <v>0</v>
      </c>
      <c r="P233" t="s">
        <v>1442</v>
      </c>
      <c r="Q233">
        <v>0</v>
      </c>
      <c r="R233" t="s">
        <v>246</v>
      </c>
      <c r="S233" t="s">
        <v>521</v>
      </c>
      <c r="T233" t="s">
        <v>1442</v>
      </c>
      <c r="U233" t="s">
        <v>1442</v>
      </c>
      <c r="V233" t="s">
        <v>1442</v>
      </c>
      <c r="W233" t="s">
        <v>1442</v>
      </c>
    </row>
    <row r="234" spans="1:23" x14ac:dyDescent="0.25">
      <c r="A234" s="39">
        <v>46051.322283298599</v>
      </c>
      <c r="B234" s="40">
        <v>46051</v>
      </c>
      <c r="C234" t="s">
        <v>23</v>
      </c>
      <c r="D234" t="s">
        <v>30</v>
      </c>
      <c r="E234" t="s">
        <v>31</v>
      </c>
      <c r="F234" t="s">
        <v>32</v>
      </c>
      <c r="G234" t="s">
        <v>167</v>
      </c>
      <c r="H234" t="s">
        <v>168</v>
      </c>
      <c r="I234">
        <v>19</v>
      </c>
      <c r="J234">
        <v>2.0699999999999998</v>
      </c>
      <c r="K234">
        <v>-39.33</v>
      </c>
      <c r="L234">
        <v>-1</v>
      </c>
      <c r="M234">
        <v>0</v>
      </c>
      <c r="N234" t="s">
        <v>26</v>
      </c>
      <c r="O234">
        <v>0</v>
      </c>
      <c r="P234" t="s">
        <v>1442</v>
      </c>
      <c r="Q234">
        <v>0</v>
      </c>
      <c r="R234" t="s">
        <v>522</v>
      </c>
      <c r="S234" t="s">
        <v>523</v>
      </c>
      <c r="T234" t="s">
        <v>1442</v>
      </c>
      <c r="U234" t="s">
        <v>1442</v>
      </c>
      <c r="V234" t="s">
        <v>1442</v>
      </c>
      <c r="W234" t="s">
        <v>1442</v>
      </c>
    </row>
    <row r="235" spans="1:23" x14ac:dyDescent="0.25">
      <c r="A235" s="39">
        <v>46051.322283298599</v>
      </c>
      <c r="B235" s="40">
        <v>46051</v>
      </c>
      <c r="C235" t="s">
        <v>23</v>
      </c>
      <c r="D235" t="s">
        <v>30</v>
      </c>
      <c r="E235" t="s">
        <v>31</v>
      </c>
      <c r="F235" t="s">
        <v>32</v>
      </c>
      <c r="G235" t="s">
        <v>167</v>
      </c>
      <c r="H235" t="s">
        <v>168</v>
      </c>
      <c r="I235">
        <v>2.4389999999999998E-2</v>
      </c>
      <c r="J235">
        <v>2.0699999999999998</v>
      </c>
      <c r="K235">
        <v>-0.05</v>
      </c>
      <c r="L235">
        <v>0</v>
      </c>
      <c r="M235">
        <v>0</v>
      </c>
      <c r="N235" t="s">
        <v>26</v>
      </c>
      <c r="O235">
        <v>0</v>
      </c>
      <c r="P235" t="s">
        <v>1442</v>
      </c>
      <c r="Q235">
        <v>0</v>
      </c>
      <c r="R235" t="s">
        <v>524</v>
      </c>
      <c r="S235" t="s">
        <v>525</v>
      </c>
      <c r="T235" t="s">
        <v>1442</v>
      </c>
      <c r="U235" t="s">
        <v>1442</v>
      </c>
      <c r="V235" t="s">
        <v>1442</v>
      </c>
      <c r="W235" t="s">
        <v>1442</v>
      </c>
    </row>
    <row r="236" spans="1:23" x14ac:dyDescent="0.25">
      <c r="A236" s="39">
        <v>46051.349191111098</v>
      </c>
      <c r="B236" s="40">
        <v>46051</v>
      </c>
      <c r="C236" t="s">
        <v>23</v>
      </c>
      <c r="D236" t="s">
        <v>30</v>
      </c>
      <c r="E236" t="s">
        <v>31</v>
      </c>
      <c r="F236" t="s">
        <v>464</v>
      </c>
      <c r="G236" t="s">
        <v>526</v>
      </c>
      <c r="H236" t="s">
        <v>527</v>
      </c>
      <c r="I236">
        <v>0.414267</v>
      </c>
      <c r="J236">
        <v>625.20000000000005</v>
      </c>
      <c r="K236">
        <v>-259</v>
      </c>
      <c r="L236">
        <v>-1</v>
      </c>
      <c r="M236">
        <v>0</v>
      </c>
      <c r="N236" t="s">
        <v>26</v>
      </c>
      <c r="O236">
        <v>0</v>
      </c>
      <c r="P236" t="s">
        <v>1442</v>
      </c>
      <c r="Q236">
        <v>0</v>
      </c>
      <c r="R236" t="s">
        <v>528</v>
      </c>
      <c r="S236" t="s">
        <v>529</v>
      </c>
      <c r="T236" t="s">
        <v>1442</v>
      </c>
      <c r="U236" t="s">
        <v>1442</v>
      </c>
      <c r="V236" t="s">
        <v>1442</v>
      </c>
      <c r="W236" t="s">
        <v>1442</v>
      </c>
    </row>
    <row r="237" spans="1:23" x14ac:dyDescent="0.25">
      <c r="A237" s="39">
        <v>46051.6926806829</v>
      </c>
      <c r="B237" s="40">
        <v>46051</v>
      </c>
      <c r="C237" t="s">
        <v>23</v>
      </c>
      <c r="D237" t="s">
        <v>24</v>
      </c>
      <c r="E237" t="s">
        <v>25</v>
      </c>
      <c r="F237" t="s">
        <v>1442</v>
      </c>
      <c r="G237" t="s">
        <v>1442</v>
      </c>
      <c r="H237" t="s">
        <v>1442</v>
      </c>
      <c r="I237">
        <v>0</v>
      </c>
      <c r="J237">
        <v>0</v>
      </c>
      <c r="K237">
        <v>40</v>
      </c>
      <c r="L237">
        <v>0</v>
      </c>
      <c r="M237">
        <v>0</v>
      </c>
      <c r="N237" t="s">
        <v>26</v>
      </c>
      <c r="O237">
        <v>0</v>
      </c>
      <c r="P237" t="s">
        <v>1442</v>
      </c>
      <c r="Q237">
        <v>0</v>
      </c>
      <c r="R237" t="s">
        <v>246</v>
      </c>
      <c r="S237" t="s">
        <v>530</v>
      </c>
      <c r="T237" t="s">
        <v>1442</v>
      </c>
      <c r="U237" t="s">
        <v>1442</v>
      </c>
      <c r="V237" t="s">
        <v>1442</v>
      </c>
      <c r="W237" t="s">
        <v>1442</v>
      </c>
    </row>
    <row r="238" spans="1:23" x14ac:dyDescent="0.25">
      <c r="A238" s="39">
        <v>46051.349045995397</v>
      </c>
      <c r="B238" s="40">
        <v>46051</v>
      </c>
      <c r="C238" t="s">
        <v>23</v>
      </c>
      <c r="D238" t="s">
        <v>24</v>
      </c>
      <c r="E238" t="s">
        <v>25</v>
      </c>
      <c r="F238" t="s">
        <v>1442</v>
      </c>
      <c r="G238" t="s">
        <v>1442</v>
      </c>
      <c r="H238" t="s">
        <v>1442</v>
      </c>
      <c r="I238">
        <v>0</v>
      </c>
      <c r="J238">
        <v>0</v>
      </c>
      <c r="K238">
        <v>260</v>
      </c>
      <c r="L238">
        <v>0</v>
      </c>
      <c r="M238">
        <v>0</v>
      </c>
      <c r="N238" t="s">
        <v>26</v>
      </c>
      <c r="O238">
        <v>0</v>
      </c>
      <c r="P238" t="s">
        <v>1442</v>
      </c>
      <c r="Q238">
        <v>0</v>
      </c>
      <c r="R238" t="s">
        <v>246</v>
      </c>
      <c r="S238" t="s">
        <v>531</v>
      </c>
      <c r="T238" t="s">
        <v>1442</v>
      </c>
      <c r="U238" t="s">
        <v>1442</v>
      </c>
      <c r="V238" t="s">
        <v>1442</v>
      </c>
      <c r="W238" t="s">
        <v>1442</v>
      </c>
    </row>
    <row r="239" spans="1:23" x14ac:dyDescent="0.25">
      <c r="A239" s="39">
        <v>46051.769171932901</v>
      </c>
      <c r="B239" s="40">
        <v>46051</v>
      </c>
      <c r="C239" t="s">
        <v>23</v>
      </c>
      <c r="D239" t="s">
        <v>30</v>
      </c>
      <c r="E239" t="s">
        <v>31</v>
      </c>
      <c r="F239" t="s">
        <v>32</v>
      </c>
      <c r="G239" t="s">
        <v>211</v>
      </c>
      <c r="H239" t="s">
        <v>212</v>
      </c>
      <c r="I239">
        <v>0.1875</v>
      </c>
      <c r="J239">
        <v>3.2</v>
      </c>
      <c r="K239">
        <v>-0.6</v>
      </c>
      <c r="L239">
        <v>0</v>
      </c>
      <c r="M239">
        <v>0</v>
      </c>
      <c r="N239" t="s">
        <v>26</v>
      </c>
      <c r="O239">
        <v>0</v>
      </c>
      <c r="P239" t="s">
        <v>1442</v>
      </c>
      <c r="Q239">
        <v>0</v>
      </c>
      <c r="R239" t="s">
        <v>532</v>
      </c>
      <c r="S239" t="s">
        <v>533</v>
      </c>
      <c r="T239" t="s">
        <v>1442</v>
      </c>
      <c r="U239" t="s">
        <v>1442</v>
      </c>
      <c r="V239" t="s">
        <v>1442</v>
      </c>
      <c r="W239" t="s">
        <v>1442</v>
      </c>
    </row>
    <row r="240" spans="1:23" x14ac:dyDescent="0.25">
      <c r="A240" s="39">
        <v>46051.769171932901</v>
      </c>
      <c r="B240" s="40">
        <v>46051</v>
      </c>
      <c r="C240" t="s">
        <v>23</v>
      </c>
      <c r="D240" t="s">
        <v>30</v>
      </c>
      <c r="E240" t="s">
        <v>31</v>
      </c>
      <c r="F240" t="s">
        <v>32</v>
      </c>
      <c r="G240" t="s">
        <v>211</v>
      </c>
      <c r="H240" t="s">
        <v>212</v>
      </c>
      <c r="I240">
        <v>12</v>
      </c>
      <c r="J240">
        <v>3.2</v>
      </c>
      <c r="K240">
        <v>-38.4</v>
      </c>
      <c r="L240">
        <v>-1</v>
      </c>
      <c r="M240">
        <v>0</v>
      </c>
      <c r="N240" t="s">
        <v>26</v>
      </c>
      <c r="O240">
        <v>0</v>
      </c>
      <c r="P240" t="s">
        <v>1442</v>
      </c>
      <c r="Q240">
        <v>0</v>
      </c>
      <c r="R240" t="s">
        <v>534</v>
      </c>
      <c r="S240" t="s">
        <v>535</v>
      </c>
      <c r="T240" t="s">
        <v>1442</v>
      </c>
      <c r="U240" t="s">
        <v>1442</v>
      </c>
      <c r="V240" t="s">
        <v>1442</v>
      </c>
      <c r="W240" t="s">
        <v>1442</v>
      </c>
    </row>
    <row r="241" spans="1:23" x14ac:dyDescent="0.25">
      <c r="A241" s="39">
        <v>46053.957345786999</v>
      </c>
      <c r="B241" s="40">
        <v>46053</v>
      </c>
      <c r="C241" t="s">
        <v>23</v>
      </c>
      <c r="D241" t="s">
        <v>24</v>
      </c>
      <c r="E241" t="s">
        <v>25</v>
      </c>
      <c r="F241" t="s">
        <v>1442</v>
      </c>
      <c r="G241" t="s">
        <v>1442</v>
      </c>
      <c r="H241" t="s">
        <v>1442</v>
      </c>
      <c r="I241">
        <v>0</v>
      </c>
      <c r="J241">
        <v>0</v>
      </c>
      <c r="K241">
        <v>281</v>
      </c>
      <c r="L241">
        <v>0</v>
      </c>
      <c r="M241">
        <v>0</v>
      </c>
      <c r="N241" t="s">
        <v>26</v>
      </c>
      <c r="O241">
        <v>0</v>
      </c>
      <c r="P241" t="s">
        <v>1442</v>
      </c>
      <c r="Q241">
        <v>0</v>
      </c>
      <c r="R241" t="s">
        <v>246</v>
      </c>
      <c r="S241" t="s">
        <v>536</v>
      </c>
      <c r="T241" t="s">
        <v>1442</v>
      </c>
      <c r="U241" t="s">
        <v>1442</v>
      </c>
      <c r="V241" t="s">
        <v>1442</v>
      </c>
      <c r="W241" t="s">
        <v>1442</v>
      </c>
    </row>
    <row r="242" spans="1:23" x14ac:dyDescent="0.25">
      <c r="A242" s="39">
        <v>46054.0717167361</v>
      </c>
      <c r="B242" s="40">
        <v>46054</v>
      </c>
      <c r="C242" t="s">
        <v>23</v>
      </c>
      <c r="D242" t="s">
        <v>30</v>
      </c>
      <c r="E242" t="s">
        <v>31</v>
      </c>
      <c r="F242" t="s">
        <v>64</v>
      </c>
      <c r="G242" t="s">
        <v>65</v>
      </c>
      <c r="H242" t="s">
        <v>66</v>
      </c>
      <c r="I242">
        <v>3.0932390000000001</v>
      </c>
      <c r="J242">
        <v>90.518000000000001</v>
      </c>
      <c r="K242">
        <v>-279.99</v>
      </c>
      <c r="L242">
        <v>-1</v>
      </c>
      <c r="M242">
        <v>0</v>
      </c>
      <c r="N242" t="s">
        <v>26</v>
      </c>
      <c r="O242">
        <v>0</v>
      </c>
      <c r="P242" t="s">
        <v>1442</v>
      </c>
      <c r="Q242">
        <v>0</v>
      </c>
      <c r="R242" t="s">
        <v>537</v>
      </c>
      <c r="S242" t="s">
        <v>538</v>
      </c>
      <c r="T242" t="s">
        <v>1442</v>
      </c>
      <c r="U242" t="s">
        <v>1442</v>
      </c>
      <c r="V242" t="s">
        <v>1442</v>
      </c>
      <c r="W242" t="s">
        <v>1442</v>
      </c>
    </row>
    <row r="243" spans="1:23" x14ac:dyDescent="0.25">
      <c r="A243" s="39">
        <v>46055.312673738401</v>
      </c>
      <c r="B243" s="40">
        <v>46055</v>
      </c>
      <c r="C243" t="s">
        <v>23</v>
      </c>
      <c r="D243" t="s">
        <v>30</v>
      </c>
      <c r="E243" t="s">
        <v>82</v>
      </c>
      <c r="F243" t="s">
        <v>32</v>
      </c>
      <c r="G243" t="s">
        <v>471</v>
      </c>
      <c r="H243" t="s">
        <v>472</v>
      </c>
      <c r="I243">
        <v>-10</v>
      </c>
      <c r="J243">
        <v>9.7260000000000009</v>
      </c>
      <c r="K243">
        <v>97.26</v>
      </c>
      <c r="L243">
        <v>-1</v>
      </c>
      <c r="M243">
        <v>0</v>
      </c>
      <c r="N243" t="s">
        <v>26</v>
      </c>
      <c r="O243">
        <v>0</v>
      </c>
      <c r="P243" t="s">
        <v>1442</v>
      </c>
      <c r="Q243">
        <v>0</v>
      </c>
      <c r="R243" t="s">
        <v>539</v>
      </c>
      <c r="S243" t="s">
        <v>540</v>
      </c>
      <c r="T243" t="s">
        <v>1442</v>
      </c>
      <c r="U243" t="s">
        <v>1442</v>
      </c>
      <c r="V243" t="s">
        <v>1442</v>
      </c>
      <c r="W243" t="s">
        <v>1442</v>
      </c>
    </row>
    <row r="244" spans="1:23" x14ac:dyDescent="0.25">
      <c r="A244" s="39">
        <v>46055.333656284703</v>
      </c>
      <c r="B244" s="40">
        <v>46055</v>
      </c>
      <c r="C244" t="s">
        <v>23</v>
      </c>
      <c r="D244" t="s">
        <v>30</v>
      </c>
      <c r="E244" t="s">
        <v>31</v>
      </c>
      <c r="F244" t="s">
        <v>32</v>
      </c>
      <c r="G244" t="s">
        <v>154</v>
      </c>
      <c r="H244" t="s">
        <v>155</v>
      </c>
      <c r="I244">
        <v>5</v>
      </c>
      <c r="J244">
        <v>17.155000000000001</v>
      </c>
      <c r="K244">
        <v>-85.78</v>
      </c>
      <c r="L244">
        <v>-1</v>
      </c>
      <c r="M244">
        <v>0</v>
      </c>
      <c r="N244" t="s">
        <v>26</v>
      </c>
      <c r="O244">
        <v>0</v>
      </c>
      <c r="P244" t="s">
        <v>1442</v>
      </c>
      <c r="Q244">
        <v>0</v>
      </c>
      <c r="R244" t="s">
        <v>288</v>
      </c>
      <c r="S244" t="s">
        <v>541</v>
      </c>
      <c r="T244" t="s">
        <v>1442</v>
      </c>
      <c r="U244" t="s">
        <v>1442</v>
      </c>
      <c r="V244" t="s">
        <v>1442</v>
      </c>
      <c r="W244" t="s">
        <v>1442</v>
      </c>
    </row>
    <row r="245" spans="1:23" x14ac:dyDescent="0.25">
      <c r="A245" s="39">
        <v>46055.333656296301</v>
      </c>
      <c r="B245" s="40">
        <v>46055</v>
      </c>
      <c r="C245" t="s">
        <v>23</v>
      </c>
      <c r="D245" t="s">
        <v>30</v>
      </c>
      <c r="E245" t="s">
        <v>31</v>
      </c>
      <c r="F245" t="s">
        <v>32</v>
      </c>
      <c r="G245" t="s">
        <v>154</v>
      </c>
      <c r="H245" t="s">
        <v>155</v>
      </c>
      <c r="I245">
        <v>0.537744</v>
      </c>
      <c r="J245">
        <v>17.155000000000001</v>
      </c>
      <c r="K245">
        <v>-9.2200000000000006</v>
      </c>
      <c r="L245">
        <v>0</v>
      </c>
      <c r="M245">
        <v>0</v>
      </c>
      <c r="N245" t="s">
        <v>26</v>
      </c>
      <c r="O245">
        <v>0</v>
      </c>
      <c r="P245" t="s">
        <v>1442</v>
      </c>
      <c r="Q245">
        <v>0</v>
      </c>
      <c r="R245" t="s">
        <v>542</v>
      </c>
      <c r="S245" t="s">
        <v>543</v>
      </c>
      <c r="T245" t="s">
        <v>1442</v>
      </c>
      <c r="U245" t="s">
        <v>1442</v>
      </c>
      <c r="V245" t="s">
        <v>1442</v>
      </c>
      <c r="W245" t="s">
        <v>1442</v>
      </c>
    </row>
    <row r="246" spans="1:23" x14ac:dyDescent="0.25">
      <c r="A246" s="39">
        <v>46055.601445497698</v>
      </c>
      <c r="B246" s="40">
        <v>46055</v>
      </c>
      <c r="C246" t="s">
        <v>23</v>
      </c>
      <c r="D246" t="s">
        <v>30</v>
      </c>
      <c r="E246" t="s">
        <v>31</v>
      </c>
      <c r="F246" t="s">
        <v>32</v>
      </c>
      <c r="G246" t="s">
        <v>154</v>
      </c>
      <c r="H246" t="s">
        <v>155</v>
      </c>
      <c r="I246">
        <v>5</v>
      </c>
      <c r="J246">
        <v>17.96</v>
      </c>
      <c r="K246">
        <v>-89.8</v>
      </c>
      <c r="L246">
        <v>-1</v>
      </c>
      <c r="M246">
        <v>0</v>
      </c>
      <c r="N246" t="s">
        <v>26</v>
      </c>
      <c r="O246">
        <v>0</v>
      </c>
      <c r="P246" t="s">
        <v>1442</v>
      </c>
      <c r="Q246">
        <v>0</v>
      </c>
      <c r="R246" t="s">
        <v>288</v>
      </c>
      <c r="S246" t="s">
        <v>544</v>
      </c>
      <c r="T246" t="s">
        <v>1442</v>
      </c>
      <c r="U246" t="s">
        <v>1442</v>
      </c>
      <c r="V246" t="s">
        <v>1442</v>
      </c>
      <c r="W246" t="s">
        <v>1442</v>
      </c>
    </row>
    <row r="247" spans="1:23" x14ac:dyDescent="0.25">
      <c r="A247" s="39">
        <v>46055.601445509303</v>
      </c>
      <c r="B247" s="40">
        <v>46055</v>
      </c>
      <c r="C247" t="s">
        <v>23</v>
      </c>
      <c r="D247" t="s">
        <v>30</v>
      </c>
      <c r="E247" t="s">
        <v>31</v>
      </c>
      <c r="F247" t="s">
        <v>32</v>
      </c>
      <c r="G247" t="s">
        <v>154</v>
      </c>
      <c r="H247" t="s">
        <v>155</v>
      </c>
      <c r="I247">
        <v>9.7409999999999997E-3</v>
      </c>
      <c r="J247">
        <v>17.96</v>
      </c>
      <c r="K247">
        <v>-0.17</v>
      </c>
      <c r="L247">
        <v>0</v>
      </c>
      <c r="M247">
        <v>0</v>
      </c>
      <c r="N247" t="s">
        <v>26</v>
      </c>
      <c r="O247">
        <v>0</v>
      </c>
      <c r="P247" t="s">
        <v>1442</v>
      </c>
      <c r="Q247">
        <v>0</v>
      </c>
      <c r="R247" t="s">
        <v>545</v>
      </c>
      <c r="S247" t="s">
        <v>546</v>
      </c>
      <c r="T247" t="s">
        <v>1442</v>
      </c>
      <c r="U247" t="s">
        <v>1442</v>
      </c>
      <c r="V247" t="s">
        <v>1442</v>
      </c>
      <c r="W247" t="s">
        <v>1442</v>
      </c>
    </row>
    <row r="248" spans="1:23" x14ac:dyDescent="0.25">
      <c r="A248" s="39">
        <v>46055.601838564799</v>
      </c>
      <c r="B248" s="40">
        <v>46055</v>
      </c>
      <c r="C248" t="s">
        <v>23</v>
      </c>
      <c r="D248" t="s">
        <v>24</v>
      </c>
      <c r="E248" t="s">
        <v>25</v>
      </c>
      <c r="F248" t="s">
        <v>1442</v>
      </c>
      <c r="G248" t="s">
        <v>1442</v>
      </c>
      <c r="H248" t="s">
        <v>1442</v>
      </c>
      <c r="I248">
        <v>0</v>
      </c>
      <c r="J248">
        <v>0</v>
      </c>
      <c r="K248">
        <v>90.73</v>
      </c>
      <c r="L248">
        <v>0</v>
      </c>
      <c r="M248">
        <v>0</v>
      </c>
      <c r="N248" t="s">
        <v>26</v>
      </c>
      <c r="O248">
        <v>0</v>
      </c>
      <c r="P248" t="s">
        <v>1442</v>
      </c>
      <c r="Q248">
        <v>0</v>
      </c>
      <c r="R248" t="s">
        <v>246</v>
      </c>
      <c r="S248" t="s">
        <v>547</v>
      </c>
      <c r="T248" t="s">
        <v>1442</v>
      </c>
      <c r="U248" t="s">
        <v>1442</v>
      </c>
      <c r="V248" t="s">
        <v>1442</v>
      </c>
      <c r="W248" t="s">
        <v>1442</v>
      </c>
    </row>
    <row r="249" spans="1:23" x14ac:dyDescent="0.25">
      <c r="A249" s="39">
        <v>46063.716397314798</v>
      </c>
      <c r="B249" s="40">
        <v>46063</v>
      </c>
      <c r="C249" t="s">
        <v>23</v>
      </c>
      <c r="D249" t="s">
        <v>24</v>
      </c>
      <c r="E249" t="s">
        <v>25</v>
      </c>
      <c r="F249" t="s">
        <v>1442</v>
      </c>
      <c r="G249" t="s">
        <v>1442</v>
      </c>
      <c r="H249" t="s">
        <v>1442</v>
      </c>
      <c r="I249">
        <v>0</v>
      </c>
      <c r="J249">
        <v>0</v>
      </c>
      <c r="K249">
        <v>120</v>
      </c>
      <c r="L249">
        <v>0</v>
      </c>
      <c r="M249">
        <v>0</v>
      </c>
      <c r="N249" t="s">
        <v>26</v>
      </c>
      <c r="O249">
        <v>0</v>
      </c>
      <c r="P249" t="s">
        <v>1442</v>
      </c>
      <c r="Q249">
        <v>0</v>
      </c>
      <c r="R249" t="s">
        <v>246</v>
      </c>
      <c r="S249" t="s">
        <v>548</v>
      </c>
      <c r="T249" t="s">
        <v>1442</v>
      </c>
      <c r="U249" t="s">
        <v>1442</v>
      </c>
      <c r="V249" t="s">
        <v>1442</v>
      </c>
      <c r="W249" t="s">
        <v>1442</v>
      </c>
    </row>
    <row r="250" spans="1:23" x14ac:dyDescent="0.25">
      <c r="A250" s="39">
        <v>46064.688146828703</v>
      </c>
      <c r="B250" s="40">
        <v>46064</v>
      </c>
      <c r="C250" t="s">
        <v>23</v>
      </c>
      <c r="D250" t="s">
        <v>24</v>
      </c>
      <c r="E250" t="s">
        <v>25</v>
      </c>
      <c r="F250" t="s">
        <v>1442</v>
      </c>
      <c r="G250" t="s">
        <v>1442</v>
      </c>
      <c r="H250" t="s">
        <v>1442</v>
      </c>
      <c r="I250">
        <v>0</v>
      </c>
      <c r="J250">
        <v>0</v>
      </c>
      <c r="K250">
        <v>30.43</v>
      </c>
      <c r="L250">
        <v>0</v>
      </c>
      <c r="M250">
        <v>0</v>
      </c>
      <c r="N250" t="s">
        <v>26</v>
      </c>
      <c r="O250">
        <v>0</v>
      </c>
      <c r="P250" t="s">
        <v>1442</v>
      </c>
      <c r="Q250">
        <v>0</v>
      </c>
      <c r="R250" t="s">
        <v>246</v>
      </c>
      <c r="S250" t="s">
        <v>549</v>
      </c>
      <c r="T250" t="s">
        <v>1442</v>
      </c>
      <c r="U250" t="s">
        <v>1442</v>
      </c>
      <c r="V250" t="s">
        <v>1442</v>
      </c>
      <c r="W250" t="s">
        <v>1442</v>
      </c>
    </row>
    <row r="251" spans="1:23" x14ac:dyDescent="0.25">
      <c r="A251" s="39">
        <v>46065.469249062502</v>
      </c>
      <c r="B251" s="40">
        <v>46065</v>
      </c>
      <c r="C251" t="s">
        <v>23</v>
      </c>
      <c r="D251" t="s">
        <v>30</v>
      </c>
      <c r="E251" t="s">
        <v>31</v>
      </c>
      <c r="F251" t="s">
        <v>464</v>
      </c>
      <c r="G251" t="s">
        <v>465</v>
      </c>
      <c r="H251" t="s">
        <v>466</v>
      </c>
      <c r="I251">
        <v>1</v>
      </c>
      <c r="J251">
        <v>113.745</v>
      </c>
      <c r="K251">
        <v>-113.75</v>
      </c>
      <c r="L251">
        <v>-1</v>
      </c>
      <c r="M251">
        <v>0</v>
      </c>
      <c r="N251" t="s">
        <v>26</v>
      </c>
      <c r="O251">
        <v>0</v>
      </c>
      <c r="P251" t="s">
        <v>1442</v>
      </c>
      <c r="Q251">
        <v>0</v>
      </c>
      <c r="R251" t="s">
        <v>469</v>
      </c>
      <c r="S251" t="s">
        <v>550</v>
      </c>
      <c r="T251" t="s">
        <v>1442</v>
      </c>
      <c r="U251" t="s">
        <v>1442</v>
      </c>
      <c r="V251" t="s">
        <v>1442</v>
      </c>
      <c r="W251" t="s">
        <v>1442</v>
      </c>
    </row>
    <row r="252" spans="1:23" x14ac:dyDescent="0.25">
      <c r="A252" s="39">
        <v>46065.4692490741</v>
      </c>
      <c r="B252" s="40">
        <v>46065</v>
      </c>
      <c r="C252" t="s">
        <v>23</v>
      </c>
      <c r="D252" t="s">
        <v>30</v>
      </c>
      <c r="E252" t="s">
        <v>31</v>
      </c>
      <c r="F252" t="s">
        <v>464</v>
      </c>
      <c r="G252" t="s">
        <v>465</v>
      </c>
      <c r="H252" t="s">
        <v>466</v>
      </c>
      <c r="I252">
        <v>0.31873899999999999</v>
      </c>
      <c r="J252">
        <v>113.745</v>
      </c>
      <c r="K252">
        <v>-36.25</v>
      </c>
      <c r="L252">
        <v>0</v>
      </c>
      <c r="M252">
        <v>0</v>
      </c>
      <c r="N252" t="s">
        <v>26</v>
      </c>
      <c r="O252">
        <v>0</v>
      </c>
      <c r="P252" t="s">
        <v>1442</v>
      </c>
      <c r="Q252">
        <v>0</v>
      </c>
      <c r="R252" t="s">
        <v>551</v>
      </c>
      <c r="S252" t="s">
        <v>552</v>
      </c>
      <c r="T252" t="s">
        <v>1442</v>
      </c>
      <c r="U252" t="s">
        <v>1442</v>
      </c>
      <c r="V252" t="s">
        <v>1442</v>
      </c>
      <c r="W252" t="s">
        <v>1442</v>
      </c>
    </row>
    <row r="253" spans="1:23" x14ac:dyDescent="0.25">
      <c r="A253" s="39">
        <v>46065.607899178198</v>
      </c>
      <c r="B253" s="40">
        <v>46065</v>
      </c>
      <c r="C253" t="s">
        <v>23</v>
      </c>
      <c r="D253" t="s">
        <v>30</v>
      </c>
      <c r="E253" t="s">
        <v>31</v>
      </c>
      <c r="F253" t="s">
        <v>32</v>
      </c>
      <c r="G253" t="s">
        <v>167</v>
      </c>
      <c r="H253" t="s">
        <v>168</v>
      </c>
      <c r="I253">
        <v>9</v>
      </c>
      <c r="J253">
        <v>1.9119999999999999</v>
      </c>
      <c r="K253">
        <v>-17.21</v>
      </c>
      <c r="L253">
        <v>-1</v>
      </c>
      <c r="M253">
        <v>0</v>
      </c>
      <c r="N253" t="s">
        <v>26</v>
      </c>
      <c r="O253">
        <v>0</v>
      </c>
      <c r="P253" t="s">
        <v>1442</v>
      </c>
      <c r="Q253">
        <v>0</v>
      </c>
      <c r="R253" t="s">
        <v>553</v>
      </c>
      <c r="S253" t="s">
        <v>554</v>
      </c>
      <c r="T253" t="s">
        <v>1442</v>
      </c>
      <c r="U253" t="s">
        <v>1442</v>
      </c>
      <c r="V253" t="s">
        <v>1442</v>
      </c>
      <c r="W253" t="s">
        <v>1442</v>
      </c>
    </row>
    <row r="254" spans="1:23" x14ac:dyDescent="0.25">
      <c r="A254" s="39">
        <v>46065.607899201401</v>
      </c>
      <c r="B254" s="40">
        <v>46065</v>
      </c>
      <c r="C254" t="s">
        <v>23</v>
      </c>
      <c r="D254" t="s">
        <v>30</v>
      </c>
      <c r="E254" t="s">
        <v>31</v>
      </c>
      <c r="F254" t="s">
        <v>32</v>
      </c>
      <c r="G254" t="s">
        <v>167</v>
      </c>
      <c r="H254" t="s">
        <v>168</v>
      </c>
      <c r="I254">
        <v>0.41422500000000001</v>
      </c>
      <c r="J254">
        <v>1.9119999999999999</v>
      </c>
      <c r="K254">
        <v>-0.79</v>
      </c>
      <c r="L254">
        <v>0</v>
      </c>
      <c r="M254">
        <v>0</v>
      </c>
      <c r="N254" t="s">
        <v>26</v>
      </c>
      <c r="O254">
        <v>0</v>
      </c>
      <c r="P254" t="s">
        <v>1442</v>
      </c>
      <c r="Q254">
        <v>0</v>
      </c>
      <c r="R254" t="s">
        <v>555</v>
      </c>
      <c r="S254" t="s">
        <v>556</v>
      </c>
      <c r="T254" t="s">
        <v>1442</v>
      </c>
      <c r="U254" t="s">
        <v>1442</v>
      </c>
      <c r="V254" t="s">
        <v>1442</v>
      </c>
      <c r="W254" t="s">
        <v>1442</v>
      </c>
    </row>
    <row r="255" spans="1:23" x14ac:dyDescent="0.25">
      <c r="A255" s="39">
        <v>46065.621793819402</v>
      </c>
      <c r="B255" s="40">
        <v>46065</v>
      </c>
      <c r="C255" t="s">
        <v>23</v>
      </c>
      <c r="D255" t="s">
        <v>24</v>
      </c>
      <c r="E255" t="s">
        <v>25</v>
      </c>
      <c r="F255" t="s">
        <v>1442</v>
      </c>
      <c r="G255" t="s">
        <v>1442</v>
      </c>
      <c r="H255" t="s">
        <v>1442</v>
      </c>
      <c r="I255">
        <v>0</v>
      </c>
      <c r="J255">
        <v>0</v>
      </c>
      <c r="K255">
        <v>260</v>
      </c>
      <c r="L255">
        <v>0</v>
      </c>
      <c r="M255">
        <v>0</v>
      </c>
      <c r="N255" t="s">
        <v>26</v>
      </c>
      <c r="O255">
        <v>0</v>
      </c>
      <c r="P255" t="s">
        <v>1442</v>
      </c>
      <c r="Q255">
        <v>0</v>
      </c>
      <c r="R255" t="s">
        <v>246</v>
      </c>
      <c r="S255" t="s">
        <v>557</v>
      </c>
      <c r="T255" t="s">
        <v>1442</v>
      </c>
      <c r="U255" t="s">
        <v>1442</v>
      </c>
      <c r="V255" t="s">
        <v>1442</v>
      </c>
      <c r="W255" t="s">
        <v>1442</v>
      </c>
    </row>
    <row r="256" spans="1:23" x14ac:dyDescent="0.25">
      <c r="A256" s="39">
        <v>46065.435291377296</v>
      </c>
      <c r="B256" s="40">
        <v>46065</v>
      </c>
      <c r="C256" t="s">
        <v>23</v>
      </c>
      <c r="D256" t="s">
        <v>24</v>
      </c>
      <c r="E256" t="s">
        <v>25</v>
      </c>
      <c r="F256" t="s">
        <v>1442</v>
      </c>
      <c r="G256" t="s">
        <v>1442</v>
      </c>
      <c r="H256" t="s">
        <v>1442</v>
      </c>
      <c r="I256">
        <v>0</v>
      </c>
      <c r="J256">
        <v>0</v>
      </c>
      <c r="K256">
        <v>19</v>
      </c>
      <c r="L256">
        <v>0</v>
      </c>
      <c r="M256">
        <v>0</v>
      </c>
      <c r="N256" t="s">
        <v>26</v>
      </c>
      <c r="O256">
        <v>0</v>
      </c>
      <c r="P256" t="s">
        <v>1442</v>
      </c>
      <c r="Q256">
        <v>0</v>
      </c>
      <c r="R256" t="s">
        <v>246</v>
      </c>
      <c r="S256" t="s">
        <v>558</v>
      </c>
      <c r="T256" t="s">
        <v>1442</v>
      </c>
      <c r="U256" t="s">
        <v>1442</v>
      </c>
      <c r="V256" t="s">
        <v>1442</v>
      </c>
      <c r="W256" t="s">
        <v>1442</v>
      </c>
    </row>
    <row r="257" spans="1:23" x14ac:dyDescent="0.25">
      <c r="A257" s="39">
        <v>46066.313012349499</v>
      </c>
      <c r="B257" s="40">
        <v>46066</v>
      </c>
      <c r="C257" t="s">
        <v>23</v>
      </c>
      <c r="D257" t="s">
        <v>30</v>
      </c>
      <c r="E257" t="s">
        <v>31</v>
      </c>
      <c r="F257" t="s">
        <v>464</v>
      </c>
      <c r="G257" t="s">
        <v>526</v>
      </c>
      <c r="H257" t="s">
        <v>527</v>
      </c>
      <c r="I257">
        <v>0.41996299999999998</v>
      </c>
      <c r="J257">
        <v>616.72</v>
      </c>
      <c r="K257">
        <v>-259</v>
      </c>
      <c r="L257">
        <v>-1</v>
      </c>
      <c r="M257">
        <v>0</v>
      </c>
      <c r="N257" t="s">
        <v>26</v>
      </c>
      <c r="O257">
        <v>0</v>
      </c>
      <c r="P257" t="s">
        <v>1442</v>
      </c>
      <c r="Q257">
        <v>0</v>
      </c>
      <c r="R257" t="s">
        <v>559</v>
      </c>
      <c r="S257" t="s">
        <v>560</v>
      </c>
      <c r="T257" t="s">
        <v>1442</v>
      </c>
      <c r="U257" t="s">
        <v>1442</v>
      </c>
      <c r="V257" t="s">
        <v>1442</v>
      </c>
      <c r="W257" t="s">
        <v>1442</v>
      </c>
    </row>
    <row r="258" spans="1:23" x14ac:dyDescent="0.25">
      <c r="A258" s="39">
        <v>46069.408401782399</v>
      </c>
      <c r="B258" s="40">
        <v>46069</v>
      </c>
      <c r="C258" t="s">
        <v>23</v>
      </c>
      <c r="D258" t="s">
        <v>24</v>
      </c>
      <c r="E258" t="s">
        <v>25</v>
      </c>
      <c r="F258" t="s">
        <v>1442</v>
      </c>
      <c r="G258" t="s">
        <v>1442</v>
      </c>
      <c r="H258" t="s">
        <v>1442</v>
      </c>
      <c r="I258">
        <v>0</v>
      </c>
      <c r="J258">
        <v>0</v>
      </c>
      <c r="K258">
        <v>15</v>
      </c>
      <c r="L258">
        <v>0</v>
      </c>
      <c r="M258">
        <v>0</v>
      </c>
      <c r="N258" t="s">
        <v>26</v>
      </c>
      <c r="O258">
        <v>0</v>
      </c>
      <c r="P258" t="s">
        <v>1442</v>
      </c>
      <c r="Q258">
        <v>0</v>
      </c>
      <c r="R258" t="s">
        <v>246</v>
      </c>
      <c r="S258" t="s">
        <v>561</v>
      </c>
      <c r="T258" t="s">
        <v>1442</v>
      </c>
      <c r="U258" t="s">
        <v>1442</v>
      </c>
      <c r="V258" t="s">
        <v>1442</v>
      </c>
      <c r="W258" t="s">
        <v>1442</v>
      </c>
    </row>
    <row r="259" spans="1:23" x14ac:dyDescent="0.25">
      <c r="A259" s="39">
        <v>46069.459421597203</v>
      </c>
      <c r="B259" s="40">
        <v>46069</v>
      </c>
      <c r="C259" t="s">
        <v>23</v>
      </c>
      <c r="D259" t="s">
        <v>30</v>
      </c>
      <c r="E259" t="s">
        <v>31</v>
      </c>
      <c r="F259" t="s">
        <v>32</v>
      </c>
      <c r="G259" t="s">
        <v>211</v>
      </c>
      <c r="H259" t="s">
        <v>212</v>
      </c>
      <c r="I259">
        <v>0.98290500000000003</v>
      </c>
      <c r="J259">
        <v>2.34</v>
      </c>
      <c r="K259">
        <v>-2.2999999999999998</v>
      </c>
      <c r="L259">
        <v>0</v>
      </c>
      <c r="M259">
        <v>0</v>
      </c>
      <c r="N259" t="s">
        <v>26</v>
      </c>
      <c r="O259">
        <v>0</v>
      </c>
      <c r="P259" t="s">
        <v>1442</v>
      </c>
      <c r="Q259">
        <v>0</v>
      </c>
      <c r="R259" t="s">
        <v>562</v>
      </c>
      <c r="S259" t="s">
        <v>563</v>
      </c>
      <c r="T259" t="s">
        <v>1442</v>
      </c>
      <c r="U259" t="s">
        <v>1442</v>
      </c>
      <c r="V259" t="s">
        <v>1442</v>
      </c>
      <c r="W259" t="s">
        <v>1442</v>
      </c>
    </row>
    <row r="260" spans="1:23" x14ac:dyDescent="0.25">
      <c r="A260" s="39">
        <v>46069.459427094902</v>
      </c>
      <c r="B260" s="40">
        <v>46069</v>
      </c>
      <c r="C260" t="s">
        <v>23</v>
      </c>
      <c r="D260" t="s">
        <v>30</v>
      </c>
      <c r="E260" t="s">
        <v>31</v>
      </c>
      <c r="F260" t="s">
        <v>32</v>
      </c>
      <c r="G260" t="s">
        <v>211</v>
      </c>
      <c r="H260" t="s">
        <v>212</v>
      </c>
      <c r="I260">
        <v>5</v>
      </c>
      <c r="J260">
        <v>2.34</v>
      </c>
      <c r="K260">
        <v>-11.7</v>
      </c>
      <c r="L260">
        <v>-1</v>
      </c>
      <c r="M260">
        <v>0</v>
      </c>
      <c r="N260" t="s">
        <v>26</v>
      </c>
      <c r="O260">
        <v>0</v>
      </c>
      <c r="P260" t="s">
        <v>1442</v>
      </c>
      <c r="Q260">
        <v>0</v>
      </c>
      <c r="R260" t="s">
        <v>564</v>
      </c>
      <c r="S260" t="s">
        <v>565</v>
      </c>
      <c r="T260" t="s">
        <v>1442</v>
      </c>
      <c r="U260" t="s">
        <v>1442</v>
      </c>
      <c r="V260" t="s">
        <v>1442</v>
      </c>
      <c r="W260" t="s">
        <v>1442</v>
      </c>
    </row>
    <row r="261" spans="1:23" x14ac:dyDescent="0.25">
      <c r="A261" s="39">
        <v>46069.555205509299</v>
      </c>
      <c r="B261" s="40">
        <v>46069</v>
      </c>
      <c r="C261" t="s">
        <v>23</v>
      </c>
      <c r="D261" t="s">
        <v>24</v>
      </c>
      <c r="E261" t="s">
        <v>25</v>
      </c>
      <c r="F261" t="s">
        <v>1442</v>
      </c>
      <c r="G261" t="s">
        <v>1442</v>
      </c>
      <c r="H261" t="s">
        <v>1442</v>
      </c>
      <c r="I261">
        <v>0</v>
      </c>
      <c r="J261">
        <v>0</v>
      </c>
      <c r="K261">
        <v>100</v>
      </c>
      <c r="L261">
        <v>0</v>
      </c>
      <c r="M261">
        <v>0</v>
      </c>
      <c r="N261" t="s">
        <v>26</v>
      </c>
      <c r="O261">
        <v>0</v>
      </c>
      <c r="P261" t="s">
        <v>1442</v>
      </c>
      <c r="Q261">
        <v>0</v>
      </c>
      <c r="R261" t="s">
        <v>246</v>
      </c>
      <c r="S261" t="s">
        <v>566</v>
      </c>
      <c r="T261" t="s">
        <v>1442</v>
      </c>
      <c r="U261" t="s">
        <v>1442</v>
      </c>
      <c r="V261" t="s">
        <v>1442</v>
      </c>
      <c r="W261" t="s">
        <v>1442</v>
      </c>
    </row>
    <row r="262" spans="1:23" x14ac:dyDescent="0.25">
      <c r="A262" s="39">
        <v>46069.5553210648</v>
      </c>
      <c r="B262" s="40">
        <v>46069</v>
      </c>
      <c r="C262" t="s">
        <v>23</v>
      </c>
      <c r="D262" t="s">
        <v>30</v>
      </c>
      <c r="E262" t="s">
        <v>31</v>
      </c>
      <c r="F262" t="s">
        <v>32</v>
      </c>
      <c r="G262" t="s">
        <v>471</v>
      </c>
      <c r="H262" t="s">
        <v>472</v>
      </c>
      <c r="I262">
        <v>0.44656400000000002</v>
      </c>
      <c r="J262">
        <v>10.48</v>
      </c>
      <c r="K262">
        <v>-4.68</v>
      </c>
      <c r="L262">
        <v>0</v>
      </c>
      <c r="M262">
        <v>0</v>
      </c>
      <c r="N262" t="s">
        <v>26</v>
      </c>
      <c r="O262">
        <v>0</v>
      </c>
      <c r="P262" t="s">
        <v>1442</v>
      </c>
      <c r="Q262">
        <v>0</v>
      </c>
      <c r="R262" t="s">
        <v>567</v>
      </c>
      <c r="S262" t="s">
        <v>568</v>
      </c>
      <c r="T262" t="s">
        <v>1442</v>
      </c>
      <c r="U262" t="s">
        <v>1442</v>
      </c>
      <c r="V262" t="s">
        <v>1442</v>
      </c>
      <c r="W262" t="s">
        <v>1442</v>
      </c>
    </row>
    <row r="263" spans="1:23" x14ac:dyDescent="0.25">
      <c r="A263" s="39">
        <v>46069.555321076397</v>
      </c>
      <c r="B263" s="40">
        <v>46069</v>
      </c>
      <c r="C263" t="s">
        <v>23</v>
      </c>
      <c r="D263" t="s">
        <v>30</v>
      </c>
      <c r="E263" t="s">
        <v>31</v>
      </c>
      <c r="F263" t="s">
        <v>32</v>
      </c>
      <c r="G263" t="s">
        <v>471</v>
      </c>
      <c r="H263" t="s">
        <v>472</v>
      </c>
      <c r="I263">
        <v>9</v>
      </c>
      <c r="J263">
        <v>10.48</v>
      </c>
      <c r="K263">
        <v>-94.32</v>
      </c>
      <c r="L263">
        <v>-1</v>
      </c>
      <c r="M263">
        <v>0</v>
      </c>
      <c r="N263" t="s">
        <v>26</v>
      </c>
      <c r="O263">
        <v>0</v>
      </c>
      <c r="P263" t="s">
        <v>1442</v>
      </c>
      <c r="Q263">
        <v>0</v>
      </c>
      <c r="R263" t="s">
        <v>569</v>
      </c>
      <c r="S263" t="s">
        <v>570</v>
      </c>
      <c r="T263" t="s">
        <v>1442</v>
      </c>
      <c r="U263" t="s">
        <v>1442</v>
      </c>
      <c r="V263" t="s">
        <v>1442</v>
      </c>
      <c r="W263" t="s">
        <v>1442</v>
      </c>
    </row>
    <row r="264" spans="1:23" x14ac:dyDescent="0.25">
      <c r="A264" s="39">
        <v>46072.421170115696</v>
      </c>
      <c r="B264" s="40">
        <v>46072</v>
      </c>
      <c r="C264" t="s">
        <v>23</v>
      </c>
      <c r="D264" t="s">
        <v>24</v>
      </c>
      <c r="E264" t="s">
        <v>25</v>
      </c>
      <c r="F264" t="s">
        <v>1442</v>
      </c>
      <c r="G264" t="s">
        <v>1442</v>
      </c>
      <c r="H264" t="s">
        <v>1442</v>
      </c>
      <c r="I264">
        <v>0</v>
      </c>
      <c r="J264">
        <v>0</v>
      </c>
      <c r="K264">
        <v>71</v>
      </c>
      <c r="L264">
        <v>0</v>
      </c>
      <c r="M264">
        <v>0</v>
      </c>
      <c r="N264" t="s">
        <v>26</v>
      </c>
      <c r="O264">
        <v>0</v>
      </c>
      <c r="P264" t="s">
        <v>1442</v>
      </c>
      <c r="Q264">
        <v>0</v>
      </c>
      <c r="R264" t="s">
        <v>246</v>
      </c>
      <c r="S264" t="s">
        <v>571</v>
      </c>
      <c r="T264" t="s">
        <v>1442</v>
      </c>
      <c r="U264" t="s">
        <v>1442</v>
      </c>
      <c r="V264" t="s">
        <v>1442</v>
      </c>
      <c r="W264" t="s">
        <v>1442</v>
      </c>
    </row>
    <row r="265" spans="1:23" x14ac:dyDescent="0.25">
      <c r="A265" s="39">
        <v>46072.421296307897</v>
      </c>
      <c r="B265" s="40">
        <v>46072</v>
      </c>
      <c r="C265" t="s">
        <v>23</v>
      </c>
      <c r="D265" t="s">
        <v>30</v>
      </c>
      <c r="E265" t="s">
        <v>31</v>
      </c>
      <c r="F265" t="s">
        <v>64</v>
      </c>
      <c r="G265" t="s">
        <v>65</v>
      </c>
      <c r="H265" t="s">
        <v>66</v>
      </c>
      <c r="I265">
        <v>1</v>
      </c>
      <c r="J265">
        <v>69.400000000000006</v>
      </c>
      <c r="K265">
        <v>-69.400000000000006</v>
      </c>
      <c r="L265">
        <v>-1</v>
      </c>
      <c r="M265">
        <v>0</v>
      </c>
      <c r="N265" t="s">
        <v>26</v>
      </c>
      <c r="O265">
        <v>0</v>
      </c>
      <c r="P265" t="s">
        <v>1442</v>
      </c>
      <c r="Q265">
        <v>0</v>
      </c>
      <c r="R265" t="s">
        <v>572</v>
      </c>
      <c r="S265" t="s">
        <v>573</v>
      </c>
      <c r="T265" t="s">
        <v>1442</v>
      </c>
      <c r="U265" t="s">
        <v>1442</v>
      </c>
      <c r="V265" t="s">
        <v>1442</v>
      </c>
      <c r="W265" t="s">
        <v>1442</v>
      </c>
    </row>
    <row r="266" spans="1:23" x14ac:dyDescent="0.25">
      <c r="A266" s="39">
        <v>46073.430555243103</v>
      </c>
      <c r="B266" s="40">
        <v>46073</v>
      </c>
      <c r="C266" t="s">
        <v>23</v>
      </c>
      <c r="D266" t="s">
        <v>30</v>
      </c>
      <c r="E266" t="s">
        <v>31</v>
      </c>
      <c r="F266" t="s">
        <v>32</v>
      </c>
      <c r="G266" t="s">
        <v>471</v>
      </c>
      <c r="H266" t="s">
        <v>472</v>
      </c>
      <c r="I266">
        <v>0.67942499999999995</v>
      </c>
      <c r="J266">
        <v>10.45</v>
      </c>
      <c r="K266">
        <v>-7.1</v>
      </c>
      <c r="L266">
        <v>0</v>
      </c>
      <c r="M266">
        <v>0</v>
      </c>
      <c r="N266" t="s">
        <v>26</v>
      </c>
      <c r="O266">
        <v>0</v>
      </c>
      <c r="P266" t="s">
        <v>1442</v>
      </c>
      <c r="Q266">
        <v>0</v>
      </c>
      <c r="R266" t="s">
        <v>574</v>
      </c>
      <c r="S266" t="s">
        <v>575</v>
      </c>
      <c r="T266" t="s">
        <v>1442</v>
      </c>
      <c r="U266" t="s">
        <v>1442</v>
      </c>
      <c r="V266" t="s">
        <v>1442</v>
      </c>
      <c r="W266" t="s">
        <v>1442</v>
      </c>
    </row>
    <row r="267" spans="1:23" x14ac:dyDescent="0.25">
      <c r="A267" s="39">
        <v>46073.430555335603</v>
      </c>
      <c r="B267" s="40">
        <v>46073</v>
      </c>
      <c r="C267" t="s">
        <v>23</v>
      </c>
      <c r="D267" t="s">
        <v>30</v>
      </c>
      <c r="E267" t="s">
        <v>31</v>
      </c>
      <c r="F267" t="s">
        <v>32</v>
      </c>
      <c r="G267" t="s">
        <v>471</v>
      </c>
      <c r="H267" t="s">
        <v>472</v>
      </c>
      <c r="I267">
        <v>2</v>
      </c>
      <c r="J267">
        <v>10.45</v>
      </c>
      <c r="K267">
        <v>-20.9</v>
      </c>
      <c r="L267">
        <v>-1</v>
      </c>
      <c r="M267">
        <v>0</v>
      </c>
      <c r="N267" t="s">
        <v>26</v>
      </c>
      <c r="O267">
        <v>0</v>
      </c>
      <c r="P267" t="s">
        <v>1442</v>
      </c>
      <c r="Q267">
        <v>0</v>
      </c>
      <c r="R267" t="s">
        <v>576</v>
      </c>
      <c r="S267" t="s">
        <v>577</v>
      </c>
      <c r="T267" t="s">
        <v>1442</v>
      </c>
      <c r="U267" t="s">
        <v>1442</v>
      </c>
      <c r="V267" t="s">
        <v>1442</v>
      </c>
      <c r="W267" t="s">
        <v>1442</v>
      </c>
    </row>
    <row r="268" spans="1:23" x14ac:dyDescent="0.25">
      <c r="A268" s="39">
        <v>46073.737900786997</v>
      </c>
      <c r="B268" s="40">
        <v>46073</v>
      </c>
      <c r="C268" t="s">
        <v>23</v>
      </c>
      <c r="D268" t="s">
        <v>24</v>
      </c>
      <c r="E268" t="s">
        <v>25</v>
      </c>
      <c r="F268" t="s">
        <v>1442</v>
      </c>
      <c r="G268" t="s">
        <v>1442</v>
      </c>
      <c r="H268" t="s">
        <v>1442</v>
      </c>
      <c r="I268">
        <v>0</v>
      </c>
      <c r="J268">
        <v>0</v>
      </c>
      <c r="K268">
        <v>100</v>
      </c>
      <c r="L268">
        <v>0</v>
      </c>
      <c r="M268">
        <v>0</v>
      </c>
      <c r="N268" t="s">
        <v>26</v>
      </c>
      <c r="O268">
        <v>0</v>
      </c>
      <c r="P268" t="s">
        <v>1442</v>
      </c>
      <c r="Q268">
        <v>0</v>
      </c>
      <c r="R268" t="s">
        <v>246</v>
      </c>
      <c r="S268" t="s">
        <v>578</v>
      </c>
      <c r="T268" t="s">
        <v>1442</v>
      </c>
      <c r="U268" t="s">
        <v>1442</v>
      </c>
      <c r="V268" t="s">
        <v>1442</v>
      </c>
      <c r="W268" t="s">
        <v>1442</v>
      </c>
    </row>
    <row r="269" spans="1:23" x14ac:dyDescent="0.25">
      <c r="A269" s="39">
        <v>46073.749127743104</v>
      </c>
      <c r="B269" s="40">
        <v>46073</v>
      </c>
      <c r="C269" t="s">
        <v>23</v>
      </c>
      <c r="D269" t="s">
        <v>24</v>
      </c>
      <c r="E269" t="s">
        <v>161</v>
      </c>
      <c r="F269" t="s">
        <v>1442</v>
      </c>
      <c r="G269" t="s">
        <v>1442</v>
      </c>
      <c r="H269" t="s">
        <v>1442</v>
      </c>
      <c r="I269">
        <v>0</v>
      </c>
      <c r="J269">
        <v>0</v>
      </c>
      <c r="K269">
        <v>-100.6</v>
      </c>
      <c r="L269">
        <v>0</v>
      </c>
      <c r="M269">
        <v>0</v>
      </c>
      <c r="N269" t="s">
        <v>26</v>
      </c>
      <c r="O269">
        <v>0</v>
      </c>
      <c r="P269" t="s">
        <v>1442</v>
      </c>
      <c r="Q269">
        <v>0</v>
      </c>
      <c r="R269" t="s">
        <v>397</v>
      </c>
      <c r="S269" t="s">
        <v>579</v>
      </c>
      <c r="T269" t="s">
        <v>1442</v>
      </c>
      <c r="U269" t="s">
        <v>1442</v>
      </c>
      <c r="V269" t="s">
        <v>1442</v>
      </c>
      <c r="W269" t="s">
        <v>1442</v>
      </c>
    </row>
    <row r="270" spans="1:23" x14ac:dyDescent="0.25">
      <c r="A270" s="39">
        <v>46073.430473333297</v>
      </c>
      <c r="B270" s="40">
        <v>46073</v>
      </c>
      <c r="C270" t="s">
        <v>23</v>
      </c>
      <c r="D270" t="s">
        <v>24</v>
      </c>
      <c r="E270" t="s">
        <v>25</v>
      </c>
      <c r="F270" t="s">
        <v>1442</v>
      </c>
      <c r="G270" t="s">
        <v>1442</v>
      </c>
      <c r="H270" t="s">
        <v>1442</v>
      </c>
      <c r="I270">
        <v>0</v>
      </c>
      <c r="J270">
        <v>0</v>
      </c>
      <c r="K270">
        <v>29</v>
      </c>
      <c r="L270">
        <v>0</v>
      </c>
      <c r="M270">
        <v>0</v>
      </c>
      <c r="N270" t="s">
        <v>26</v>
      </c>
      <c r="O270">
        <v>0</v>
      </c>
      <c r="P270" t="s">
        <v>1442</v>
      </c>
      <c r="Q270">
        <v>0</v>
      </c>
      <c r="R270" t="s">
        <v>246</v>
      </c>
      <c r="S270" t="s">
        <v>580</v>
      </c>
      <c r="T270" t="s">
        <v>1442</v>
      </c>
      <c r="U270" t="s">
        <v>1442</v>
      </c>
      <c r="V270" t="s">
        <v>1442</v>
      </c>
      <c r="W270" t="s">
        <v>1442</v>
      </c>
    </row>
    <row r="271" spans="1:23" x14ac:dyDescent="0.25">
      <c r="A271" s="39">
        <v>46077.395438344902</v>
      </c>
      <c r="B271" s="40">
        <v>46077</v>
      </c>
      <c r="C271" t="s">
        <v>23</v>
      </c>
      <c r="D271" t="s">
        <v>30</v>
      </c>
      <c r="E271" t="s">
        <v>82</v>
      </c>
      <c r="F271" t="s">
        <v>32</v>
      </c>
      <c r="G271" t="s">
        <v>348</v>
      </c>
      <c r="H271" t="s">
        <v>349</v>
      </c>
      <c r="I271">
        <v>-0.343949</v>
      </c>
      <c r="J271">
        <v>3.84</v>
      </c>
      <c r="K271">
        <v>1.32</v>
      </c>
      <c r="L271">
        <v>0</v>
      </c>
      <c r="M271">
        <v>0</v>
      </c>
      <c r="N271" t="s">
        <v>26</v>
      </c>
      <c r="O271">
        <v>0</v>
      </c>
      <c r="P271" t="s">
        <v>1442</v>
      </c>
      <c r="Q271">
        <v>0</v>
      </c>
      <c r="R271" t="s">
        <v>581</v>
      </c>
      <c r="S271" t="s">
        <v>582</v>
      </c>
      <c r="T271" t="s">
        <v>1442</v>
      </c>
      <c r="U271" t="s">
        <v>1442</v>
      </c>
      <c r="V271" t="s">
        <v>1442</v>
      </c>
      <c r="W271" t="s">
        <v>1442</v>
      </c>
    </row>
    <row r="272" spans="1:23" x14ac:dyDescent="0.25">
      <c r="A272" s="39">
        <v>46077.3954383565</v>
      </c>
      <c r="B272" s="40">
        <v>46077</v>
      </c>
      <c r="C272" t="s">
        <v>23</v>
      </c>
      <c r="D272" t="s">
        <v>30</v>
      </c>
      <c r="E272" t="s">
        <v>82</v>
      </c>
      <c r="F272" t="s">
        <v>32</v>
      </c>
      <c r="G272" t="s">
        <v>348</v>
      </c>
      <c r="H272" t="s">
        <v>349</v>
      </c>
      <c r="I272">
        <v>-28</v>
      </c>
      <c r="J272">
        <v>3.84</v>
      </c>
      <c r="K272">
        <v>107.52</v>
      </c>
      <c r="L272">
        <v>-1</v>
      </c>
      <c r="M272">
        <v>0</v>
      </c>
      <c r="N272" t="s">
        <v>26</v>
      </c>
      <c r="O272">
        <v>0</v>
      </c>
      <c r="P272" t="s">
        <v>1442</v>
      </c>
      <c r="Q272">
        <v>0</v>
      </c>
      <c r="R272" t="s">
        <v>583</v>
      </c>
      <c r="S272" t="s">
        <v>584</v>
      </c>
      <c r="T272" t="s">
        <v>1442</v>
      </c>
      <c r="U272" t="s">
        <v>1442</v>
      </c>
      <c r="V272" t="s">
        <v>1442</v>
      </c>
      <c r="W272" t="s">
        <v>1442</v>
      </c>
    </row>
    <row r="273" spans="1:23" x14ac:dyDescent="0.25">
      <c r="A273" s="39">
        <v>46077.399069872699</v>
      </c>
      <c r="B273" s="40">
        <v>46077</v>
      </c>
      <c r="C273" t="s">
        <v>23</v>
      </c>
      <c r="D273" t="s">
        <v>24</v>
      </c>
      <c r="E273" t="s">
        <v>161</v>
      </c>
      <c r="F273" t="s">
        <v>1442</v>
      </c>
      <c r="G273" t="s">
        <v>1442</v>
      </c>
      <c r="H273" t="s">
        <v>1442</v>
      </c>
      <c r="I273">
        <v>0</v>
      </c>
      <c r="J273">
        <v>0</v>
      </c>
      <c r="K273">
        <v>-107.84</v>
      </c>
      <c r="L273">
        <v>0</v>
      </c>
      <c r="M273">
        <v>0</v>
      </c>
      <c r="N273" t="s">
        <v>26</v>
      </c>
      <c r="O273">
        <v>0</v>
      </c>
      <c r="P273" t="s">
        <v>1442</v>
      </c>
      <c r="Q273">
        <v>0</v>
      </c>
      <c r="R273" t="s">
        <v>397</v>
      </c>
      <c r="S273" t="s">
        <v>585</v>
      </c>
      <c r="T273" t="s">
        <v>1442</v>
      </c>
      <c r="U273" t="s">
        <v>1442</v>
      </c>
      <c r="V273" t="s">
        <v>1442</v>
      </c>
      <c r="W273" t="s">
        <v>1442</v>
      </c>
    </row>
    <row r="274" spans="1:23" x14ac:dyDescent="0.25">
      <c r="A274" s="39">
        <v>46077.619888703703</v>
      </c>
      <c r="B274" s="40">
        <v>46077</v>
      </c>
      <c r="C274" t="s">
        <v>23</v>
      </c>
      <c r="D274" t="s">
        <v>487</v>
      </c>
      <c r="E274" t="s">
        <v>586</v>
      </c>
      <c r="F274" t="s">
        <v>489</v>
      </c>
      <c r="G274" t="s">
        <v>490</v>
      </c>
      <c r="H274" t="s">
        <v>491</v>
      </c>
      <c r="I274">
        <v>-30</v>
      </c>
      <c r="J274">
        <v>0</v>
      </c>
      <c r="K274">
        <v>0</v>
      </c>
      <c r="L274">
        <v>0</v>
      </c>
      <c r="M274">
        <v>0</v>
      </c>
      <c r="N274" t="s">
        <v>1442</v>
      </c>
      <c r="O274">
        <v>0</v>
      </c>
      <c r="P274" t="s">
        <v>1442</v>
      </c>
      <c r="Q274">
        <v>0</v>
      </c>
      <c r="R274" t="s">
        <v>587</v>
      </c>
      <c r="S274" t="s">
        <v>588</v>
      </c>
      <c r="T274" t="s">
        <v>1442</v>
      </c>
      <c r="U274" t="s">
        <v>1442</v>
      </c>
      <c r="V274" t="s">
        <v>1442</v>
      </c>
      <c r="W274" t="s">
        <v>1442</v>
      </c>
    </row>
    <row r="275" spans="1:23" x14ac:dyDescent="0.25">
      <c r="A275" s="39">
        <v>46083.389978726897</v>
      </c>
      <c r="B275" s="40">
        <v>46083</v>
      </c>
      <c r="C275" t="s">
        <v>23</v>
      </c>
      <c r="D275" t="s">
        <v>24</v>
      </c>
      <c r="E275" t="s">
        <v>25</v>
      </c>
      <c r="F275" t="s">
        <v>1442</v>
      </c>
      <c r="G275" t="s">
        <v>1442</v>
      </c>
      <c r="H275" t="s">
        <v>1442</v>
      </c>
      <c r="I275">
        <v>0</v>
      </c>
      <c r="J275">
        <v>0</v>
      </c>
      <c r="K275">
        <v>151</v>
      </c>
      <c r="L275">
        <v>0</v>
      </c>
      <c r="M275">
        <v>0</v>
      </c>
      <c r="N275" t="s">
        <v>26</v>
      </c>
      <c r="O275">
        <v>0</v>
      </c>
      <c r="P275" t="s">
        <v>1442</v>
      </c>
      <c r="Q275">
        <v>0</v>
      </c>
      <c r="R275" t="s">
        <v>246</v>
      </c>
      <c r="S275" t="s">
        <v>589</v>
      </c>
      <c r="T275" t="s">
        <v>1442</v>
      </c>
      <c r="U275" t="s">
        <v>1442</v>
      </c>
      <c r="V275" t="s">
        <v>1442</v>
      </c>
      <c r="W275" t="s">
        <v>1442</v>
      </c>
    </row>
    <row r="276" spans="1:23" x14ac:dyDescent="0.25">
      <c r="A276" s="39">
        <v>46083.390767037003</v>
      </c>
      <c r="B276" s="40">
        <v>46083</v>
      </c>
      <c r="C276" t="s">
        <v>23</v>
      </c>
      <c r="D276" t="s">
        <v>30</v>
      </c>
      <c r="E276" t="s">
        <v>31</v>
      </c>
      <c r="F276" t="s">
        <v>32</v>
      </c>
      <c r="G276" t="s">
        <v>590</v>
      </c>
      <c r="H276" t="s">
        <v>591</v>
      </c>
      <c r="I276">
        <v>0.380583</v>
      </c>
      <c r="J276">
        <v>5.6859999999999999</v>
      </c>
      <c r="K276">
        <v>-2.16</v>
      </c>
      <c r="L276">
        <v>0</v>
      </c>
      <c r="M276">
        <v>0</v>
      </c>
      <c r="N276" t="s">
        <v>26</v>
      </c>
      <c r="O276">
        <v>0</v>
      </c>
      <c r="P276" t="s">
        <v>1442</v>
      </c>
      <c r="Q276">
        <v>0</v>
      </c>
      <c r="R276" t="s">
        <v>592</v>
      </c>
      <c r="S276" t="s">
        <v>593</v>
      </c>
      <c r="T276" t="s">
        <v>1442</v>
      </c>
      <c r="U276" t="s">
        <v>1442</v>
      </c>
      <c r="V276" t="s">
        <v>1442</v>
      </c>
      <c r="W276" t="s">
        <v>1442</v>
      </c>
    </row>
    <row r="277" spans="1:23" x14ac:dyDescent="0.25">
      <c r="A277" s="39">
        <v>46083.3907671528</v>
      </c>
      <c r="B277" s="40">
        <v>46083</v>
      </c>
      <c r="C277" t="s">
        <v>23</v>
      </c>
      <c r="D277" t="s">
        <v>30</v>
      </c>
      <c r="E277" t="s">
        <v>31</v>
      </c>
      <c r="F277" t="s">
        <v>32</v>
      </c>
      <c r="G277" t="s">
        <v>590</v>
      </c>
      <c r="H277" t="s">
        <v>591</v>
      </c>
      <c r="I277">
        <v>26</v>
      </c>
      <c r="J277">
        <v>5.6859999999999999</v>
      </c>
      <c r="K277">
        <v>-147.84</v>
      </c>
      <c r="L277">
        <v>-1</v>
      </c>
      <c r="M277">
        <v>0</v>
      </c>
      <c r="N277" t="s">
        <v>26</v>
      </c>
      <c r="O277">
        <v>0</v>
      </c>
      <c r="P277" t="s">
        <v>1442</v>
      </c>
      <c r="Q277">
        <v>0</v>
      </c>
      <c r="R277" t="s">
        <v>594</v>
      </c>
      <c r="S277" t="s">
        <v>595</v>
      </c>
      <c r="T277" t="s">
        <v>1442</v>
      </c>
      <c r="U277" t="s">
        <v>1442</v>
      </c>
      <c r="V277" t="s">
        <v>1442</v>
      </c>
      <c r="W277" t="s">
        <v>1442</v>
      </c>
    </row>
    <row r="278" spans="1:23" x14ac:dyDescent="0.25">
      <c r="A278" s="39">
        <v>46090.319312071799</v>
      </c>
      <c r="B278" s="40">
        <v>46090</v>
      </c>
      <c r="C278" t="s">
        <v>23</v>
      </c>
      <c r="D278" t="s">
        <v>24</v>
      </c>
      <c r="E278" t="s">
        <v>25</v>
      </c>
      <c r="F278" t="s">
        <v>1442</v>
      </c>
      <c r="G278" t="s">
        <v>1442</v>
      </c>
      <c r="H278" t="s">
        <v>1442</v>
      </c>
      <c r="I278">
        <v>0</v>
      </c>
      <c r="J278">
        <v>0</v>
      </c>
      <c r="K278">
        <v>151</v>
      </c>
      <c r="L278">
        <v>0</v>
      </c>
      <c r="M278">
        <v>0</v>
      </c>
      <c r="N278" t="s">
        <v>26</v>
      </c>
      <c r="O278">
        <v>0</v>
      </c>
      <c r="P278" t="s">
        <v>1442</v>
      </c>
      <c r="Q278">
        <v>0</v>
      </c>
      <c r="R278" t="s">
        <v>246</v>
      </c>
      <c r="S278" t="s">
        <v>596</v>
      </c>
      <c r="T278" t="s">
        <v>1442</v>
      </c>
      <c r="U278" t="s">
        <v>1442</v>
      </c>
      <c r="V278" t="s">
        <v>1442</v>
      </c>
      <c r="W278" t="s">
        <v>1442</v>
      </c>
    </row>
    <row r="279" spans="1:23" x14ac:dyDescent="0.25">
      <c r="A279" s="39">
        <v>46090.319471226903</v>
      </c>
      <c r="B279" s="40">
        <v>46090</v>
      </c>
      <c r="C279" t="s">
        <v>23</v>
      </c>
      <c r="D279" t="s">
        <v>30</v>
      </c>
      <c r="E279" t="s">
        <v>31</v>
      </c>
      <c r="F279" t="s">
        <v>464</v>
      </c>
      <c r="G279" t="s">
        <v>465</v>
      </c>
      <c r="H279" t="s">
        <v>466</v>
      </c>
      <c r="I279">
        <v>1</v>
      </c>
      <c r="J279">
        <v>110.77</v>
      </c>
      <c r="K279">
        <v>-110.77</v>
      </c>
      <c r="L279">
        <v>-1</v>
      </c>
      <c r="M279">
        <v>0</v>
      </c>
      <c r="N279" t="s">
        <v>26</v>
      </c>
      <c r="O279">
        <v>0</v>
      </c>
      <c r="P279" t="s">
        <v>1442</v>
      </c>
      <c r="Q279">
        <v>0</v>
      </c>
      <c r="R279" t="s">
        <v>469</v>
      </c>
      <c r="S279" t="s">
        <v>597</v>
      </c>
      <c r="T279" t="s">
        <v>1442</v>
      </c>
      <c r="U279" t="s">
        <v>1442</v>
      </c>
      <c r="V279" t="s">
        <v>1442</v>
      </c>
      <c r="W279" t="s">
        <v>1442</v>
      </c>
    </row>
    <row r="280" spans="1:23" x14ac:dyDescent="0.25">
      <c r="A280" s="39">
        <v>46090.319471377297</v>
      </c>
      <c r="B280" s="40">
        <v>46090</v>
      </c>
      <c r="C280" t="s">
        <v>23</v>
      </c>
      <c r="D280" t="s">
        <v>30</v>
      </c>
      <c r="E280" t="s">
        <v>31</v>
      </c>
      <c r="F280" t="s">
        <v>464</v>
      </c>
      <c r="G280" t="s">
        <v>465</v>
      </c>
      <c r="H280" t="s">
        <v>466</v>
      </c>
      <c r="I280">
        <v>0.354157</v>
      </c>
      <c r="J280">
        <v>110.77</v>
      </c>
      <c r="K280">
        <v>-39.229999999999997</v>
      </c>
      <c r="L280">
        <v>0</v>
      </c>
      <c r="M280">
        <v>0</v>
      </c>
      <c r="N280" t="s">
        <v>26</v>
      </c>
      <c r="O280">
        <v>0</v>
      </c>
      <c r="P280" t="s">
        <v>1442</v>
      </c>
      <c r="Q280">
        <v>0</v>
      </c>
      <c r="R280" t="s">
        <v>598</v>
      </c>
      <c r="S280" t="s">
        <v>599</v>
      </c>
      <c r="T280" t="s">
        <v>1442</v>
      </c>
      <c r="U280" t="s">
        <v>1442</v>
      </c>
      <c r="V280" t="s">
        <v>1442</v>
      </c>
      <c r="W280" t="s">
        <v>1442</v>
      </c>
    </row>
    <row r="281" spans="1:23" x14ac:dyDescent="0.25">
      <c r="A281" s="39">
        <v>46090.319975011596</v>
      </c>
      <c r="B281" s="40">
        <v>46090</v>
      </c>
      <c r="C281" t="s">
        <v>23</v>
      </c>
      <c r="D281" t="s">
        <v>24</v>
      </c>
      <c r="E281" t="s">
        <v>25</v>
      </c>
      <c r="F281" t="s">
        <v>1442</v>
      </c>
      <c r="G281" t="s">
        <v>1442</v>
      </c>
      <c r="H281" t="s">
        <v>1442</v>
      </c>
      <c r="I281">
        <v>0</v>
      </c>
      <c r="J281">
        <v>0</v>
      </c>
      <c r="K281">
        <v>260</v>
      </c>
      <c r="L281">
        <v>0</v>
      </c>
      <c r="M281">
        <v>0</v>
      </c>
      <c r="N281" t="s">
        <v>26</v>
      </c>
      <c r="O281">
        <v>0</v>
      </c>
      <c r="P281" t="s">
        <v>1442</v>
      </c>
      <c r="Q281">
        <v>0</v>
      </c>
      <c r="R281" t="s">
        <v>246</v>
      </c>
      <c r="S281" t="s">
        <v>600</v>
      </c>
      <c r="T281" t="s">
        <v>1442</v>
      </c>
      <c r="U281" t="s">
        <v>1442</v>
      </c>
      <c r="V281" t="s">
        <v>1442</v>
      </c>
      <c r="W281" t="s">
        <v>1442</v>
      </c>
    </row>
    <row r="282" spans="1:23" x14ac:dyDescent="0.25">
      <c r="A282" s="39">
        <v>46090.320057569399</v>
      </c>
      <c r="B282" s="40">
        <v>46090</v>
      </c>
      <c r="C282" t="s">
        <v>23</v>
      </c>
      <c r="D282" t="s">
        <v>30</v>
      </c>
      <c r="E282" t="s">
        <v>31</v>
      </c>
      <c r="F282" t="s">
        <v>464</v>
      </c>
      <c r="G282" t="s">
        <v>526</v>
      </c>
      <c r="H282" t="s">
        <v>527</v>
      </c>
      <c r="I282">
        <v>0.420099</v>
      </c>
      <c r="J282">
        <v>616.52</v>
      </c>
      <c r="K282">
        <v>-259</v>
      </c>
      <c r="L282">
        <v>-1</v>
      </c>
      <c r="M282">
        <v>0</v>
      </c>
      <c r="N282" t="s">
        <v>26</v>
      </c>
      <c r="O282">
        <v>0</v>
      </c>
      <c r="P282" t="s">
        <v>1442</v>
      </c>
      <c r="Q282">
        <v>0</v>
      </c>
      <c r="R282" t="s">
        <v>601</v>
      </c>
      <c r="S282" t="s">
        <v>602</v>
      </c>
      <c r="T282" t="s">
        <v>1442</v>
      </c>
      <c r="U282" t="s">
        <v>1442</v>
      </c>
      <c r="V282" t="s">
        <v>1442</v>
      </c>
      <c r="W282" t="s">
        <v>1442</v>
      </c>
    </row>
    <row r="283" spans="1:23" x14ac:dyDescent="0.25">
      <c r="A283" s="39">
        <v>46092.379151203699</v>
      </c>
      <c r="B283" s="40">
        <v>46092</v>
      </c>
      <c r="C283" t="s">
        <v>23</v>
      </c>
      <c r="D283" t="s">
        <v>24</v>
      </c>
      <c r="E283" t="s">
        <v>25</v>
      </c>
      <c r="F283" t="s">
        <v>1442</v>
      </c>
      <c r="G283" t="s">
        <v>1442</v>
      </c>
      <c r="H283" t="s">
        <v>1442</v>
      </c>
      <c r="I283">
        <v>0</v>
      </c>
      <c r="J283">
        <v>0</v>
      </c>
      <c r="K283">
        <v>151</v>
      </c>
      <c r="L283">
        <v>0</v>
      </c>
      <c r="M283">
        <v>0</v>
      </c>
      <c r="N283" t="s">
        <v>26</v>
      </c>
      <c r="O283">
        <v>0</v>
      </c>
      <c r="P283" t="s">
        <v>1442</v>
      </c>
      <c r="Q283">
        <v>0</v>
      </c>
      <c r="R283" t="s">
        <v>246</v>
      </c>
      <c r="S283" t="s">
        <v>603</v>
      </c>
      <c r="T283" t="s">
        <v>1442</v>
      </c>
      <c r="U283" t="s">
        <v>1442</v>
      </c>
      <c r="V283" t="s">
        <v>1442</v>
      </c>
      <c r="W283" t="s">
        <v>1442</v>
      </c>
    </row>
    <row r="284" spans="1:23" x14ac:dyDescent="0.25">
      <c r="A284" s="39">
        <v>46092.3792551968</v>
      </c>
      <c r="B284" s="40">
        <v>46092</v>
      </c>
      <c r="C284" t="s">
        <v>23</v>
      </c>
      <c r="D284" t="s">
        <v>30</v>
      </c>
      <c r="E284" t="s">
        <v>31</v>
      </c>
      <c r="F284" t="s">
        <v>32</v>
      </c>
      <c r="G284" t="s">
        <v>604</v>
      </c>
      <c r="H284" t="s">
        <v>605</v>
      </c>
      <c r="I284">
        <v>0.62068900000000005</v>
      </c>
      <c r="J284">
        <v>0.57999999999999996</v>
      </c>
      <c r="K284">
        <v>-0.36</v>
      </c>
      <c r="L284">
        <v>0</v>
      </c>
      <c r="M284">
        <v>0</v>
      </c>
      <c r="N284" t="s">
        <v>26</v>
      </c>
      <c r="O284">
        <v>0</v>
      </c>
      <c r="P284" t="s">
        <v>1442</v>
      </c>
      <c r="Q284">
        <v>0</v>
      </c>
      <c r="R284" t="s">
        <v>606</v>
      </c>
      <c r="S284" t="s">
        <v>607</v>
      </c>
      <c r="T284" t="s">
        <v>1442</v>
      </c>
      <c r="U284" t="s">
        <v>1442</v>
      </c>
      <c r="V284" t="s">
        <v>1442</v>
      </c>
      <c r="W284" t="s">
        <v>1442</v>
      </c>
    </row>
    <row r="285" spans="1:23" x14ac:dyDescent="0.25">
      <c r="A285" s="39">
        <v>46092.379255370397</v>
      </c>
      <c r="B285" s="40">
        <v>46092</v>
      </c>
      <c r="C285" t="s">
        <v>23</v>
      </c>
      <c r="D285" t="s">
        <v>30</v>
      </c>
      <c r="E285" t="s">
        <v>31</v>
      </c>
      <c r="F285" t="s">
        <v>32</v>
      </c>
      <c r="G285" t="s">
        <v>604</v>
      </c>
      <c r="H285" t="s">
        <v>605</v>
      </c>
      <c r="I285">
        <v>258</v>
      </c>
      <c r="J285">
        <v>0.57999999999999996</v>
      </c>
      <c r="K285">
        <v>-149.63999999999999</v>
      </c>
      <c r="L285">
        <v>-1</v>
      </c>
      <c r="M285">
        <v>0</v>
      </c>
      <c r="N285" t="s">
        <v>26</v>
      </c>
      <c r="O285">
        <v>0</v>
      </c>
      <c r="P285" t="s">
        <v>1442</v>
      </c>
      <c r="Q285">
        <v>0</v>
      </c>
      <c r="R285" t="s">
        <v>608</v>
      </c>
      <c r="S285" t="s">
        <v>609</v>
      </c>
      <c r="T285" t="s">
        <v>1442</v>
      </c>
      <c r="U285" t="s">
        <v>1442</v>
      </c>
      <c r="V285" t="s">
        <v>1442</v>
      </c>
      <c r="W285" t="s">
        <v>1442</v>
      </c>
    </row>
    <row r="286" spans="1:23" x14ac:dyDescent="0.25">
      <c r="A286" s="39">
        <v>46097.356554525497</v>
      </c>
      <c r="B286" s="40">
        <v>46097</v>
      </c>
      <c r="C286" t="s">
        <v>23</v>
      </c>
      <c r="D286" t="s">
        <v>30</v>
      </c>
      <c r="E286" t="s">
        <v>82</v>
      </c>
      <c r="F286" t="s">
        <v>32</v>
      </c>
      <c r="G286" t="s">
        <v>471</v>
      </c>
      <c r="H286" t="s">
        <v>472</v>
      </c>
      <c r="I286">
        <v>-0.57708300000000001</v>
      </c>
      <c r="J286">
        <v>11.545</v>
      </c>
      <c r="K286">
        <v>6.66</v>
      </c>
      <c r="L286">
        <v>0</v>
      </c>
      <c r="M286">
        <v>0</v>
      </c>
      <c r="N286" t="s">
        <v>26</v>
      </c>
      <c r="O286">
        <v>0</v>
      </c>
      <c r="P286" t="s">
        <v>1442</v>
      </c>
      <c r="Q286">
        <v>0</v>
      </c>
      <c r="R286" t="s">
        <v>610</v>
      </c>
      <c r="S286" t="s">
        <v>611</v>
      </c>
      <c r="T286" t="s">
        <v>1442</v>
      </c>
      <c r="U286" t="s">
        <v>1442</v>
      </c>
      <c r="V286" t="s">
        <v>1442</v>
      </c>
      <c r="W286" t="s">
        <v>1442</v>
      </c>
    </row>
    <row r="287" spans="1:23" x14ac:dyDescent="0.25">
      <c r="A287" s="39">
        <v>46097.356554525497</v>
      </c>
      <c r="B287" s="40">
        <v>46097</v>
      </c>
      <c r="C287" t="s">
        <v>23</v>
      </c>
      <c r="D287" t="s">
        <v>30</v>
      </c>
      <c r="E287" t="s">
        <v>82</v>
      </c>
      <c r="F287" t="s">
        <v>32</v>
      </c>
      <c r="G287" t="s">
        <v>471</v>
      </c>
      <c r="H287" t="s">
        <v>472</v>
      </c>
      <c r="I287">
        <v>-12</v>
      </c>
      <c r="J287">
        <v>11.545</v>
      </c>
      <c r="K287">
        <v>138.54</v>
      </c>
      <c r="L287">
        <v>-1</v>
      </c>
      <c r="M287">
        <v>0</v>
      </c>
      <c r="N287" t="s">
        <v>26</v>
      </c>
      <c r="O287">
        <v>0</v>
      </c>
      <c r="P287" t="s">
        <v>1442</v>
      </c>
      <c r="Q287">
        <v>0</v>
      </c>
      <c r="R287" t="s">
        <v>612</v>
      </c>
      <c r="S287" t="s">
        <v>613</v>
      </c>
      <c r="T287" t="s">
        <v>1442</v>
      </c>
      <c r="U287" t="s">
        <v>1442</v>
      </c>
      <c r="V287" t="s">
        <v>1442</v>
      </c>
      <c r="W287" t="s">
        <v>1442</v>
      </c>
    </row>
    <row r="288" spans="1:23" x14ac:dyDescent="0.25">
      <c r="A288" s="39">
        <v>46097.356881817097</v>
      </c>
      <c r="B288" s="40">
        <v>46097</v>
      </c>
      <c r="C288" t="s">
        <v>23</v>
      </c>
      <c r="D288" t="s">
        <v>30</v>
      </c>
      <c r="E288" t="s">
        <v>82</v>
      </c>
      <c r="F288" t="s">
        <v>32</v>
      </c>
      <c r="G288" t="s">
        <v>590</v>
      </c>
      <c r="H288" t="s">
        <v>591</v>
      </c>
      <c r="I288">
        <v>-26</v>
      </c>
      <c r="J288">
        <v>6.234</v>
      </c>
      <c r="K288">
        <v>162.08000000000001</v>
      </c>
      <c r="L288">
        <v>-1</v>
      </c>
      <c r="M288">
        <v>0</v>
      </c>
      <c r="N288" t="s">
        <v>26</v>
      </c>
      <c r="O288">
        <v>0</v>
      </c>
      <c r="P288" t="s">
        <v>1442</v>
      </c>
      <c r="Q288">
        <v>0</v>
      </c>
      <c r="R288" t="s">
        <v>614</v>
      </c>
      <c r="S288" t="s">
        <v>615</v>
      </c>
      <c r="T288" t="s">
        <v>1442</v>
      </c>
      <c r="U288" t="s">
        <v>1442</v>
      </c>
      <c r="V288" t="s">
        <v>1442</v>
      </c>
      <c r="W288" t="s">
        <v>1442</v>
      </c>
    </row>
    <row r="289" spans="1:23" x14ac:dyDescent="0.25">
      <c r="A289" s="39">
        <v>46097.356881817097</v>
      </c>
      <c r="B289" s="40">
        <v>46097</v>
      </c>
      <c r="C289" t="s">
        <v>23</v>
      </c>
      <c r="D289" t="s">
        <v>30</v>
      </c>
      <c r="E289" t="s">
        <v>82</v>
      </c>
      <c r="F289" t="s">
        <v>32</v>
      </c>
      <c r="G289" t="s">
        <v>590</v>
      </c>
      <c r="H289" t="s">
        <v>591</v>
      </c>
      <c r="I289">
        <v>-0.380583</v>
      </c>
      <c r="J289">
        <v>6.234</v>
      </c>
      <c r="K289">
        <v>2.37</v>
      </c>
      <c r="L289">
        <v>0</v>
      </c>
      <c r="M289">
        <v>0</v>
      </c>
      <c r="N289" t="s">
        <v>26</v>
      </c>
      <c r="O289">
        <v>0</v>
      </c>
      <c r="P289" t="s">
        <v>1442</v>
      </c>
      <c r="Q289">
        <v>0</v>
      </c>
      <c r="R289" t="s">
        <v>616</v>
      </c>
      <c r="S289" t="s">
        <v>617</v>
      </c>
      <c r="T289" t="s">
        <v>1442</v>
      </c>
      <c r="U289" t="s">
        <v>1442</v>
      </c>
      <c r="V289" t="s">
        <v>1442</v>
      </c>
      <c r="W289" t="s">
        <v>1442</v>
      </c>
    </row>
    <row r="290" spans="1:23" x14ac:dyDescent="0.25">
      <c r="A290" s="39">
        <v>46097.3953553588</v>
      </c>
      <c r="B290" s="40">
        <v>46097</v>
      </c>
      <c r="C290" t="s">
        <v>23</v>
      </c>
      <c r="D290" t="s">
        <v>24</v>
      </c>
      <c r="E290" t="s">
        <v>161</v>
      </c>
      <c r="F290" t="s">
        <v>1442</v>
      </c>
      <c r="G290" t="s">
        <v>1442</v>
      </c>
      <c r="H290" t="s">
        <v>1442</v>
      </c>
      <c r="I290">
        <v>0</v>
      </c>
      <c r="J290">
        <v>0</v>
      </c>
      <c r="K290">
        <v>-307.64999999999998</v>
      </c>
      <c r="L290">
        <v>0</v>
      </c>
      <c r="M290">
        <v>0</v>
      </c>
      <c r="N290" t="s">
        <v>26</v>
      </c>
      <c r="O290">
        <v>0</v>
      </c>
      <c r="P290" t="s">
        <v>1442</v>
      </c>
      <c r="Q290">
        <v>0</v>
      </c>
      <c r="R290" t="s">
        <v>397</v>
      </c>
      <c r="S290" t="s">
        <v>618</v>
      </c>
      <c r="T290" t="s">
        <v>1442</v>
      </c>
      <c r="U290" t="s">
        <v>1442</v>
      </c>
      <c r="V290" t="s">
        <v>1442</v>
      </c>
      <c r="W290" t="s">
        <v>1442</v>
      </c>
    </row>
    <row r="291" spans="1:23" x14ac:dyDescent="0.25">
      <c r="A291" s="39">
        <v>46097.415455544004</v>
      </c>
      <c r="B291" s="40">
        <v>46097</v>
      </c>
      <c r="C291" t="s">
        <v>23</v>
      </c>
      <c r="D291" t="s">
        <v>30</v>
      </c>
      <c r="E291" t="s">
        <v>82</v>
      </c>
      <c r="F291" t="s">
        <v>32</v>
      </c>
      <c r="G291" t="s">
        <v>604</v>
      </c>
      <c r="H291" t="s">
        <v>605</v>
      </c>
      <c r="I291">
        <v>-258</v>
      </c>
      <c r="J291">
        <v>0.64400000000000002</v>
      </c>
      <c r="K291">
        <v>166.15</v>
      </c>
      <c r="L291">
        <v>-1</v>
      </c>
      <c r="M291">
        <v>0</v>
      </c>
      <c r="N291" t="s">
        <v>26</v>
      </c>
      <c r="O291">
        <v>0</v>
      </c>
      <c r="P291" t="s">
        <v>1442</v>
      </c>
      <c r="Q291">
        <v>0</v>
      </c>
      <c r="R291" t="s">
        <v>619</v>
      </c>
      <c r="S291" t="s">
        <v>620</v>
      </c>
      <c r="T291" t="s">
        <v>1442</v>
      </c>
      <c r="U291" t="s">
        <v>1442</v>
      </c>
      <c r="V291" t="s">
        <v>1442</v>
      </c>
      <c r="W291" t="s">
        <v>1442</v>
      </c>
    </row>
    <row r="292" spans="1:23" x14ac:dyDescent="0.25">
      <c r="A292" s="39">
        <v>46097.415455567098</v>
      </c>
      <c r="B292" s="40">
        <v>46097</v>
      </c>
      <c r="C292" t="s">
        <v>23</v>
      </c>
      <c r="D292" t="s">
        <v>30</v>
      </c>
      <c r="E292" t="s">
        <v>82</v>
      </c>
      <c r="F292" t="s">
        <v>32</v>
      </c>
      <c r="G292" t="s">
        <v>604</v>
      </c>
      <c r="H292" t="s">
        <v>605</v>
      </c>
      <c r="I292">
        <v>-0.62068900000000005</v>
      </c>
      <c r="J292">
        <v>0.64400000000000002</v>
      </c>
      <c r="K292">
        <v>0.4</v>
      </c>
      <c r="L292">
        <v>0</v>
      </c>
      <c r="M292">
        <v>0</v>
      </c>
      <c r="N292" t="s">
        <v>26</v>
      </c>
      <c r="O292">
        <v>0</v>
      </c>
      <c r="P292" t="s">
        <v>1442</v>
      </c>
      <c r="Q292">
        <v>0</v>
      </c>
      <c r="R292" t="s">
        <v>621</v>
      </c>
      <c r="S292" t="s">
        <v>622</v>
      </c>
      <c r="T292" t="s">
        <v>1442</v>
      </c>
      <c r="U292" t="s">
        <v>1442</v>
      </c>
      <c r="V292" t="s">
        <v>1442</v>
      </c>
      <c r="W292" t="s">
        <v>1442</v>
      </c>
    </row>
    <row r="293" spans="1:23" x14ac:dyDescent="0.25">
      <c r="A293" s="39">
        <v>46097.417533217602</v>
      </c>
      <c r="B293" s="40">
        <v>46097</v>
      </c>
      <c r="C293" t="s">
        <v>23</v>
      </c>
      <c r="D293" t="s">
        <v>24</v>
      </c>
      <c r="E293" t="s">
        <v>161</v>
      </c>
      <c r="F293" t="s">
        <v>1442</v>
      </c>
      <c r="G293" t="s">
        <v>1442</v>
      </c>
      <c r="H293" t="s">
        <v>1442</v>
      </c>
      <c r="I293">
        <v>0</v>
      </c>
      <c r="J293">
        <v>0</v>
      </c>
      <c r="K293">
        <v>-165.55</v>
      </c>
      <c r="L293">
        <v>0</v>
      </c>
      <c r="M293">
        <v>0</v>
      </c>
      <c r="N293" t="s">
        <v>26</v>
      </c>
      <c r="O293">
        <v>0</v>
      </c>
      <c r="P293" t="s">
        <v>1442</v>
      </c>
      <c r="Q293">
        <v>0</v>
      </c>
      <c r="R293" t="s">
        <v>397</v>
      </c>
      <c r="S293" t="s">
        <v>623</v>
      </c>
      <c r="T293" t="s">
        <v>1442</v>
      </c>
      <c r="U293" t="s">
        <v>1442</v>
      </c>
      <c r="V293" t="s">
        <v>1442</v>
      </c>
      <c r="W293" t="s">
        <v>1442</v>
      </c>
    </row>
    <row r="294" spans="1:23" x14ac:dyDescent="0.25">
      <c r="A294" s="39">
        <v>46098.375788495403</v>
      </c>
      <c r="B294" s="40">
        <v>46098</v>
      </c>
      <c r="C294" t="s">
        <v>23</v>
      </c>
      <c r="D294" t="s">
        <v>30</v>
      </c>
      <c r="E294" t="s">
        <v>31</v>
      </c>
      <c r="F294" t="s">
        <v>32</v>
      </c>
      <c r="G294" t="s">
        <v>604</v>
      </c>
      <c r="H294" t="s">
        <v>605</v>
      </c>
      <c r="I294">
        <v>0.79844899999999996</v>
      </c>
      <c r="J294">
        <v>0.77400000000000002</v>
      </c>
      <c r="K294">
        <v>-0.62</v>
      </c>
      <c r="L294">
        <v>0</v>
      </c>
      <c r="M294">
        <v>0</v>
      </c>
      <c r="N294" t="s">
        <v>26</v>
      </c>
      <c r="O294">
        <v>0</v>
      </c>
      <c r="P294" t="s">
        <v>1442</v>
      </c>
      <c r="Q294">
        <v>0</v>
      </c>
      <c r="R294" t="s">
        <v>624</v>
      </c>
      <c r="S294" t="s">
        <v>625</v>
      </c>
      <c r="T294" t="s">
        <v>1442</v>
      </c>
      <c r="U294" t="s">
        <v>1442</v>
      </c>
      <c r="V294" t="s">
        <v>1442</v>
      </c>
      <c r="W294" t="s">
        <v>1442</v>
      </c>
    </row>
    <row r="295" spans="1:23" x14ac:dyDescent="0.25">
      <c r="A295" s="39">
        <v>46098.375788611098</v>
      </c>
      <c r="B295" s="40">
        <v>46098</v>
      </c>
      <c r="C295" t="s">
        <v>23</v>
      </c>
      <c r="D295" t="s">
        <v>30</v>
      </c>
      <c r="E295" t="s">
        <v>31</v>
      </c>
      <c r="F295" t="s">
        <v>32</v>
      </c>
      <c r="G295" t="s">
        <v>604</v>
      </c>
      <c r="H295" t="s">
        <v>605</v>
      </c>
      <c r="I295">
        <v>193</v>
      </c>
      <c r="J295">
        <v>0.77400000000000002</v>
      </c>
      <c r="K295">
        <v>-149.38</v>
      </c>
      <c r="L295">
        <v>-1</v>
      </c>
      <c r="M295">
        <v>0</v>
      </c>
      <c r="N295" t="s">
        <v>26</v>
      </c>
      <c r="O295">
        <v>0</v>
      </c>
      <c r="P295" t="s">
        <v>1442</v>
      </c>
      <c r="Q295">
        <v>0</v>
      </c>
      <c r="R295" t="s">
        <v>626</v>
      </c>
      <c r="S295" t="s">
        <v>627</v>
      </c>
      <c r="T295" t="s">
        <v>1442</v>
      </c>
      <c r="U295" t="s">
        <v>1442</v>
      </c>
      <c r="V295" t="s">
        <v>1442</v>
      </c>
      <c r="W295" t="s">
        <v>1442</v>
      </c>
    </row>
    <row r="296" spans="1:23" x14ac:dyDescent="0.25">
      <c r="A296" s="39">
        <v>46098.528159502297</v>
      </c>
      <c r="B296" s="40">
        <v>46098</v>
      </c>
      <c r="C296" t="s">
        <v>23</v>
      </c>
      <c r="D296" t="s">
        <v>24</v>
      </c>
      <c r="E296" t="s">
        <v>25</v>
      </c>
      <c r="F296" t="s">
        <v>1442</v>
      </c>
      <c r="G296" t="s">
        <v>1442</v>
      </c>
      <c r="H296" t="s">
        <v>1442</v>
      </c>
      <c r="I296">
        <v>0</v>
      </c>
      <c r="J296">
        <v>0</v>
      </c>
      <c r="K296">
        <v>201</v>
      </c>
      <c r="L296">
        <v>0</v>
      </c>
      <c r="M296">
        <v>0</v>
      </c>
      <c r="N296" t="s">
        <v>26</v>
      </c>
      <c r="O296">
        <v>0</v>
      </c>
      <c r="P296" t="s">
        <v>1442</v>
      </c>
      <c r="Q296">
        <v>0</v>
      </c>
      <c r="R296" t="s">
        <v>246</v>
      </c>
      <c r="S296" t="s">
        <v>628</v>
      </c>
      <c r="T296" t="s">
        <v>1442</v>
      </c>
      <c r="U296" t="s">
        <v>1442</v>
      </c>
      <c r="V296" t="s">
        <v>1442</v>
      </c>
      <c r="W296" t="s">
        <v>1442</v>
      </c>
    </row>
    <row r="297" spans="1:23" x14ac:dyDescent="0.25">
      <c r="A297" s="39">
        <v>46098.375706145802</v>
      </c>
      <c r="B297" s="40">
        <v>46098</v>
      </c>
      <c r="C297" t="s">
        <v>23</v>
      </c>
      <c r="D297" t="s">
        <v>24</v>
      </c>
      <c r="E297" t="s">
        <v>25</v>
      </c>
      <c r="F297" t="s">
        <v>1442</v>
      </c>
      <c r="G297" t="s">
        <v>1442</v>
      </c>
      <c r="H297" t="s">
        <v>1442</v>
      </c>
      <c r="I297">
        <v>0</v>
      </c>
      <c r="J297">
        <v>0</v>
      </c>
      <c r="K297">
        <v>151</v>
      </c>
      <c r="L297">
        <v>0</v>
      </c>
      <c r="M297">
        <v>0</v>
      </c>
      <c r="N297" t="s">
        <v>26</v>
      </c>
      <c r="O297">
        <v>0</v>
      </c>
      <c r="P297" t="s">
        <v>1442</v>
      </c>
      <c r="Q297">
        <v>0</v>
      </c>
      <c r="R297" t="s">
        <v>246</v>
      </c>
      <c r="S297" t="s">
        <v>629</v>
      </c>
      <c r="T297" t="s">
        <v>1442</v>
      </c>
      <c r="U297" t="s">
        <v>1442</v>
      </c>
      <c r="V297" t="s">
        <v>1442</v>
      </c>
      <c r="W297" t="s">
        <v>1442</v>
      </c>
    </row>
    <row r="298" spans="1:23" x14ac:dyDescent="0.25">
      <c r="A298" s="39">
        <v>46098.528281527797</v>
      </c>
      <c r="B298" s="40">
        <v>46098</v>
      </c>
      <c r="C298" t="s">
        <v>23</v>
      </c>
      <c r="D298" t="s">
        <v>30</v>
      </c>
      <c r="E298" t="s">
        <v>31</v>
      </c>
      <c r="F298" t="s">
        <v>32</v>
      </c>
      <c r="G298" t="s">
        <v>590</v>
      </c>
      <c r="H298" t="s">
        <v>591</v>
      </c>
      <c r="I298">
        <v>0.466331</v>
      </c>
      <c r="J298">
        <v>6.3559999999999999</v>
      </c>
      <c r="K298">
        <v>-2.96</v>
      </c>
      <c r="L298">
        <v>0</v>
      </c>
      <c r="M298">
        <v>0</v>
      </c>
      <c r="N298" t="s">
        <v>26</v>
      </c>
      <c r="O298">
        <v>0</v>
      </c>
      <c r="P298" t="s">
        <v>1442</v>
      </c>
      <c r="Q298">
        <v>0</v>
      </c>
      <c r="R298" t="s">
        <v>630</v>
      </c>
      <c r="S298" t="s">
        <v>631</v>
      </c>
      <c r="T298" t="s">
        <v>1442</v>
      </c>
      <c r="U298" t="s">
        <v>1442</v>
      </c>
      <c r="V298" t="s">
        <v>1442</v>
      </c>
      <c r="W298" t="s">
        <v>1442</v>
      </c>
    </row>
    <row r="299" spans="1:23" x14ac:dyDescent="0.25">
      <c r="A299" s="39">
        <v>46098.528281527797</v>
      </c>
      <c r="B299" s="40">
        <v>46098</v>
      </c>
      <c r="C299" t="s">
        <v>23</v>
      </c>
      <c r="D299" t="s">
        <v>30</v>
      </c>
      <c r="E299" t="s">
        <v>31</v>
      </c>
      <c r="F299" t="s">
        <v>32</v>
      </c>
      <c r="G299" t="s">
        <v>590</v>
      </c>
      <c r="H299" t="s">
        <v>591</v>
      </c>
      <c r="I299">
        <v>31</v>
      </c>
      <c r="J299">
        <v>6.3559999999999999</v>
      </c>
      <c r="K299">
        <v>-197.04</v>
      </c>
      <c r="L299">
        <v>-1</v>
      </c>
      <c r="M299">
        <v>0</v>
      </c>
      <c r="N299" t="s">
        <v>26</v>
      </c>
      <c r="O299">
        <v>0</v>
      </c>
      <c r="P299" t="s">
        <v>1442</v>
      </c>
      <c r="Q299">
        <v>0</v>
      </c>
      <c r="R299" t="s">
        <v>632</v>
      </c>
      <c r="S299" t="s">
        <v>633</v>
      </c>
      <c r="T299" t="s">
        <v>1442</v>
      </c>
      <c r="U299" t="s">
        <v>1442</v>
      </c>
      <c r="V299" t="s">
        <v>1442</v>
      </c>
      <c r="W299" t="s">
        <v>1442</v>
      </c>
    </row>
    <row r="300" spans="1:23" x14ac:dyDescent="0.25">
      <c r="A300" s="39">
        <v>46099.321092476901</v>
      </c>
      <c r="B300" s="40">
        <v>46099</v>
      </c>
      <c r="C300" t="s">
        <v>23</v>
      </c>
      <c r="D300" t="s">
        <v>30</v>
      </c>
      <c r="E300" t="s">
        <v>82</v>
      </c>
      <c r="F300" t="s">
        <v>32</v>
      </c>
      <c r="G300" t="s">
        <v>167</v>
      </c>
      <c r="H300" t="s">
        <v>168</v>
      </c>
      <c r="I300">
        <v>-8.8413000000000005E-2</v>
      </c>
      <c r="J300">
        <v>2.6</v>
      </c>
      <c r="K300">
        <v>0.23</v>
      </c>
      <c r="L300">
        <v>0</v>
      </c>
      <c r="M300">
        <v>0</v>
      </c>
      <c r="N300" t="s">
        <v>26</v>
      </c>
      <c r="O300">
        <v>0</v>
      </c>
      <c r="P300" t="s">
        <v>1442</v>
      </c>
      <c r="Q300">
        <v>0</v>
      </c>
      <c r="R300" t="s">
        <v>634</v>
      </c>
      <c r="S300" t="s">
        <v>635</v>
      </c>
      <c r="T300" t="s">
        <v>1442</v>
      </c>
      <c r="U300" t="s">
        <v>1442</v>
      </c>
      <c r="V300" t="s">
        <v>1442</v>
      </c>
      <c r="W300" t="s">
        <v>1442</v>
      </c>
    </row>
    <row r="301" spans="1:23" x14ac:dyDescent="0.25">
      <c r="A301" s="39">
        <v>46099.321092557897</v>
      </c>
      <c r="B301" s="40">
        <v>46099</v>
      </c>
      <c r="C301" t="s">
        <v>23</v>
      </c>
      <c r="D301" t="s">
        <v>30</v>
      </c>
      <c r="E301" t="s">
        <v>82</v>
      </c>
      <c r="F301" t="s">
        <v>32</v>
      </c>
      <c r="G301" t="s">
        <v>167</v>
      </c>
      <c r="H301" t="s">
        <v>168</v>
      </c>
      <c r="I301">
        <v>-108</v>
      </c>
      <c r="J301">
        <v>2.6</v>
      </c>
      <c r="K301">
        <v>280.8</v>
      </c>
      <c r="L301">
        <v>-1</v>
      </c>
      <c r="M301">
        <v>0</v>
      </c>
      <c r="N301" t="s">
        <v>26</v>
      </c>
      <c r="O301">
        <v>0</v>
      </c>
      <c r="P301" t="s">
        <v>1442</v>
      </c>
      <c r="Q301">
        <v>0</v>
      </c>
      <c r="R301" t="s">
        <v>636</v>
      </c>
      <c r="S301" t="s">
        <v>637</v>
      </c>
      <c r="T301" t="s">
        <v>1442</v>
      </c>
      <c r="U301" t="s">
        <v>1442</v>
      </c>
      <c r="V301" t="s">
        <v>1442</v>
      </c>
      <c r="W301" t="s">
        <v>1442</v>
      </c>
    </row>
    <row r="302" spans="1:23" x14ac:dyDescent="0.25">
      <c r="A302" s="39">
        <v>46099.324224155098</v>
      </c>
      <c r="B302" s="40">
        <v>46099</v>
      </c>
      <c r="C302" t="s">
        <v>23</v>
      </c>
      <c r="D302" t="s">
        <v>24</v>
      </c>
      <c r="E302" t="s">
        <v>161</v>
      </c>
      <c r="F302" t="s">
        <v>1442</v>
      </c>
      <c r="G302" t="s">
        <v>1442</v>
      </c>
      <c r="H302" t="s">
        <v>1442</v>
      </c>
      <c r="I302">
        <v>0</v>
      </c>
      <c r="J302">
        <v>0</v>
      </c>
      <c r="K302">
        <v>-280.02999999999997</v>
      </c>
      <c r="L302">
        <v>0</v>
      </c>
      <c r="M302">
        <v>0</v>
      </c>
      <c r="N302" t="s">
        <v>26</v>
      </c>
      <c r="O302">
        <v>0</v>
      </c>
      <c r="P302" t="s">
        <v>1442</v>
      </c>
      <c r="Q302">
        <v>0</v>
      </c>
      <c r="R302" t="s">
        <v>397</v>
      </c>
      <c r="S302" t="s">
        <v>638</v>
      </c>
      <c r="T302" t="s">
        <v>1442</v>
      </c>
      <c r="U302" t="s">
        <v>1442</v>
      </c>
      <c r="V302" t="s">
        <v>1442</v>
      </c>
      <c r="W302" t="s">
        <v>1442</v>
      </c>
    </row>
    <row r="303" spans="1:23" x14ac:dyDescent="0.25">
      <c r="A303" s="39">
        <v>46100.467564861101</v>
      </c>
      <c r="B303" s="40">
        <v>46100</v>
      </c>
      <c r="C303" t="s">
        <v>23</v>
      </c>
      <c r="D303" t="s">
        <v>24</v>
      </c>
      <c r="E303" t="s">
        <v>25</v>
      </c>
      <c r="F303" t="s">
        <v>1442</v>
      </c>
      <c r="G303" t="s">
        <v>1442</v>
      </c>
      <c r="H303" t="s">
        <v>1442</v>
      </c>
      <c r="I303">
        <v>0</v>
      </c>
      <c r="J303">
        <v>0</v>
      </c>
      <c r="K303">
        <v>201</v>
      </c>
      <c r="L303">
        <v>0</v>
      </c>
      <c r="M303">
        <v>0</v>
      </c>
      <c r="N303" t="s">
        <v>26</v>
      </c>
      <c r="O303">
        <v>0</v>
      </c>
      <c r="P303" t="s">
        <v>1442</v>
      </c>
      <c r="Q303">
        <v>0</v>
      </c>
      <c r="R303" t="s">
        <v>246</v>
      </c>
      <c r="S303" t="s">
        <v>639</v>
      </c>
      <c r="T303" t="s">
        <v>1442</v>
      </c>
      <c r="U303" t="s">
        <v>1442</v>
      </c>
      <c r="V303" t="s">
        <v>1442</v>
      </c>
      <c r="W303" t="s">
        <v>1442</v>
      </c>
    </row>
    <row r="304" spans="1:23" x14ac:dyDescent="0.25">
      <c r="A304" s="39">
        <v>46100.4676462153</v>
      </c>
      <c r="B304" s="40">
        <v>46100</v>
      </c>
      <c r="C304" t="s">
        <v>23</v>
      </c>
      <c r="D304" t="s">
        <v>30</v>
      </c>
      <c r="E304" t="s">
        <v>31</v>
      </c>
      <c r="F304" t="s">
        <v>32</v>
      </c>
      <c r="G304" t="s">
        <v>640</v>
      </c>
      <c r="H304" t="s">
        <v>641</v>
      </c>
      <c r="I304">
        <v>20</v>
      </c>
      <c r="J304">
        <v>9.6999999999999993</v>
      </c>
      <c r="K304">
        <v>-194</v>
      </c>
      <c r="L304">
        <v>-1</v>
      </c>
      <c r="M304">
        <v>0</v>
      </c>
      <c r="N304" t="s">
        <v>26</v>
      </c>
      <c r="O304">
        <v>0</v>
      </c>
      <c r="P304" t="s">
        <v>1442</v>
      </c>
      <c r="Q304">
        <v>0</v>
      </c>
      <c r="R304" t="s">
        <v>642</v>
      </c>
      <c r="S304" t="s">
        <v>643</v>
      </c>
      <c r="T304" t="s">
        <v>1442</v>
      </c>
      <c r="U304" t="s">
        <v>1442</v>
      </c>
      <c r="V304" t="s">
        <v>1442</v>
      </c>
      <c r="W304" t="s">
        <v>1442</v>
      </c>
    </row>
    <row r="305" spans="1:23" x14ac:dyDescent="0.25">
      <c r="A305" s="39">
        <v>46100.467646249999</v>
      </c>
      <c r="B305" s="40">
        <v>46100</v>
      </c>
      <c r="C305" t="s">
        <v>23</v>
      </c>
      <c r="D305" t="s">
        <v>30</v>
      </c>
      <c r="E305" t="s">
        <v>31</v>
      </c>
      <c r="F305" t="s">
        <v>32</v>
      </c>
      <c r="G305" t="s">
        <v>640</v>
      </c>
      <c r="H305" t="s">
        <v>641</v>
      </c>
      <c r="I305">
        <v>0.61855599999999999</v>
      </c>
      <c r="J305">
        <v>9.6999999999999993</v>
      </c>
      <c r="K305">
        <v>-6</v>
      </c>
      <c r="L305">
        <v>0</v>
      </c>
      <c r="M305">
        <v>0</v>
      </c>
      <c r="N305" t="s">
        <v>26</v>
      </c>
      <c r="O305">
        <v>0</v>
      </c>
      <c r="P305" t="s">
        <v>1442</v>
      </c>
      <c r="Q305">
        <v>0</v>
      </c>
      <c r="R305" t="s">
        <v>644</v>
      </c>
      <c r="S305" t="s">
        <v>645</v>
      </c>
      <c r="T305" t="s">
        <v>1442</v>
      </c>
      <c r="U305" t="s">
        <v>1442</v>
      </c>
      <c r="V305" t="s">
        <v>1442</v>
      </c>
      <c r="W305" t="s">
        <v>1442</v>
      </c>
    </row>
    <row r="306" spans="1:23" x14ac:dyDescent="0.25">
      <c r="A306" s="39">
        <v>46100.653669432897</v>
      </c>
      <c r="B306" s="40">
        <v>46100</v>
      </c>
      <c r="C306" t="s">
        <v>23</v>
      </c>
      <c r="D306" t="s">
        <v>24</v>
      </c>
      <c r="E306" t="s">
        <v>25</v>
      </c>
      <c r="F306" t="s">
        <v>1442</v>
      </c>
      <c r="G306" t="s">
        <v>1442</v>
      </c>
      <c r="H306" t="s">
        <v>1442</v>
      </c>
      <c r="I306">
        <v>0</v>
      </c>
      <c r="J306">
        <v>0</v>
      </c>
      <c r="K306">
        <v>51</v>
      </c>
      <c r="L306">
        <v>0</v>
      </c>
      <c r="M306">
        <v>0</v>
      </c>
      <c r="N306" t="s">
        <v>26</v>
      </c>
      <c r="O306">
        <v>0</v>
      </c>
      <c r="P306" t="s">
        <v>1442</v>
      </c>
      <c r="Q306">
        <v>0</v>
      </c>
      <c r="R306" t="s">
        <v>246</v>
      </c>
      <c r="S306" t="s">
        <v>646</v>
      </c>
      <c r="T306" t="s">
        <v>1442</v>
      </c>
      <c r="U306" t="s">
        <v>1442</v>
      </c>
      <c r="V306" t="s">
        <v>1442</v>
      </c>
      <c r="W306" t="s">
        <v>1442</v>
      </c>
    </row>
    <row r="307" spans="1:23" x14ac:dyDescent="0.25">
      <c r="A307" s="39">
        <v>46100.757572245398</v>
      </c>
      <c r="B307" s="40">
        <v>46100</v>
      </c>
      <c r="C307" t="s">
        <v>23</v>
      </c>
      <c r="D307" t="s">
        <v>24</v>
      </c>
      <c r="E307" t="s">
        <v>25</v>
      </c>
      <c r="F307" t="s">
        <v>1442</v>
      </c>
      <c r="G307" t="s">
        <v>1442</v>
      </c>
      <c r="H307" t="s">
        <v>1442</v>
      </c>
      <c r="I307">
        <v>0</v>
      </c>
      <c r="J307">
        <v>0</v>
      </c>
      <c r="K307">
        <v>1</v>
      </c>
      <c r="L307">
        <v>0</v>
      </c>
      <c r="M307">
        <v>0</v>
      </c>
      <c r="N307" t="s">
        <v>26</v>
      </c>
      <c r="O307">
        <v>0</v>
      </c>
      <c r="P307" t="s">
        <v>1442</v>
      </c>
      <c r="Q307">
        <v>0</v>
      </c>
      <c r="R307" t="s">
        <v>647</v>
      </c>
      <c r="S307" t="s">
        <v>648</v>
      </c>
      <c r="T307" t="s">
        <v>1442</v>
      </c>
      <c r="U307" t="s">
        <v>1442</v>
      </c>
      <c r="V307" t="s">
        <v>1442</v>
      </c>
      <c r="W307" t="s">
        <v>1442</v>
      </c>
    </row>
    <row r="308" spans="1:23" x14ac:dyDescent="0.25">
      <c r="A308" s="39">
        <v>46100.753226388901</v>
      </c>
      <c r="B308" s="40">
        <v>46100</v>
      </c>
      <c r="C308" t="s">
        <v>23</v>
      </c>
      <c r="D308" t="s">
        <v>24</v>
      </c>
      <c r="E308" t="s">
        <v>161</v>
      </c>
      <c r="F308" t="s">
        <v>1442</v>
      </c>
      <c r="G308" t="s">
        <v>1442</v>
      </c>
      <c r="H308" t="s">
        <v>1442</v>
      </c>
      <c r="I308">
        <v>0</v>
      </c>
      <c r="J308">
        <v>0</v>
      </c>
      <c r="K308">
        <v>-1</v>
      </c>
      <c r="L308">
        <v>0</v>
      </c>
      <c r="M308">
        <v>0</v>
      </c>
      <c r="N308" t="s">
        <v>26</v>
      </c>
      <c r="O308">
        <v>0</v>
      </c>
      <c r="P308" t="s">
        <v>1442</v>
      </c>
      <c r="Q308">
        <v>0</v>
      </c>
      <c r="R308" t="s">
        <v>649</v>
      </c>
      <c r="S308" t="s">
        <v>650</v>
      </c>
      <c r="T308" t="s">
        <v>1442</v>
      </c>
      <c r="U308" t="s">
        <v>1442</v>
      </c>
      <c r="V308" t="s">
        <v>1442</v>
      </c>
      <c r="W308" t="s">
        <v>1442</v>
      </c>
    </row>
    <row r="309" spans="1:23" x14ac:dyDescent="0.25">
      <c r="A309" s="39">
        <v>46101.314961030097</v>
      </c>
      <c r="B309" s="40">
        <v>46101</v>
      </c>
      <c r="C309" t="s">
        <v>23</v>
      </c>
      <c r="D309" t="s">
        <v>30</v>
      </c>
      <c r="E309" t="s">
        <v>31</v>
      </c>
      <c r="F309" t="s">
        <v>32</v>
      </c>
      <c r="G309" t="s">
        <v>154</v>
      </c>
      <c r="H309" t="s">
        <v>155</v>
      </c>
      <c r="I309">
        <v>0.57398099999999996</v>
      </c>
      <c r="J309">
        <v>13.99</v>
      </c>
      <c r="K309">
        <v>-8.0299999999999994</v>
      </c>
      <c r="L309">
        <v>0</v>
      </c>
      <c r="M309">
        <v>0</v>
      </c>
      <c r="N309" t="s">
        <v>26</v>
      </c>
      <c r="O309">
        <v>0</v>
      </c>
      <c r="P309" t="s">
        <v>1442</v>
      </c>
      <c r="Q309">
        <v>0</v>
      </c>
      <c r="R309" t="s">
        <v>651</v>
      </c>
      <c r="S309" t="s">
        <v>652</v>
      </c>
      <c r="T309" t="s">
        <v>1442</v>
      </c>
      <c r="U309" t="s">
        <v>1442</v>
      </c>
      <c r="V309" t="s">
        <v>1442</v>
      </c>
      <c r="W309" t="s">
        <v>1442</v>
      </c>
    </row>
    <row r="310" spans="1:23" x14ac:dyDescent="0.25">
      <c r="A310" s="39">
        <v>46101.314961041702</v>
      </c>
      <c r="B310" s="40">
        <v>46101</v>
      </c>
      <c r="C310" t="s">
        <v>23</v>
      </c>
      <c r="D310" t="s">
        <v>30</v>
      </c>
      <c r="E310" t="s">
        <v>31</v>
      </c>
      <c r="F310" t="s">
        <v>32</v>
      </c>
      <c r="G310" t="s">
        <v>154</v>
      </c>
      <c r="H310" t="s">
        <v>155</v>
      </c>
      <c r="I310">
        <v>3</v>
      </c>
      <c r="J310">
        <v>13.99</v>
      </c>
      <c r="K310">
        <v>-41.97</v>
      </c>
      <c r="L310">
        <v>-1</v>
      </c>
      <c r="M310">
        <v>0</v>
      </c>
      <c r="N310" t="s">
        <v>26</v>
      </c>
      <c r="O310">
        <v>0</v>
      </c>
      <c r="P310" t="s">
        <v>1442</v>
      </c>
      <c r="Q310">
        <v>0</v>
      </c>
      <c r="R310" t="s">
        <v>653</v>
      </c>
      <c r="S310" t="s">
        <v>654</v>
      </c>
      <c r="T310" t="s">
        <v>1442</v>
      </c>
      <c r="U310" t="s">
        <v>1442</v>
      </c>
      <c r="V310" t="s">
        <v>1442</v>
      </c>
      <c r="W310" t="s">
        <v>1442</v>
      </c>
    </row>
    <row r="311" spans="1:23" x14ac:dyDescent="0.25">
      <c r="A311" s="39">
        <v>46101.477045185202</v>
      </c>
      <c r="B311" s="40">
        <v>46101</v>
      </c>
      <c r="C311" t="s">
        <v>23</v>
      </c>
      <c r="D311" t="s">
        <v>24</v>
      </c>
      <c r="E311" t="s">
        <v>25</v>
      </c>
      <c r="F311" t="s">
        <v>1442</v>
      </c>
      <c r="G311" t="s">
        <v>1442</v>
      </c>
      <c r="H311" t="s">
        <v>1442</v>
      </c>
      <c r="I311">
        <v>0</v>
      </c>
      <c r="J311">
        <v>0</v>
      </c>
      <c r="K311">
        <v>260</v>
      </c>
      <c r="L311">
        <v>0</v>
      </c>
      <c r="M311">
        <v>0</v>
      </c>
      <c r="N311" t="s">
        <v>26</v>
      </c>
      <c r="O311">
        <v>0</v>
      </c>
      <c r="P311" t="s">
        <v>1442</v>
      </c>
      <c r="Q311">
        <v>0</v>
      </c>
      <c r="R311" t="s">
        <v>246</v>
      </c>
      <c r="S311" t="s">
        <v>655</v>
      </c>
      <c r="T311" t="s">
        <v>1442</v>
      </c>
      <c r="U311" t="s">
        <v>1442</v>
      </c>
      <c r="V311" t="s">
        <v>1442</v>
      </c>
      <c r="W311" t="s">
        <v>1442</v>
      </c>
    </row>
    <row r="312" spans="1:23" x14ac:dyDescent="0.25">
      <c r="A312" s="39">
        <v>46104.335324479202</v>
      </c>
      <c r="B312" s="40">
        <v>46104</v>
      </c>
      <c r="C312" t="s">
        <v>23</v>
      </c>
      <c r="D312" t="s">
        <v>30</v>
      </c>
      <c r="E312" t="s">
        <v>31</v>
      </c>
      <c r="F312" t="s">
        <v>464</v>
      </c>
      <c r="G312" t="s">
        <v>526</v>
      </c>
      <c r="H312" t="s">
        <v>527</v>
      </c>
      <c r="I312">
        <v>4.1584000000000003E-2</v>
      </c>
      <c r="J312">
        <v>601.24</v>
      </c>
      <c r="K312">
        <v>-25</v>
      </c>
      <c r="L312">
        <v>-1</v>
      </c>
      <c r="M312">
        <v>0</v>
      </c>
      <c r="N312" t="s">
        <v>26</v>
      </c>
      <c r="O312">
        <v>0</v>
      </c>
      <c r="P312" t="s">
        <v>1442</v>
      </c>
      <c r="Q312">
        <v>0</v>
      </c>
      <c r="R312" t="s">
        <v>656</v>
      </c>
      <c r="S312" t="s">
        <v>657</v>
      </c>
      <c r="T312" t="s">
        <v>1442</v>
      </c>
      <c r="U312" t="s">
        <v>1442</v>
      </c>
      <c r="V312" t="s">
        <v>1442</v>
      </c>
      <c r="W312" t="s">
        <v>1442</v>
      </c>
    </row>
    <row r="313" spans="1:23" x14ac:dyDescent="0.25">
      <c r="A313" s="39">
        <v>46104.337399930599</v>
      </c>
      <c r="B313" s="40">
        <v>46104</v>
      </c>
      <c r="C313" t="s">
        <v>23</v>
      </c>
      <c r="D313" t="s">
        <v>24</v>
      </c>
      <c r="E313" t="s">
        <v>25</v>
      </c>
      <c r="F313" t="s">
        <v>1442</v>
      </c>
      <c r="G313" t="s">
        <v>1442</v>
      </c>
      <c r="H313" t="s">
        <v>1442</v>
      </c>
      <c r="I313">
        <v>0</v>
      </c>
      <c r="J313">
        <v>0</v>
      </c>
      <c r="K313">
        <v>27</v>
      </c>
      <c r="L313">
        <v>0</v>
      </c>
      <c r="M313">
        <v>0</v>
      </c>
      <c r="N313" t="s">
        <v>26</v>
      </c>
      <c r="O313">
        <v>0</v>
      </c>
      <c r="P313" t="s">
        <v>1442</v>
      </c>
      <c r="Q313">
        <v>0</v>
      </c>
      <c r="R313" t="s">
        <v>647</v>
      </c>
      <c r="S313" t="s">
        <v>658</v>
      </c>
      <c r="T313" t="s">
        <v>1442</v>
      </c>
      <c r="U313" t="s">
        <v>1442</v>
      </c>
      <c r="V313" t="s">
        <v>1442</v>
      </c>
      <c r="W313" t="s">
        <v>1442</v>
      </c>
    </row>
    <row r="314" spans="1:23" x14ac:dyDescent="0.25">
      <c r="A314" s="39">
        <v>46104.337816701402</v>
      </c>
      <c r="B314" s="40">
        <v>46104</v>
      </c>
      <c r="C314" t="s">
        <v>23</v>
      </c>
      <c r="D314" t="s">
        <v>30</v>
      </c>
      <c r="E314" t="s">
        <v>31</v>
      </c>
      <c r="F314" t="s">
        <v>464</v>
      </c>
      <c r="G314" t="s">
        <v>526</v>
      </c>
      <c r="H314" t="s">
        <v>527</v>
      </c>
      <c r="I314">
        <v>0.43041800000000002</v>
      </c>
      <c r="J314">
        <v>601.74</v>
      </c>
      <c r="K314">
        <v>-259</v>
      </c>
      <c r="L314">
        <v>-1</v>
      </c>
      <c r="M314">
        <v>0</v>
      </c>
      <c r="N314" t="s">
        <v>26</v>
      </c>
      <c r="O314">
        <v>0</v>
      </c>
      <c r="P314" t="s">
        <v>1442</v>
      </c>
      <c r="Q314">
        <v>0</v>
      </c>
      <c r="R314" t="s">
        <v>659</v>
      </c>
      <c r="S314" t="s">
        <v>660</v>
      </c>
      <c r="T314" t="s">
        <v>1442</v>
      </c>
      <c r="U314" t="s">
        <v>1442</v>
      </c>
      <c r="V314" t="s">
        <v>1442</v>
      </c>
      <c r="W314" t="s">
        <v>1442</v>
      </c>
    </row>
    <row r="315" spans="1:23" x14ac:dyDescent="0.25">
      <c r="A315" s="39">
        <v>46104.3381820949</v>
      </c>
      <c r="B315" s="40">
        <v>46104</v>
      </c>
      <c r="C315" t="s">
        <v>23</v>
      </c>
      <c r="D315" t="s">
        <v>24</v>
      </c>
      <c r="E315" t="s">
        <v>161</v>
      </c>
      <c r="F315" t="s">
        <v>1442</v>
      </c>
      <c r="G315" t="s">
        <v>1442</v>
      </c>
      <c r="H315" t="s">
        <v>1442</v>
      </c>
      <c r="I315">
        <v>0</v>
      </c>
      <c r="J315">
        <v>0</v>
      </c>
      <c r="K315">
        <v>-1</v>
      </c>
      <c r="L315">
        <v>0</v>
      </c>
      <c r="M315">
        <v>0</v>
      </c>
      <c r="N315" t="s">
        <v>26</v>
      </c>
      <c r="O315">
        <v>0</v>
      </c>
      <c r="P315" t="s">
        <v>1442</v>
      </c>
      <c r="Q315">
        <v>0</v>
      </c>
      <c r="R315" t="s">
        <v>661</v>
      </c>
      <c r="S315" t="s">
        <v>662</v>
      </c>
      <c r="T315" t="s">
        <v>1442</v>
      </c>
      <c r="U315" t="s">
        <v>1442</v>
      </c>
      <c r="V315" t="s">
        <v>1442</v>
      </c>
      <c r="W315" t="s">
        <v>1442</v>
      </c>
    </row>
    <row r="316" spans="1:23" x14ac:dyDescent="0.25">
      <c r="A316" s="39">
        <v>46107.916021377299</v>
      </c>
      <c r="B316" s="40">
        <v>46107</v>
      </c>
      <c r="C316" t="s">
        <v>23</v>
      </c>
      <c r="D316" t="s">
        <v>24</v>
      </c>
      <c r="E316" t="s">
        <v>25</v>
      </c>
      <c r="F316" t="s">
        <v>1442</v>
      </c>
      <c r="G316" t="s">
        <v>1442</v>
      </c>
      <c r="H316" t="s">
        <v>1442</v>
      </c>
      <c r="I316">
        <v>0</v>
      </c>
      <c r="J316">
        <v>0</v>
      </c>
      <c r="K316">
        <v>201</v>
      </c>
      <c r="L316">
        <v>0</v>
      </c>
      <c r="M316">
        <v>0</v>
      </c>
      <c r="N316" t="s">
        <v>26</v>
      </c>
      <c r="O316">
        <v>0</v>
      </c>
      <c r="P316" t="s">
        <v>1442</v>
      </c>
      <c r="Q316">
        <v>0</v>
      </c>
      <c r="R316" t="s">
        <v>647</v>
      </c>
      <c r="S316" t="s">
        <v>663</v>
      </c>
      <c r="T316" t="s">
        <v>1442</v>
      </c>
      <c r="U316" t="s">
        <v>1442</v>
      </c>
      <c r="V316" t="s">
        <v>1442</v>
      </c>
      <c r="W316" t="s">
        <v>1442</v>
      </c>
    </row>
    <row r="317" spans="1:23" x14ac:dyDescent="0.25">
      <c r="A317" s="39">
        <v>46107.919377141203</v>
      </c>
      <c r="B317" s="40">
        <v>46107</v>
      </c>
      <c r="C317" t="s">
        <v>23</v>
      </c>
      <c r="D317" t="s">
        <v>30</v>
      </c>
      <c r="E317" t="s">
        <v>31</v>
      </c>
      <c r="F317" t="s">
        <v>32</v>
      </c>
      <c r="G317" t="s">
        <v>664</v>
      </c>
      <c r="H317" t="s">
        <v>665</v>
      </c>
      <c r="I317">
        <v>26</v>
      </c>
      <c r="J317">
        <v>7.5979999999999999</v>
      </c>
      <c r="K317">
        <v>-197.55</v>
      </c>
      <c r="L317">
        <v>-1</v>
      </c>
      <c r="M317">
        <v>0</v>
      </c>
      <c r="N317" t="s">
        <v>26</v>
      </c>
      <c r="O317">
        <v>0</v>
      </c>
      <c r="P317" t="s">
        <v>1442</v>
      </c>
      <c r="Q317">
        <v>0</v>
      </c>
      <c r="R317" t="s">
        <v>666</v>
      </c>
      <c r="S317" t="s">
        <v>667</v>
      </c>
      <c r="T317" t="s">
        <v>1442</v>
      </c>
      <c r="U317" t="s">
        <v>1442</v>
      </c>
      <c r="V317" t="s">
        <v>1442</v>
      </c>
      <c r="W317" t="s">
        <v>1442</v>
      </c>
    </row>
    <row r="318" spans="1:23" x14ac:dyDescent="0.25">
      <c r="A318" s="39">
        <v>46107.919377141203</v>
      </c>
      <c r="B318" s="40">
        <v>46107</v>
      </c>
      <c r="C318" t="s">
        <v>23</v>
      </c>
      <c r="D318" t="s">
        <v>30</v>
      </c>
      <c r="E318" t="s">
        <v>31</v>
      </c>
      <c r="F318" t="s">
        <v>32</v>
      </c>
      <c r="G318" t="s">
        <v>664</v>
      </c>
      <c r="H318" t="s">
        <v>665</v>
      </c>
      <c r="I318">
        <v>0.322716</v>
      </c>
      <c r="J318">
        <v>7.5979999999999999</v>
      </c>
      <c r="K318">
        <v>-2.4500000000000002</v>
      </c>
      <c r="L318">
        <v>0</v>
      </c>
      <c r="M318">
        <v>0</v>
      </c>
      <c r="N318" t="s">
        <v>26</v>
      </c>
      <c r="O318">
        <v>0</v>
      </c>
      <c r="P318" t="s">
        <v>1442</v>
      </c>
      <c r="Q318">
        <v>0</v>
      </c>
      <c r="R318" t="s">
        <v>668</v>
      </c>
      <c r="S318" t="s">
        <v>669</v>
      </c>
      <c r="T318" t="s">
        <v>1442</v>
      </c>
      <c r="U318" t="s">
        <v>1442</v>
      </c>
      <c r="V318" t="s">
        <v>1442</v>
      </c>
      <c r="W318" t="s">
        <v>1442</v>
      </c>
    </row>
    <row r="319" spans="1:23" x14ac:dyDescent="0.25">
      <c r="A319" s="39">
        <v>46107.9270930208</v>
      </c>
      <c r="B319" s="40">
        <v>46107</v>
      </c>
      <c r="C319" t="s">
        <v>23</v>
      </c>
      <c r="D319" t="s">
        <v>24</v>
      </c>
      <c r="E319" t="s">
        <v>25</v>
      </c>
      <c r="F319" t="s">
        <v>1442</v>
      </c>
      <c r="G319" t="s">
        <v>1442</v>
      </c>
      <c r="H319" t="s">
        <v>1442</v>
      </c>
      <c r="I319">
        <v>0</v>
      </c>
      <c r="J319">
        <v>0</v>
      </c>
      <c r="K319">
        <v>50</v>
      </c>
      <c r="L319">
        <v>0</v>
      </c>
      <c r="M319">
        <v>0</v>
      </c>
      <c r="N319" t="s">
        <v>26</v>
      </c>
      <c r="O319">
        <v>0</v>
      </c>
      <c r="P319" t="s">
        <v>1442</v>
      </c>
      <c r="Q319">
        <v>0</v>
      </c>
      <c r="R319" t="s">
        <v>647</v>
      </c>
      <c r="S319" t="s">
        <v>670</v>
      </c>
      <c r="T319" t="s">
        <v>1442</v>
      </c>
      <c r="U319" t="s">
        <v>1442</v>
      </c>
      <c r="V319" t="s">
        <v>1442</v>
      </c>
      <c r="W319" t="s">
        <v>1442</v>
      </c>
    </row>
    <row r="320" spans="1:23" x14ac:dyDescent="0.25">
      <c r="A320" s="39">
        <v>46107.927454513898</v>
      </c>
      <c r="B320" s="40">
        <v>46107</v>
      </c>
      <c r="C320" t="s">
        <v>23</v>
      </c>
      <c r="D320" t="s">
        <v>30</v>
      </c>
      <c r="E320" t="s">
        <v>31</v>
      </c>
      <c r="F320" t="s">
        <v>32</v>
      </c>
      <c r="G320" t="s">
        <v>604</v>
      </c>
      <c r="H320" t="s">
        <v>605</v>
      </c>
      <c r="I320">
        <v>3.2258000000000002E-2</v>
      </c>
      <c r="J320">
        <v>0.62</v>
      </c>
      <c r="K320">
        <v>-0.02</v>
      </c>
      <c r="L320">
        <v>0</v>
      </c>
      <c r="M320">
        <v>0</v>
      </c>
      <c r="N320" t="s">
        <v>26</v>
      </c>
      <c r="O320">
        <v>0</v>
      </c>
      <c r="P320" t="s">
        <v>1442</v>
      </c>
      <c r="Q320">
        <v>0</v>
      </c>
      <c r="R320" t="s">
        <v>671</v>
      </c>
      <c r="S320" t="s">
        <v>672</v>
      </c>
      <c r="T320" t="s">
        <v>1442</v>
      </c>
      <c r="U320" t="s">
        <v>1442</v>
      </c>
      <c r="V320" t="s">
        <v>1442</v>
      </c>
      <c r="W320" t="s">
        <v>1442</v>
      </c>
    </row>
    <row r="321" spans="1:23" x14ac:dyDescent="0.25">
      <c r="A321" s="39">
        <v>46107.927454525503</v>
      </c>
      <c r="B321" s="40">
        <v>46107</v>
      </c>
      <c r="C321" t="s">
        <v>23</v>
      </c>
      <c r="D321" t="s">
        <v>30</v>
      </c>
      <c r="E321" t="s">
        <v>31</v>
      </c>
      <c r="F321" t="s">
        <v>32</v>
      </c>
      <c r="G321" t="s">
        <v>604</v>
      </c>
      <c r="H321" t="s">
        <v>605</v>
      </c>
      <c r="I321">
        <v>79</v>
      </c>
      <c r="J321">
        <v>0.62</v>
      </c>
      <c r="K321">
        <v>-48.98</v>
      </c>
      <c r="L321">
        <v>-1</v>
      </c>
      <c r="M321">
        <v>0</v>
      </c>
      <c r="N321" t="s">
        <v>26</v>
      </c>
      <c r="O321">
        <v>0</v>
      </c>
      <c r="P321" t="s">
        <v>1442</v>
      </c>
      <c r="Q321">
        <v>0</v>
      </c>
      <c r="R321" t="s">
        <v>673</v>
      </c>
      <c r="S321" t="s">
        <v>674</v>
      </c>
      <c r="T321" t="s">
        <v>1442</v>
      </c>
      <c r="U321" t="s">
        <v>1442</v>
      </c>
      <c r="V321" t="s">
        <v>1442</v>
      </c>
      <c r="W321" t="s">
        <v>1442</v>
      </c>
    </row>
    <row r="322" spans="1:23" x14ac:dyDescent="0.25">
      <c r="A322" s="39">
        <v>46107.950439652799</v>
      </c>
      <c r="B322" s="40">
        <v>46107</v>
      </c>
      <c r="C322" t="s">
        <v>23</v>
      </c>
      <c r="D322" t="s">
        <v>24</v>
      </c>
      <c r="E322" t="s">
        <v>25</v>
      </c>
      <c r="F322" t="s">
        <v>1442</v>
      </c>
      <c r="G322" t="s">
        <v>1442</v>
      </c>
      <c r="H322" t="s">
        <v>1442</v>
      </c>
      <c r="I322">
        <v>0</v>
      </c>
      <c r="J322">
        <v>0</v>
      </c>
      <c r="K322">
        <v>151</v>
      </c>
      <c r="L322">
        <v>0</v>
      </c>
      <c r="M322">
        <v>0</v>
      </c>
      <c r="N322" t="s">
        <v>26</v>
      </c>
      <c r="O322">
        <v>0</v>
      </c>
      <c r="P322" t="s">
        <v>1442</v>
      </c>
      <c r="Q322">
        <v>0</v>
      </c>
      <c r="R322" t="s">
        <v>246</v>
      </c>
      <c r="S322" t="s">
        <v>675</v>
      </c>
      <c r="T322" t="s">
        <v>1442</v>
      </c>
      <c r="U322" t="s">
        <v>1442</v>
      </c>
      <c r="V322" t="s">
        <v>1442</v>
      </c>
      <c r="W322" t="s">
        <v>1442</v>
      </c>
    </row>
    <row r="323" spans="1:23" x14ac:dyDescent="0.25">
      <c r="A323" s="39">
        <v>46108.3137487153</v>
      </c>
      <c r="B323" s="40">
        <v>46108</v>
      </c>
      <c r="C323" t="s">
        <v>23</v>
      </c>
      <c r="D323" t="s">
        <v>30</v>
      </c>
      <c r="E323" t="s">
        <v>31</v>
      </c>
      <c r="F323" t="s">
        <v>464</v>
      </c>
      <c r="G323" t="s">
        <v>465</v>
      </c>
      <c r="H323" t="s">
        <v>466</v>
      </c>
      <c r="I323">
        <v>0.37627300000000002</v>
      </c>
      <c r="J323">
        <v>108.99</v>
      </c>
      <c r="K323">
        <v>-41.01</v>
      </c>
      <c r="L323">
        <v>0</v>
      </c>
      <c r="M323">
        <v>0</v>
      </c>
      <c r="N323" t="s">
        <v>26</v>
      </c>
      <c r="O323">
        <v>0</v>
      </c>
      <c r="P323" t="s">
        <v>1442</v>
      </c>
      <c r="Q323">
        <v>0</v>
      </c>
      <c r="R323" t="s">
        <v>676</v>
      </c>
      <c r="S323" t="s">
        <v>677</v>
      </c>
      <c r="T323" t="s">
        <v>1442</v>
      </c>
      <c r="U323" t="s">
        <v>1442</v>
      </c>
      <c r="V323" t="s">
        <v>1442</v>
      </c>
      <c r="W323" t="s">
        <v>1442</v>
      </c>
    </row>
    <row r="324" spans="1:23" x14ac:dyDescent="0.25">
      <c r="A324" s="39">
        <v>46108.313748726898</v>
      </c>
      <c r="B324" s="40">
        <v>46108</v>
      </c>
      <c r="C324" t="s">
        <v>23</v>
      </c>
      <c r="D324" t="s">
        <v>30</v>
      </c>
      <c r="E324" t="s">
        <v>31</v>
      </c>
      <c r="F324" t="s">
        <v>464</v>
      </c>
      <c r="G324" t="s">
        <v>465</v>
      </c>
      <c r="H324" t="s">
        <v>466</v>
      </c>
      <c r="I324">
        <v>1</v>
      </c>
      <c r="J324">
        <v>108.99</v>
      </c>
      <c r="K324">
        <v>-108.99</v>
      </c>
      <c r="L324">
        <v>-1</v>
      </c>
      <c r="M324">
        <v>0</v>
      </c>
      <c r="N324" t="s">
        <v>26</v>
      </c>
      <c r="O324">
        <v>0</v>
      </c>
      <c r="P324" t="s">
        <v>1442</v>
      </c>
      <c r="Q324">
        <v>0</v>
      </c>
      <c r="R324" t="s">
        <v>469</v>
      </c>
      <c r="S324" t="s">
        <v>678</v>
      </c>
      <c r="T324" t="s">
        <v>1442</v>
      </c>
      <c r="U324" t="s">
        <v>1442</v>
      </c>
      <c r="V324" t="s">
        <v>1442</v>
      </c>
      <c r="W324" t="s">
        <v>1442</v>
      </c>
    </row>
    <row r="325" spans="1:23" x14ac:dyDescent="0.25">
      <c r="A325" s="39">
        <v>46108.4665267245</v>
      </c>
      <c r="B325" s="40">
        <v>46108</v>
      </c>
      <c r="C325" t="s">
        <v>23</v>
      </c>
      <c r="D325" t="s">
        <v>24</v>
      </c>
      <c r="E325" t="s">
        <v>25</v>
      </c>
      <c r="F325" t="s">
        <v>1442</v>
      </c>
      <c r="G325" t="s">
        <v>1442</v>
      </c>
      <c r="H325" t="s">
        <v>1442</v>
      </c>
      <c r="I325">
        <v>0</v>
      </c>
      <c r="J325">
        <v>0</v>
      </c>
      <c r="K325">
        <v>202</v>
      </c>
      <c r="L325">
        <v>0</v>
      </c>
      <c r="M325">
        <v>0</v>
      </c>
      <c r="N325" t="s">
        <v>26</v>
      </c>
      <c r="O325">
        <v>0</v>
      </c>
      <c r="P325" t="s">
        <v>1442</v>
      </c>
      <c r="Q325">
        <v>0</v>
      </c>
      <c r="R325" t="s">
        <v>246</v>
      </c>
      <c r="S325" t="s">
        <v>679</v>
      </c>
      <c r="T325" t="s">
        <v>1442</v>
      </c>
      <c r="U325" t="s">
        <v>1442</v>
      </c>
      <c r="V325" t="s">
        <v>1442</v>
      </c>
      <c r="W325" t="s">
        <v>1442</v>
      </c>
    </row>
    <row r="326" spans="1:23" x14ac:dyDescent="0.25">
      <c r="A326" s="39">
        <v>46111.420398078699</v>
      </c>
      <c r="B326" s="40">
        <v>46111</v>
      </c>
      <c r="C326" t="s">
        <v>23</v>
      </c>
      <c r="D326" t="s">
        <v>24</v>
      </c>
      <c r="E326" t="s">
        <v>161</v>
      </c>
      <c r="F326" t="s">
        <v>1442</v>
      </c>
      <c r="G326" t="s">
        <v>1442</v>
      </c>
      <c r="H326" t="s">
        <v>1442</v>
      </c>
      <c r="I326">
        <v>0</v>
      </c>
      <c r="J326">
        <v>0</v>
      </c>
      <c r="K326">
        <v>-202</v>
      </c>
      <c r="L326">
        <v>0</v>
      </c>
      <c r="M326">
        <v>0</v>
      </c>
      <c r="N326" t="s">
        <v>26</v>
      </c>
      <c r="O326">
        <v>0</v>
      </c>
      <c r="P326" t="s">
        <v>1442</v>
      </c>
      <c r="Q326">
        <v>0</v>
      </c>
      <c r="R326" t="s">
        <v>397</v>
      </c>
      <c r="S326" t="s">
        <v>680</v>
      </c>
      <c r="T326" t="s">
        <v>1442</v>
      </c>
      <c r="U326" t="s">
        <v>1442</v>
      </c>
      <c r="V326" t="s">
        <v>1442</v>
      </c>
      <c r="W326" t="s">
        <v>1442</v>
      </c>
    </row>
    <row r="327" spans="1:23" x14ac:dyDescent="0.25">
      <c r="A327" s="39">
        <v>46114.470872835598</v>
      </c>
      <c r="B327" s="40">
        <v>46114</v>
      </c>
      <c r="C327" t="s">
        <v>23</v>
      </c>
      <c r="D327" t="s">
        <v>30</v>
      </c>
      <c r="E327" t="s">
        <v>31</v>
      </c>
      <c r="F327" t="s">
        <v>64</v>
      </c>
      <c r="G327" t="s">
        <v>107</v>
      </c>
      <c r="H327" t="s">
        <v>108</v>
      </c>
      <c r="I327">
        <v>6.6078700000000001</v>
      </c>
      <c r="J327">
        <v>7.4154</v>
      </c>
      <c r="K327">
        <v>-49</v>
      </c>
      <c r="L327">
        <v>-1</v>
      </c>
      <c r="M327">
        <v>0</v>
      </c>
      <c r="N327" t="s">
        <v>26</v>
      </c>
      <c r="O327">
        <v>0</v>
      </c>
      <c r="P327" t="s">
        <v>1442</v>
      </c>
      <c r="Q327">
        <v>0</v>
      </c>
      <c r="R327" t="s">
        <v>681</v>
      </c>
      <c r="S327" t="s">
        <v>682</v>
      </c>
      <c r="T327" t="s">
        <v>1442</v>
      </c>
      <c r="U327" t="s">
        <v>1442</v>
      </c>
      <c r="V327" t="s">
        <v>1442</v>
      </c>
      <c r="W327" t="s">
        <v>1442</v>
      </c>
    </row>
    <row r="328" spans="1:23" x14ac:dyDescent="0.25">
      <c r="A328" s="39">
        <v>46114.4884187153</v>
      </c>
      <c r="B328" s="40">
        <v>46114</v>
      </c>
      <c r="C328" t="s">
        <v>23</v>
      </c>
      <c r="D328" t="s">
        <v>24</v>
      </c>
      <c r="E328" t="s">
        <v>25</v>
      </c>
      <c r="F328" t="s">
        <v>1442</v>
      </c>
      <c r="G328" t="s">
        <v>1442</v>
      </c>
      <c r="H328" t="s">
        <v>1442</v>
      </c>
      <c r="I328">
        <v>0</v>
      </c>
      <c r="J328">
        <v>0</v>
      </c>
      <c r="K328">
        <v>50</v>
      </c>
      <c r="L328">
        <v>0</v>
      </c>
      <c r="M328">
        <v>0</v>
      </c>
      <c r="N328" t="s">
        <v>26</v>
      </c>
      <c r="O328">
        <v>0</v>
      </c>
      <c r="P328" t="s">
        <v>1442</v>
      </c>
      <c r="Q328">
        <v>0</v>
      </c>
      <c r="R328" t="s">
        <v>246</v>
      </c>
      <c r="S328" t="s">
        <v>683</v>
      </c>
      <c r="T328" t="s">
        <v>1442</v>
      </c>
      <c r="U328" t="s">
        <v>1442</v>
      </c>
      <c r="V328" t="s">
        <v>1442</v>
      </c>
      <c r="W328" t="s">
        <v>1442</v>
      </c>
    </row>
    <row r="329" spans="1:23" x14ac:dyDescent="0.25">
      <c r="A329" s="39">
        <v>46114.664256192103</v>
      </c>
      <c r="B329" s="40">
        <v>46114</v>
      </c>
      <c r="C329" t="s">
        <v>23</v>
      </c>
      <c r="D329" t="s">
        <v>24</v>
      </c>
      <c r="E329" t="s">
        <v>25</v>
      </c>
      <c r="F329" t="s">
        <v>1442</v>
      </c>
      <c r="G329" t="s">
        <v>1442</v>
      </c>
      <c r="H329" t="s">
        <v>1442</v>
      </c>
      <c r="I329">
        <v>0</v>
      </c>
      <c r="J329">
        <v>0</v>
      </c>
      <c r="K329">
        <v>50</v>
      </c>
      <c r="L329">
        <v>0</v>
      </c>
      <c r="M329">
        <v>0</v>
      </c>
      <c r="N329" t="s">
        <v>26</v>
      </c>
      <c r="O329">
        <v>0</v>
      </c>
      <c r="P329" t="s">
        <v>1442</v>
      </c>
      <c r="Q329">
        <v>0</v>
      </c>
      <c r="R329" t="s">
        <v>246</v>
      </c>
      <c r="S329" t="s">
        <v>684</v>
      </c>
      <c r="T329" t="s">
        <v>1442</v>
      </c>
      <c r="U329" t="s">
        <v>1442</v>
      </c>
      <c r="V329" t="s">
        <v>1442</v>
      </c>
      <c r="W329" t="s">
        <v>1442</v>
      </c>
    </row>
    <row r="330" spans="1:23" x14ac:dyDescent="0.25">
      <c r="A330" s="39">
        <v>46114.664446238399</v>
      </c>
      <c r="B330" s="40">
        <v>46114</v>
      </c>
      <c r="C330" t="s">
        <v>23</v>
      </c>
      <c r="D330" t="s">
        <v>30</v>
      </c>
      <c r="E330" t="s">
        <v>31</v>
      </c>
      <c r="F330" t="s">
        <v>64</v>
      </c>
      <c r="G330" t="s">
        <v>69</v>
      </c>
      <c r="H330" t="s">
        <v>69</v>
      </c>
      <c r="I330">
        <v>43.611454999999999</v>
      </c>
      <c r="J330">
        <v>1.123437</v>
      </c>
      <c r="K330">
        <v>-48.99</v>
      </c>
      <c r="L330">
        <v>-1</v>
      </c>
      <c r="M330">
        <v>0</v>
      </c>
      <c r="N330" t="s">
        <v>26</v>
      </c>
      <c r="O330">
        <v>0</v>
      </c>
      <c r="P330" t="s">
        <v>1442</v>
      </c>
      <c r="Q330">
        <v>0</v>
      </c>
      <c r="R330" t="s">
        <v>685</v>
      </c>
      <c r="S330" t="s">
        <v>686</v>
      </c>
      <c r="T330" t="s">
        <v>1442</v>
      </c>
      <c r="U330" t="s">
        <v>1442</v>
      </c>
      <c r="V330" t="s">
        <v>1442</v>
      </c>
      <c r="W330" t="s">
        <v>1442</v>
      </c>
    </row>
    <row r="331" spans="1:23" x14ac:dyDescent="0.25">
      <c r="A331" s="39">
        <v>46114.684808669001</v>
      </c>
      <c r="B331" s="40">
        <v>46114</v>
      </c>
      <c r="C331" t="s">
        <v>23</v>
      </c>
      <c r="D331" t="s">
        <v>24</v>
      </c>
      <c r="E331" t="s">
        <v>25</v>
      </c>
      <c r="F331" t="s">
        <v>1442</v>
      </c>
      <c r="G331" t="s">
        <v>1442</v>
      </c>
      <c r="H331" t="s">
        <v>1442</v>
      </c>
      <c r="I331">
        <v>0</v>
      </c>
      <c r="J331">
        <v>0</v>
      </c>
      <c r="K331">
        <v>70</v>
      </c>
      <c r="L331">
        <v>0</v>
      </c>
      <c r="M331">
        <v>0</v>
      </c>
      <c r="N331" t="s">
        <v>26</v>
      </c>
      <c r="O331">
        <v>0</v>
      </c>
      <c r="P331" t="s">
        <v>1442</v>
      </c>
      <c r="Q331">
        <v>0</v>
      </c>
      <c r="R331" t="s">
        <v>246</v>
      </c>
      <c r="S331" t="s">
        <v>687</v>
      </c>
      <c r="T331" t="s">
        <v>1442</v>
      </c>
      <c r="U331" t="s">
        <v>1442</v>
      </c>
      <c r="V331" t="s">
        <v>1442</v>
      </c>
      <c r="W331" t="s">
        <v>1442</v>
      </c>
    </row>
    <row r="332" spans="1:23" x14ac:dyDescent="0.25">
      <c r="A332" s="39">
        <v>46114.684882314803</v>
      </c>
      <c r="B332" s="40">
        <v>46114</v>
      </c>
      <c r="C332" t="s">
        <v>23</v>
      </c>
      <c r="D332" t="s">
        <v>30</v>
      </c>
      <c r="E332" t="s">
        <v>31</v>
      </c>
      <c r="F332" t="s">
        <v>64</v>
      </c>
      <c r="G332" t="s">
        <v>65</v>
      </c>
      <c r="H332" t="s">
        <v>66</v>
      </c>
      <c r="I332">
        <v>1.010885</v>
      </c>
      <c r="J332">
        <v>68.257000000000005</v>
      </c>
      <c r="K332">
        <v>-69</v>
      </c>
      <c r="L332">
        <v>-1</v>
      </c>
      <c r="M332">
        <v>0</v>
      </c>
      <c r="N332" t="s">
        <v>26</v>
      </c>
      <c r="O332">
        <v>0</v>
      </c>
      <c r="P332" t="s">
        <v>1442</v>
      </c>
      <c r="Q332">
        <v>0</v>
      </c>
      <c r="R332" t="s">
        <v>688</v>
      </c>
      <c r="S332" t="s">
        <v>689</v>
      </c>
      <c r="T332" t="s">
        <v>1442</v>
      </c>
      <c r="U332" t="s">
        <v>1442</v>
      </c>
      <c r="V332" t="s">
        <v>1442</v>
      </c>
      <c r="W332" t="s">
        <v>1442</v>
      </c>
    </row>
    <row r="333" spans="1:23" x14ac:dyDescent="0.25">
      <c r="A333" s="39">
        <v>46114.953335092599</v>
      </c>
      <c r="B333" s="40">
        <v>46114</v>
      </c>
      <c r="C333" t="s">
        <v>23</v>
      </c>
      <c r="D333" t="s">
        <v>24</v>
      </c>
      <c r="E333" t="s">
        <v>25</v>
      </c>
      <c r="F333" t="s">
        <v>1442</v>
      </c>
      <c r="G333" t="s">
        <v>1442</v>
      </c>
      <c r="H333" t="s">
        <v>1442</v>
      </c>
      <c r="I333">
        <v>0</v>
      </c>
      <c r="J333">
        <v>0</v>
      </c>
      <c r="K333">
        <v>201</v>
      </c>
      <c r="L333">
        <v>0</v>
      </c>
      <c r="M333">
        <v>0</v>
      </c>
      <c r="N333" t="s">
        <v>26</v>
      </c>
      <c r="O333">
        <v>0</v>
      </c>
      <c r="P333" t="s">
        <v>1442</v>
      </c>
      <c r="Q333">
        <v>0</v>
      </c>
      <c r="R333" t="s">
        <v>246</v>
      </c>
      <c r="S333" t="s">
        <v>690</v>
      </c>
      <c r="T333" t="s">
        <v>1442</v>
      </c>
      <c r="U333" t="s">
        <v>1442</v>
      </c>
      <c r="V333" t="s">
        <v>1442</v>
      </c>
      <c r="W333" t="s">
        <v>1442</v>
      </c>
    </row>
    <row r="334" spans="1:23" x14ac:dyDescent="0.25">
      <c r="A334" s="39">
        <v>46114.953399467602</v>
      </c>
      <c r="B334" s="40">
        <v>46114</v>
      </c>
      <c r="C334" t="s">
        <v>23</v>
      </c>
      <c r="D334" t="s">
        <v>30</v>
      </c>
      <c r="E334" t="s">
        <v>31</v>
      </c>
      <c r="F334" t="s">
        <v>32</v>
      </c>
      <c r="G334" t="s">
        <v>691</v>
      </c>
      <c r="H334" t="s">
        <v>692</v>
      </c>
      <c r="I334">
        <v>0.21229500000000001</v>
      </c>
      <c r="J334">
        <v>10.41</v>
      </c>
      <c r="K334">
        <v>-2.21</v>
      </c>
      <c r="L334">
        <v>0</v>
      </c>
      <c r="M334">
        <v>0</v>
      </c>
      <c r="N334" t="s">
        <v>26</v>
      </c>
      <c r="O334">
        <v>0</v>
      </c>
      <c r="P334" t="s">
        <v>1442</v>
      </c>
      <c r="Q334">
        <v>0</v>
      </c>
      <c r="R334" t="s">
        <v>693</v>
      </c>
      <c r="S334" t="s">
        <v>694</v>
      </c>
      <c r="T334" t="s">
        <v>1442</v>
      </c>
      <c r="U334" t="s">
        <v>1442</v>
      </c>
      <c r="V334" t="s">
        <v>1442</v>
      </c>
      <c r="W334" t="s">
        <v>1442</v>
      </c>
    </row>
    <row r="335" spans="1:23" x14ac:dyDescent="0.25">
      <c r="A335" s="39">
        <v>46114.9533994792</v>
      </c>
      <c r="B335" s="40">
        <v>46114</v>
      </c>
      <c r="C335" t="s">
        <v>23</v>
      </c>
      <c r="D335" t="s">
        <v>30</v>
      </c>
      <c r="E335" t="s">
        <v>31</v>
      </c>
      <c r="F335" t="s">
        <v>32</v>
      </c>
      <c r="G335" t="s">
        <v>691</v>
      </c>
      <c r="H335" t="s">
        <v>692</v>
      </c>
      <c r="I335">
        <v>19</v>
      </c>
      <c r="J335">
        <v>10.41</v>
      </c>
      <c r="K335">
        <v>-197.79</v>
      </c>
      <c r="L335">
        <v>-1</v>
      </c>
      <c r="M335">
        <v>0</v>
      </c>
      <c r="N335" t="s">
        <v>26</v>
      </c>
      <c r="O335">
        <v>0</v>
      </c>
      <c r="P335" t="s">
        <v>1442</v>
      </c>
      <c r="Q335">
        <v>0</v>
      </c>
      <c r="R335" t="s">
        <v>695</v>
      </c>
      <c r="S335" t="s">
        <v>696</v>
      </c>
      <c r="T335" t="s">
        <v>1442</v>
      </c>
      <c r="U335" t="s">
        <v>1442</v>
      </c>
      <c r="V335" t="s">
        <v>1442</v>
      </c>
      <c r="W335" t="s">
        <v>1442</v>
      </c>
    </row>
    <row r="336" spans="1:23" x14ac:dyDescent="0.25">
      <c r="A336" s="39">
        <v>46122.502603611101</v>
      </c>
      <c r="B336" s="40">
        <v>46122</v>
      </c>
      <c r="C336" t="s">
        <v>23</v>
      </c>
      <c r="D336" t="s">
        <v>30</v>
      </c>
      <c r="E336" t="s">
        <v>82</v>
      </c>
      <c r="F336" t="s">
        <v>32</v>
      </c>
      <c r="G336" t="s">
        <v>691</v>
      </c>
      <c r="H336" t="s">
        <v>692</v>
      </c>
      <c r="I336">
        <v>-0.21229500000000001</v>
      </c>
      <c r="J336">
        <v>11.52</v>
      </c>
      <c r="K336">
        <v>2.4500000000000002</v>
      </c>
      <c r="L336">
        <v>0</v>
      </c>
      <c r="M336">
        <v>0</v>
      </c>
      <c r="N336" t="s">
        <v>26</v>
      </c>
      <c r="O336">
        <v>0</v>
      </c>
      <c r="P336" t="s">
        <v>1442</v>
      </c>
      <c r="Q336">
        <v>0</v>
      </c>
      <c r="R336" t="s">
        <v>697</v>
      </c>
      <c r="S336" t="s">
        <v>698</v>
      </c>
      <c r="T336" t="s">
        <v>1442</v>
      </c>
      <c r="U336" t="s">
        <v>1442</v>
      </c>
      <c r="V336" t="s">
        <v>1442</v>
      </c>
      <c r="W336" t="s">
        <v>1442</v>
      </c>
    </row>
    <row r="337" spans="1:23" x14ac:dyDescent="0.25">
      <c r="A337" s="39">
        <v>46122.502603634297</v>
      </c>
      <c r="B337" s="40">
        <v>46122</v>
      </c>
      <c r="C337" t="s">
        <v>23</v>
      </c>
      <c r="D337" t="s">
        <v>30</v>
      </c>
      <c r="E337" t="s">
        <v>82</v>
      </c>
      <c r="F337" t="s">
        <v>32</v>
      </c>
      <c r="G337" t="s">
        <v>691</v>
      </c>
      <c r="H337" t="s">
        <v>692</v>
      </c>
      <c r="I337">
        <v>-19</v>
      </c>
      <c r="J337">
        <v>11.52</v>
      </c>
      <c r="K337">
        <v>218.88</v>
      </c>
      <c r="L337">
        <v>-1</v>
      </c>
      <c r="M337">
        <v>0</v>
      </c>
      <c r="N337" t="s">
        <v>26</v>
      </c>
      <c r="O337">
        <v>0</v>
      </c>
      <c r="P337" t="s">
        <v>1442</v>
      </c>
      <c r="Q337">
        <v>0</v>
      </c>
      <c r="R337" t="s">
        <v>699</v>
      </c>
      <c r="S337" t="s">
        <v>700</v>
      </c>
      <c r="T337" t="s">
        <v>1442</v>
      </c>
      <c r="U337" t="s">
        <v>1442</v>
      </c>
      <c r="V337" t="s">
        <v>1442</v>
      </c>
      <c r="W337" t="s">
        <v>1442</v>
      </c>
    </row>
    <row r="338" spans="1:23" x14ac:dyDescent="0.25">
      <c r="A338" s="39">
        <v>46122.502827835597</v>
      </c>
      <c r="B338" s="40">
        <v>46122</v>
      </c>
      <c r="C338" t="s">
        <v>23</v>
      </c>
      <c r="D338" t="s">
        <v>30</v>
      </c>
      <c r="E338" t="s">
        <v>82</v>
      </c>
      <c r="F338" t="s">
        <v>32</v>
      </c>
      <c r="G338" t="s">
        <v>664</v>
      </c>
      <c r="H338" t="s">
        <v>665</v>
      </c>
      <c r="I338">
        <v>-26</v>
      </c>
      <c r="J338">
        <v>7.9880000000000004</v>
      </c>
      <c r="K338">
        <v>207.69</v>
      </c>
      <c r="L338">
        <v>-1</v>
      </c>
      <c r="M338">
        <v>0</v>
      </c>
      <c r="N338" t="s">
        <v>26</v>
      </c>
      <c r="O338">
        <v>0</v>
      </c>
      <c r="P338" t="s">
        <v>1442</v>
      </c>
      <c r="Q338">
        <v>0</v>
      </c>
      <c r="R338" t="s">
        <v>701</v>
      </c>
      <c r="S338" t="s">
        <v>702</v>
      </c>
      <c r="T338" t="s">
        <v>1442</v>
      </c>
      <c r="U338" t="s">
        <v>1442</v>
      </c>
      <c r="V338" t="s">
        <v>1442</v>
      </c>
      <c r="W338" t="s">
        <v>1442</v>
      </c>
    </row>
    <row r="339" spans="1:23" x14ac:dyDescent="0.25">
      <c r="A339" s="39">
        <v>46122.502827835597</v>
      </c>
      <c r="B339" s="40">
        <v>46122</v>
      </c>
      <c r="C339" t="s">
        <v>23</v>
      </c>
      <c r="D339" t="s">
        <v>30</v>
      </c>
      <c r="E339" t="s">
        <v>82</v>
      </c>
      <c r="F339" t="s">
        <v>32</v>
      </c>
      <c r="G339" t="s">
        <v>664</v>
      </c>
      <c r="H339" t="s">
        <v>665</v>
      </c>
      <c r="I339">
        <v>-0.322716</v>
      </c>
      <c r="J339">
        <v>7.9880000000000004</v>
      </c>
      <c r="K339">
        <v>2.58</v>
      </c>
      <c r="L339">
        <v>0</v>
      </c>
      <c r="M339">
        <v>0</v>
      </c>
      <c r="N339" t="s">
        <v>26</v>
      </c>
      <c r="O339">
        <v>0</v>
      </c>
      <c r="P339" t="s">
        <v>1442</v>
      </c>
      <c r="Q339">
        <v>0</v>
      </c>
      <c r="R339" t="s">
        <v>703</v>
      </c>
      <c r="S339" t="s">
        <v>704</v>
      </c>
      <c r="T339" t="s">
        <v>1442</v>
      </c>
      <c r="U339" t="s">
        <v>1442</v>
      </c>
      <c r="V339" t="s">
        <v>1442</v>
      </c>
      <c r="W339" t="s">
        <v>1442</v>
      </c>
    </row>
    <row r="340" spans="1:23" x14ac:dyDescent="0.25">
      <c r="A340" s="39">
        <v>46122.506379201397</v>
      </c>
      <c r="B340" s="40">
        <v>46122</v>
      </c>
      <c r="C340" t="s">
        <v>23</v>
      </c>
      <c r="D340" t="s">
        <v>24</v>
      </c>
      <c r="E340" t="s">
        <v>161</v>
      </c>
      <c r="F340" t="s">
        <v>1442</v>
      </c>
      <c r="G340" t="s">
        <v>1442</v>
      </c>
      <c r="H340" t="s">
        <v>1442</v>
      </c>
      <c r="I340">
        <v>0</v>
      </c>
      <c r="J340">
        <v>0</v>
      </c>
      <c r="K340">
        <v>-429.61</v>
      </c>
      <c r="L340">
        <v>0</v>
      </c>
      <c r="M340">
        <v>0</v>
      </c>
      <c r="N340" t="s">
        <v>26</v>
      </c>
      <c r="O340">
        <v>0</v>
      </c>
      <c r="P340" t="s">
        <v>1442</v>
      </c>
      <c r="Q340">
        <v>0</v>
      </c>
      <c r="R340" t="s">
        <v>397</v>
      </c>
      <c r="S340" t="s">
        <v>705</v>
      </c>
      <c r="T340" t="s">
        <v>1442</v>
      </c>
      <c r="U340" t="s">
        <v>1442</v>
      </c>
      <c r="V340" t="s">
        <v>1442</v>
      </c>
      <c r="W340" t="s">
        <v>1442</v>
      </c>
    </row>
    <row r="341" spans="1:23" x14ac:dyDescent="0.25">
      <c r="A341" s="39">
        <v>46123.356730995401</v>
      </c>
      <c r="B341" s="40">
        <v>46123</v>
      </c>
      <c r="C341" t="s">
        <v>23</v>
      </c>
      <c r="D341" t="s">
        <v>24</v>
      </c>
      <c r="E341" t="s">
        <v>25</v>
      </c>
      <c r="F341" t="s">
        <v>1442</v>
      </c>
      <c r="G341" t="s">
        <v>1442</v>
      </c>
      <c r="H341" t="s">
        <v>1442</v>
      </c>
      <c r="I341">
        <v>0</v>
      </c>
      <c r="J341">
        <v>0</v>
      </c>
      <c r="K341">
        <v>50</v>
      </c>
      <c r="L341">
        <v>0</v>
      </c>
      <c r="M341">
        <v>0</v>
      </c>
      <c r="N341" t="s">
        <v>26</v>
      </c>
      <c r="O341">
        <v>0</v>
      </c>
      <c r="P341" t="s">
        <v>1442</v>
      </c>
      <c r="Q341">
        <v>0</v>
      </c>
      <c r="R341" t="s">
        <v>246</v>
      </c>
      <c r="S341" t="s">
        <v>706</v>
      </c>
      <c r="T341" t="s">
        <v>1442</v>
      </c>
      <c r="U341" t="s">
        <v>1442</v>
      </c>
      <c r="V341" t="s">
        <v>1442</v>
      </c>
      <c r="W341" t="s">
        <v>1442</v>
      </c>
    </row>
    <row r="342" spans="1:23" x14ac:dyDescent="0.25">
      <c r="A342" s="39">
        <v>46123.356795370397</v>
      </c>
      <c r="B342" s="40">
        <v>46123</v>
      </c>
      <c r="C342" t="s">
        <v>23</v>
      </c>
      <c r="D342" t="s">
        <v>30</v>
      </c>
      <c r="E342" t="s">
        <v>31</v>
      </c>
      <c r="F342" t="s">
        <v>64</v>
      </c>
      <c r="G342" t="s">
        <v>72</v>
      </c>
      <c r="H342" t="s">
        <v>73</v>
      </c>
      <c r="I342">
        <v>227.93242000000001</v>
      </c>
      <c r="J342">
        <v>0.214973</v>
      </c>
      <c r="K342">
        <v>-49</v>
      </c>
      <c r="L342">
        <v>-1</v>
      </c>
      <c r="M342">
        <v>0</v>
      </c>
      <c r="N342" t="s">
        <v>26</v>
      </c>
      <c r="O342">
        <v>0</v>
      </c>
      <c r="P342" t="s">
        <v>1442</v>
      </c>
      <c r="Q342">
        <v>0</v>
      </c>
      <c r="R342" t="s">
        <v>707</v>
      </c>
      <c r="S342" t="s">
        <v>708</v>
      </c>
      <c r="T342" t="s">
        <v>1442</v>
      </c>
      <c r="U342" t="s">
        <v>1442</v>
      </c>
      <c r="V342" t="s">
        <v>1442</v>
      </c>
      <c r="W342" t="s">
        <v>1442</v>
      </c>
    </row>
    <row r="343" spans="1:23" x14ac:dyDescent="0.25">
      <c r="A343" s="39">
        <v>46123.357593588</v>
      </c>
      <c r="B343" s="40">
        <v>46123</v>
      </c>
      <c r="C343" t="s">
        <v>23</v>
      </c>
      <c r="D343" t="s">
        <v>24</v>
      </c>
      <c r="E343" t="s">
        <v>25</v>
      </c>
      <c r="F343" t="s">
        <v>1442</v>
      </c>
      <c r="G343" t="s">
        <v>1442</v>
      </c>
      <c r="H343" t="s">
        <v>1442</v>
      </c>
      <c r="I343">
        <v>0</v>
      </c>
      <c r="J343">
        <v>0</v>
      </c>
      <c r="K343">
        <v>25</v>
      </c>
      <c r="L343">
        <v>0</v>
      </c>
      <c r="M343">
        <v>0</v>
      </c>
      <c r="N343" t="s">
        <v>26</v>
      </c>
      <c r="O343">
        <v>0</v>
      </c>
      <c r="P343" t="s">
        <v>1442</v>
      </c>
      <c r="Q343">
        <v>0</v>
      </c>
      <c r="R343" t="s">
        <v>246</v>
      </c>
      <c r="S343" t="s">
        <v>709</v>
      </c>
      <c r="T343" t="s">
        <v>1442</v>
      </c>
      <c r="U343" t="s">
        <v>1442</v>
      </c>
      <c r="V343" t="s">
        <v>1442</v>
      </c>
      <c r="W343" t="s">
        <v>1442</v>
      </c>
    </row>
    <row r="344" spans="1:23" x14ac:dyDescent="0.25">
      <c r="A344" s="39">
        <v>46123.357702303198</v>
      </c>
      <c r="B344" s="40">
        <v>46123</v>
      </c>
      <c r="C344" t="s">
        <v>23</v>
      </c>
      <c r="D344" t="s">
        <v>30</v>
      </c>
      <c r="E344" t="s">
        <v>31</v>
      </c>
      <c r="F344" t="s">
        <v>64</v>
      </c>
      <c r="G344" t="s">
        <v>118</v>
      </c>
      <c r="H344" t="s">
        <v>119</v>
      </c>
      <c r="I344">
        <v>21.890419999999999</v>
      </c>
      <c r="J344">
        <v>1.0963700000000001</v>
      </c>
      <c r="K344">
        <v>-24</v>
      </c>
      <c r="L344">
        <v>-1</v>
      </c>
      <c r="M344">
        <v>0</v>
      </c>
      <c r="N344" t="s">
        <v>26</v>
      </c>
      <c r="O344">
        <v>0</v>
      </c>
      <c r="P344" t="s">
        <v>1442</v>
      </c>
      <c r="Q344">
        <v>0</v>
      </c>
      <c r="R344" t="s">
        <v>710</v>
      </c>
      <c r="S344" t="s">
        <v>711</v>
      </c>
      <c r="T344" t="s">
        <v>1442</v>
      </c>
      <c r="U344" t="s">
        <v>1442</v>
      </c>
      <c r="V344" t="s">
        <v>1442</v>
      </c>
      <c r="W344" t="s">
        <v>1442</v>
      </c>
    </row>
    <row r="345" spans="1:23" x14ac:dyDescent="0.25">
      <c r="A345" s="39">
        <v>46124.711935011597</v>
      </c>
      <c r="B345" s="40">
        <v>46124</v>
      </c>
      <c r="C345" t="s">
        <v>23</v>
      </c>
      <c r="D345" t="s">
        <v>24</v>
      </c>
      <c r="E345" t="s">
        <v>25</v>
      </c>
      <c r="F345" t="s">
        <v>1442</v>
      </c>
      <c r="G345" t="s">
        <v>1442</v>
      </c>
      <c r="H345" t="s">
        <v>1442</v>
      </c>
      <c r="I345">
        <v>0</v>
      </c>
      <c r="J345">
        <v>0</v>
      </c>
      <c r="K345">
        <v>3</v>
      </c>
      <c r="L345">
        <v>0</v>
      </c>
      <c r="M345">
        <v>0</v>
      </c>
      <c r="N345" t="s">
        <v>26</v>
      </c>
      <c r="O345">
        <v>0</v>
      </c>
      <c r="P345" t="s">
        <v>1442</v>
      </c>
      <c r="Q345">
        <v>0</v>
      </c>
      <c r="R345" t="s">
        <v>246</v>
      </c>
      <c r="S345" t="s">
        <v>712</v>
      </c>
      <c r="T345" t="s">
        <v>1442</v>
      </c>
      <c r="U345" t="s">
        <v>1442</v>
      </c>
      <c r="V345" t="s">
        <v>1442</v>
      </c>
      <c r="W345" t="s">
        <v>1442</v>
      </c>
    </row>
    <row r="346" spans="1:23" x14ac:dyDescent="0.25">
      <c r="A346" s="39">
        <v>46126.702982002302</v>
      </c>
      <c r="B346" s="40">
        <v>46126</v>
      </c>
      <c r="C346" t="s">
        <v>23</v>
      </c>
      <c r="D346" t="s">
        <v>30</v>
      </c>
      <c r="E346" t="s">
        <v>82</v>
      </c>
      <c r="F346" t="s">
        <v>32</v>
      </c>
      <c r="G346" t="s">
        <v>604</v>
      </c>
      <c r="H346" t="s">
        <v>605</v>
      </c>
      <c r="I346">
        <v>-0.83070699999999997</v>
      </c>
      <c r="J346">
        <v>0.752</v>
      </c>
      <c r="K346">
        <v>0.62</v>
      </c>
      <c r="L346">
        <v>0</v>
      </c>
      <c r="M346">
        <v>0</v>
      </c>
      <c r="N346" t="s">
        <v>26</v>
      </c>
      <c r="O346">
        <v>0</v>
      </c>
      <c r="P346" t="s">
        <v>1442</v>
      </c>
      <c r="Q346">
        <v>0</v>
      </c>
      <c r="R346" t="s">
        <v>713</v>
      </c>
      <c r="S346" t="s">
        <v>714</v>
      </c>
      <c r="T346" t="s">
        <v>1442</v>
      </c>
      <c r="U346" t="s">
        <v>1442</v>
      </c>
      <c r="V346" t="s">
        <v>1442</v>
      </c>
      <c r="W346" t="s">
        <v>1442</v>
      </c>
    </row>
    <row r="347" spans="1:23" x14ac:dyDescent="0.25">
      <c r="A347" s="39">
        <v>46126.702982025497</v>
      </c>
      <c r="B347" s="40">
        <v>46126</v>
      </c>
      <c r="C347" t="s">
        <v>23</v>
      </c>
      <c r="D347" t="s">
        <v>30</v>
      </c>
      <c r="E347" t="s">
        <v>82</v>
      </c>
      <c r="F347" t="s">
        <v>32</v>
      </c>
      <c r="G347" t="s">
        <v>604</v>
      </c>
      <c r="H347" t="s">
        <v>605</v>
      </c>
      <c r="I347">
        <v>-272</v>
      </c>
      <c r="J347">
        <v>0.752</v>
      </c>
      <c r="K347">
        <v>204.54</v>
      </c>
      <c r="L347">
        <v>-1</v>
      </c>
      <c r="M347">
        <v>0</v>
      </c>
      <c r="N347" t="s">
        <v>26</v>
      </c>
      <c r="O347">
        <v>0</v>
      </c>
      <c r="P347" t="s">
        <v>1442</v>
      </c>
      <c r="Q347">
        <v>0</v>
      </c>
      <c r="R347" t="s">
        <v>715</v>
      </c>
      <c r="S347" t="s">
        <v>716</v>
      </c>
      <c r="T347" t="s">
        <v>1442</v>
      </c>
      <c r="U347" t="s">
        <v>1442</v>
      </c>
      <c r="V347" t="s">
        <v>1442</v>
      </c>
      <c r="W347" t="s">
        <v>1442</v>
      </c>
    </row>
    <row r="348" spans="1:23" x14ac:dyDescent="0.25">
      <c r="A348" s="39">
        <v>46126.946029270803</v>
      </c>
      <c r="B348" s="40">
        <v>46126</v>
      </c>
      <c r="C348" t="s">
        <v>23</v>
      </c>
      <c r="D348" t="s">
        <v>24</v>
      </c>
      <c r="E348" t="s">
        <v>25</v>
      </c>
      <c r="F348" t="s">
        <v>1442</v>
      </c>
      <c r="G348" t="s">
        <v>1442</v>
      </c>
      <c r="H348" t="s">
        <v>1442</v>
      </c>
      <c r="I348">
        <v>0</v>
      </c>
      <c r="J348">
        <v>0</v>
      </c>
      <c r="K348">
        <v>193.84</v>
      </c>
      <c r="L348">
        <v>0</v>
      </c>
      <c r="M348">
        <v>0</v>
      </c>
      <c r="N348" t="s">
        <v>26</v>
      </c>
      <c r="O348">
        <v>0</v>
      </c>
      <c r="P348" t="s">
        <v>1442</v>
      </c>
      <c r="Q348">
        <v>0</v>
      </c>
      <c r="R348" t="s">
        <v>647</v>
      </c>
      <c r="S348" t="s">
        <v>717</v>
      </c>
      <c r="T348" t="s">
        <v>1442</v>
      </c>
      <c r="U348" t="s">
        <v>1442</v>
      </c>
      <c r="V348" t="s">
        <v>1442</v>
      </c>
      <c r="W348" t="s">
        <v>1442</v>
      </c>
    </row>
    <row r="349" spans="1:23" x14ac:dyDescent="0.25">
      <c r="A349" s="39">
        <v>46126.946483669002</v>
      </c>
      <c r="B349" s="40">
        <v>46126</v>
      </c>
      <c r="C349" t="s">
        <v>23</v>
      </c>
      <c r="D349" t="s">
        <v>30</v>
      </c>
      <c r="E349" t="s">
        <v>31</v>
      </c>
      <c r="F349" t="s">
        <v>464</v>
      </c>
      <c r="G349" t="s">
        <v>718</v>
      </c>
      <c r="H349" t="s">
        <v>719</v>
      </c>
      <c r="I349">
        <v>0.77619800000000005</v>
      </c>
      <c r="J349">
        <v>225.2</v>
      </c>
      <c r="K349">
        <v>-174.8</v>
      </c>
      <c r="L349">
        <v>0</v>
      </c>
      <c r="M349">
        <v>0</v>
      </c>
      <c r="N349" t="s">
        <v>26</v>
      </c>
      <c r="O349">
        <v>0</v>
      </c>
      <c r="P349" t="s">
        <v>1442</v>
      </c>
      <c r="Q349">
        <v>0</v>
      </c>
      <c r="R349" t="s">
        <v>720</v>
      </c>
      <c r="S349" t="s">
        <v>721</v>
      </c>
      <c r="T349" t="s">
        <v>1442</v>
      </c>
      <c r="U349" t="s">
        <v>1442</v>
      </c>
      <c r="V349" t="s">
        <v>1442</v>
      </c>
      <c r="W349" t="s">
        <v>1442</v>
      </c>
    </row>
    <row r="350" spans="1:23" x14ac:dyDescent="0.25">
      <c r="A350" s="39">
        <v>46126.946483669002</v>
      </c>
      <c r="B350" s="40">
        <v>46126</v>
      </c>
      <c r="C350" t="s">
        <v>23</v>
      </c>
      <c r="D350" t="s">
        <v>30</v>
      </c>
      <c r="E350" t="s">
        <v>31</v>
      </c>
      <c r="F350" t="s">
        <v>464</v>
      </c>
      <c r="G350" t="s">
        <v>718</v>
      </c>
      <c r="H350" t="s">
        <v>719</v>
      </c>
      <c r="I350">
        <v>1</v>
      </c>
      <c r="J350">
        <v>225.2</v>
      </c>
      <c r="K350">
        <v>-225.2</v>
      </c>
      <c r="L350">
        <v>-1</v>
      </c>
      <c r="M350">
        <v>0</v>
      </c>
      <c r="N350" t="s">
        <v>26</v>
      </c>
      <c r="O350">
        <v>0</v>
      </c>
      <c r="P350" t="s">
        <v>1442</v>
      </c>
      <c r="Q350">
        <v>0</v>
      </c>
      <c r="R350" t="s">
        <v>722</v>
      </c>
      <c r="S350" t="s">
        <v>723</v>
      </c>
      <c r="T350" t="s">
        <v>1442</v>
      </c>
      <c r="U350" t="s">
        <v>1442</v>
      </c>
      <c r="V350" t="s">
        <v>1442</v>
      </c>
      <c r="W350" t="s">
        <v>1442</v>
      </c>
    </row>
    <row r="351" spans="1:23" x14ac:dyDescent="0.25">
      <c r="A351" s="39">
        <v>46127.3782423148</v>
      </c>
      <c r="B351" s="40">
        <v>46127</v>
      </c>
      <c r="C351" t="s">
        <v>23</v>
      </c>
      <c r="D351" t="s">
        <v>24</v>
      </c>
      <c r="E351" t="s">
        <v>25</v>
      </c>
      <c r="F351" t="s">
        <v>1442</v>
      </c>
      <c r="G351" t="s">
        <v>1442</v>
      </c>
      <c r="H351" t="s">
        <v>1442</v>
      </c>
      <c r="I351">
        <v>0</v>
      </c>
      <c r="J351">
        <v>0</v>
      </c>
      <c r="K351">
        <v>10</v>
      </c>
      <c r="L351">
        <v>0</v>
      </c>
      <c r="M351">
        <v>0</v>
      </c>
      <c r="N351" t="s">
        <v>26</v>
      </c>
      <c r="O351">
        <v>0</v>
      </c>
      <c r="P351" t="s">
        <v>1442</v>
      </c>
      <c r="Q351">
        <v>0</v>
      </c>
      <c r="R351" t="s">
        <v>246</v>
      </c>
      <c r="S351" t="s">
        <v>724</v>
      </c>
      <c r="T351" t="s">
        <v>1442</v>
      </c>
      <c r="U351" t="s">
        <v>1442</v>
      </c>
      <c r="V351" t="s">
        <v>1442</v>
      </c>
      <c r="W351" t="s">
        <v>1442</v>
      </c>
    </row>
    <row r="352" spans="1:23" x14ac:dyDescent="0.25">
      <c r="A352" s="39">
        <v>46127.386352222202</v>
      </c>
      <c r="B352" s="40">
        <v>46127</v>
      </c>
      <c r="C352" t="s">
        <v>23</v>
      </c>
      <c r="D352" t="s">
        <v>24</v>
      </c>
      <c r="E352" t="s">
        <v>725</v>
      </c>
      <c r="F352" t="s">
        <v>1442</v>
      </c>
      <c r="G352" t="s">
        <v>1442</v>
      </c>
      <c r="H352" t="s">
        <v>1442</v>
      </c>
      <c r="I352">
        <v>0</v>
      </c>
      <c r="J352">
        <v>0</v>
      </c>
      <c r="K352">
        <v>-10</v>
      </c>
      <c r="L352">
        <v>0</v>
      </c>
      <c r="M352">
        <v>0</v>
      </c>
      <c r="N352" t="s">
        <v>26</v>
      </c>
      <c r="O352">
        <v>0</v>
      </c>
      <c r="P352" t="s">
        <v>1442</v>
      </c>
      <c r="Q352">
        <v>0</v>
      </c>
      <c r="R352" t="s">
        <v>726</v>
      </c>
      <c r="S352" t="s">
        <v>727</v>
      </c>
      <c r="T352" t="s">
        <v>1442</v>
      </c>
      <c r="U352" t="s">
        <v>1442</v>
      </c>
      <c r="V352" t="s">
        <v>1442</v>
      </c>
      <c r="W352" t="s">
        <v>1442</v>
      </c>
    </row>
    <row r="353" spans="1:23" x14ac:dyDescent="0.25">
      <c r="A353" s="39">
        <v>46127.741248171304</v>
      </c>
      <c r="B353" s="40">
        <v>46127</v>
      </c>
      <c r="C353" t="s">
        <v>23</v>
      </c>
      <c r="D353" t="s">
        <v>24</v>
      </c>
      <c r="E353" t="s">
        <v>161</v>
      </c>
      <c r="F353" t="s">
        <v>1442</v>
      </c>
      <c r="G353" t="s">
        <v>1442</v>
      </c>
      <c r="H353" t="s">
        <v>1442</v>
      </c>
      <c r="I353">
        <v>0</v>
      </c>
      <c r="J353">
        <v>0</v>
      </c>
      <c r="K353">
        <v>-10</v>
      </c>
      <c r="L353">
        <v>0</v>
      </c>
      <c r="M353">
        <v>0</v>
      </c>
      <c r="N353" t="s">
        <v>26</v>
      </c>
      <c r="O353">
        <v>0</v>
      </c>
      <c r="P353" t="s">
        <v>1442</v>
      </c>
      <c r="Q353">
        <v>0</v>
      </c>
      <c r="R353" t="s">
        <v>397</v>
      </c>
      <c r="S353" t="s">
        <v>728</v>
      </c>
      <c r="T353" t="s">
        <v>1442</v>
      </c>
      <c r="U353" t="s">
        <v>1442</v>
      </c>
      <c r="V353" t="s">
        <v>1442</v>
      </c>
      <c r="W353" t="s">
        <v>1442</v>
      </c>
    </row>
    <row r="354" spans="1:23" x14ac:dyDescent="0.25">
      <c r="A354" s="39">
        <v>46127.740982338</v>
      </c>
      <c r="B354" s="40">
        <v>46127</v>
      </c>
      <c r="C354" t="s">
        <v>23</v>
      </c>
      <c r="D354" t="s">
        <v>24</v>
      </c>
      <c r="E354" t="s">
        <v>729</v>
      </c>
      <c r="F354" t="s">
        <v>1442</v>
      </c>
      <c r="G354" t="s">
        <v>1442</v>
      </c>
      <c r="H354" t="s">
        <v>1442</v>
      </c>
      <c r="I354">
        <v>0</v>
      </c>
      <c r="J354">
        <v>0</v>
      </c>
      <c r="K354">
        <v>10</v>
      </c>
      <c r="L354">
        <v>0</v>
      </c>
      <c r="M354">
        <v>0</v>
      </c>
      <c r="N354" t="s">
        <v>26</v>
      </c>
      <c r="O354">
        <v>0</v>
      </c>
      <c r="P354" t="s">
        <v>1442</v>
      </c>
      <c r="Q354">
        <v>0</v>
      </c>
      <c r="R354" t="s">
        <v>730</v>
      </c>
      <c r="S354" t="s">
        <v>731</v>
      </c>
      <c r="T354" t="s">
        <v>1442</v>
      </c>
      <c r="U354" t="s">
        <v>1442</v>
      </c>
      <c r="V354" t="s">
        <v>1442</v>
      </c>
      <c r="W354" t="s">
        <v>1442</v>
      </c>
    </row>
    <row r="355" spans="1:23" x14ac:dyDescent="0.25">
      <c r="A355" s="39">
        <v>46127.916599259297</v>
      </c>
      <c r="B355" s="40">
        <v>46127</v>
      </c>
      <c r="C355" t="s">
        <v>23</v>
      </c>
      <c r="D355" t="s">
        <v>30</v>
      </c>
      <c r="E355" t="s">
        <v>82</v>
      </c>
      <c r="F355" t="s">
        <v>32</v>
      </c>
      <c r="G355" t="s">
        <v>154</v>
      </c>
      <c r="H355" t="s">
        <v>155</v>
      </c>
      <c r="I355">
        <v>-14</v>
      </c>
      <c r="J355">
        <v>17.605</v>
      </c>
      <c r="K355">
        <v>246.47</v>
      </c>
      <c r="L355">
        <v>-1</v>
      </c>
      <c r="M355">
        <v>0</v>
      </c>
      <c r="N355" t="s">
        <v>26</v>
      </c>
      <c r="O355">
        <v>0</v>
      </c>
      <c r="P355" t="s">
        <v>1442</v>
      </c>
      <c r="Q355">
        <v>0</v>
      </c>
      <c r="R355" t="s">
        <v>732</v>
      </c>
      <c r="S355" t="s">
        <v>733</v>
      </c>
      <c r="T355" t="s">
        <v>1442</v>
      </c>
      <c r="U355" t="s">
        <v>1442</v>
      </c>
      <c r="V355" t="s">
        <v>1442</v>
      </c>
      <c r="W355" t="s">
        <v>1442</v>
      </c>
    </row>
    <row r="356" spans="1:23" x14ac:dyDescent="0.25">
      <c r="A356" s="39">
        <v>46127.916599571799</v>
      </c>
      <c r="B356" s="40">
        <v>46127</v>
      </c>
      <c r="C356" t="s">
        <v>23</v>
      </c>
      <c r="D356" t="s">
        <v>30</v>
      </c>
      <c r="E356" t="s">
        <v>82</v>
      </c>
      <c r="F356" t="s">
        <v>32</v>
      </c>
      <c r="G356" t="s">
        <v>154</v>
      </c>
      <c r="H356" t="s">
        <v>155</v>
      </c>
      <c r="I356">
        <v>-0.121466</v>
      </c>
      <c r="J356">
        <v>17.605</v>
      </c>
      <c r="K356">
        <v>2.14</v>
      </c>
      <c r="L356">
        <v>0</v>
      </c>
      <c r="M356">
        <v>0</v>
      </c>
      <c r="N356" t="s">
        <v>26</v>
      </c>
      <c r="O356">
        <v>0</v>
      </c>
      <c r="P356" t="s">
        <v>1442</v>
      </c>
      <c r="Q356">
        <v>0</v>
      </c>
      <c r="R356" t="s">
        <v>734</v>
      </c>
      <c r="S356" t="s">
        <v>735</v>
      </c>
      <c r="T356" t="s">
        <v>1442</v>
      </c>
      <c r="U356" t="s">
        <v>1442</v>
      </c>
      <c r="V356" t="s">
        <v>1442</v>
      </c>
      <c r="W356" t="s">
        <v>1442</v>
      </c>
    </row>
    <row r="357" spans="1:23" x14ac:dyDescent="0.25">
      <c r="A357" s="39">
        <v>46127.950124502298</v>
      </c>
      <c r="B357" s="40">
        <v>46127</v>
      </c>
      <c r="C357" t="s">
        <v>23</v>
      </c>
      <c r="D357" t="s">
        <v>30</v>
      </c>
      <c r="E357" t="s">
        <v>31</v>
      </c>
      <c r="F357" t="s">
        <v>32</v>
      </c>
      <c r="G357" t="s">
        <v>154</v>
      </c>
      <c r="H357" t="s">
        <v>155</v>
      </c>
      <c r="I357">
        <v>0.464696</v>
      </c>
      <c r="J357">
        <v>18.27</v>
      </c>
      <c r="K357">
        <v>-8.49</v>
      </c>
      <c r="L357">
        <v>0</v>
      </c>
      <c r="M357">
        <v>0</v>
      </c>
      <c r="N357" t="s">
        <v>26</v>
      </c>
      <c r="O357">
        <v>0</v>
      </c>
      <c r="P357" t="s">
        <v>1442</v>
      </c>
      <c r="Q357">
        <v>0</v>
      </c>
      <c r="R357" t="s">
        <v>736</v>
      </c>
      <c r="S357" t="s">
        <v>737</v>
      </c>
      <c r="T357" t="s">
        <v>1442</v>
      </c>
      <c r="U357" t="s">
        <v>1442</v>
      </c>
      <c r="V357" t="s">
        <v>1442</v>
      </c>
      <c r="W357" t="s">
        <v>1442</v>
      </c>
    </row>
    <row r="358" spans="1:23" x14ac:dyDescent="0.25">
      <c r="A358" s="39">
        <v>46127.950124525501</v>
      </c>
      <c r="B358" s="40">
        <v>46127</v>
      </c>
      <c r="C358" t="s">
        <v>23</v>
      </c>
      <c r="D358" t="s">
        <v>30</v>
      </c>
      <c r="E358" t="s">
        <v>31</v>
      </c>
      <c r="F358" t="s">
        <v>32</v>
      </c>
      <c r="G358" t="s">
        <v>154</v>
      </c>
      <c r="H358" t="s">
        <v>155</v>
      </c>
      <c r="I358">
        <v>13</v>
      </c>
      <c r="J358">
        <v>18.27</v>
      </c>
      <c r="K358">
        <v>-237.51</v>
      </c>
      <c r="L358">
        <v>-1</v>
      </c>
      <c r="M358">
        <v>0</v>
      </c>
      <c r="N358" t="s">
        <v>26</v>
      </c>
      <c r="O358">
        <v>0</v>
      </c>
      <c r="P358" t="s">
        <v>1442</v>
      </c>
      <c r="Q358">
        <v>0</v>
      </c>
      <c r="R358" t="s">
        <v>738</v>
      </c>
      <c r="S358" t="s">
        <v>739</v>
      </c>
      <c r="T358" t="s">
        <v>1442</v>
      </c>
      <c r="U358" t="s">
        <v>1442</v>
      </c>
      <c r="V358" t="s">
        <v>1442</v>
      </c>
      <c r="W358" t="s">
        <v>1442</v>
      </c>
    </row>
    <row r="359" spans="1:23" x14ac:dyDescent="0.25">
      <c r="A359" s="39">
        <v>46128.4283065278</v>
      </c>
      <c r="B359" s="40">
        <v>46128</v>
      </c>
      <c r="C359" t="s">
        <v>23</v>
      </c>
      <c r="D359" t="s">
        <v>24</v>
      </c>
      <c r="E359" t="s">
        <v>25</v>
      </c>
      <c r="F359" t="s">
        <v>1442</v>
      </c>
      <c r="G359" t="s">
        <v>1442</v>
      </c>
      <c r="H359" t="s">
        <v>1442</v>
      </c>
      <c r="I359">
        <v>0</v>
      </c>
      <c r="J359">
        <v>0</v>
      </c>
      <c r="K359">
        <v>200</v>
      </c>
      <c r="L359">
        <v>0</v>
      </c>
      <c r="M359">
        <v>0</v>
      </c>
      <c r="N359" t="s">
        <v>26</v>
      </c>
      <c r="O359">
        <v>0</v>
      </c>
      <c r="P359" t="s">
        <v>1442</v>
      </c>
      <c r="Q359">
        <v>0</v>
      </c>
      <c r="R359" t="s">
        <v>647</v>
      </c>
      <c r="S359" t="s">
        <v>740</v>
      </c>
      <c r="T359" t="s">
        <v>1442</v>
      </c>
      <c r="U359" t="s">
        <v>1442</v>
      </c>
      <c r="V359" t="s">
        <v>1442</v>
      </c>
      <c r="W359" t="s">
        <v>1442</v>
      </c>
    </row>
    <row r="360" spans="1:23" x14ac:dyDescent="0.25">
      <c r="A360" s="39">
        <v>46128.428700983801</v>
      </c>
      <c r="B360" s="40">
        <v>46128</v>
      </c>
      <c r="C360" t="s">
        <v>23</v>
      </c>
      <c r="D360" t="s">
        <v>30</v>
      </c>
      <c r="E360" t="s">
        <v>31</v>
      </c>
      <c r="F360" t="s">
        <v>32</v>
      </c>
      <c r="G360" t="s">
        <v>262</v>
      </c>
      <c r="H360" t="s">
        <v>263</v>
      </c>
      <c r="I360">
        <v>4</v>
      </c>
      <c r="J360">
        <v>40.42</v>
      </c>
      <c r="K360">
        <v>-161.68</v>
      </c>
      <c r="L360">
        <v>-1</v>
      </c>
      <c r="M360">
        <v>0</v>
      </c>
      <c r="N360" t="s">
        <v>26</v>
      </c>
      <c r="O360">
        <v>0</v>
      </c>
      <c r="P360" t="s">
        <v>1442</v>
      </c>
      <c r="Q360">
        <v>0</v>
      </c>
      <c r="R360" t="s">
        <v>741</v>
      </c>
      <c r="S360" t="s">
        <v>742</v>
      </c>
      <c r="T360" t="s">
        <v>1442</v>
      </c>
      <c r="U360" t="s">
        <v>1442</v>
      </c>
      <c r="V360" t="s">
        <v>1442</v>
      </c>
      <c r="W360" t="s">
        <v>1442</v>
      </c>
    </row>
    <row r="361" spans="1:23" x14ac:dyDescent="0.25">
      <c r="A361" s="39">
        <v>46128.428701504599</v>
      </c>
      <c r="B361" s="40">
        <v>46128</v>
      </c>
      <c r="C361" t="s">
        <v>23</v>
      </c>
      <c r="D361" t="s">
        <v>30</v>
      </c>
      <c r="E361" t="s">
        <v>31</v>
      </c>
      <c r="F361" t="s">
        <v>32</v>
      </c>
      <c r="G361" t="s">
        <v>262</v>
      </c>
      <c r="H361" t="s">
        <v>263</v>
      </c>
      <c r="I361">
        <v>0.92330500000000004</v>
      </c>
      <c r="J361">
        <v>40.42</v>
      </c>
      <c r="K361">
        <v>-37.32</v>
      </c>
      <c r="L361">
        <v>0</v>
      </c>
      <c r="M361">
        <v>0</v>
      </c>
      <c r="N361" t="s">
        <v>26</v>
      </c>
      <c r="O361">
        <v>0</v>
      </c>
      <c r="P361" t="s">
        <v>1442</v>
      </c>
      <c r="Q361">
        <v>0</v>
      </c>
      <c r="R361" t="s">
        <v>743</v>
      </c>
      <c r="S361" t="s">
        <v>744</v>
      </c>
      <c r="T361" t="s">
        <v>1442</v>
      </c>
      <c r="U361" t="s">
        <v>1442</v>
      </c>
      <c r="V361" t="s">
        <v>1442</v>
      </c>
      <c r="W361" t="s">
        <v>1442</v>
      </c>
    </row>
    <row r="362" spans="1:23" x14ac:dyDescent="0.25">
      <c r="A362" s="39">
        <v>46128.839542661997</v>
      </c>
      <c r="B362" s="40">
        <v>46128</v>
      </c>
      <c r="C362" t="s">
        <v>23</v>
      </c>
      <c r="D362" t="s">
        <v>24</v>
      </c>
      <c r="E362" t="s">
        <v>729</v>
      </c>
      <c r="F362" t="s">
        <v>1442</v>
      </c>
      <c r="G362" t="s">
        <v>1442</v>
      </c>
      <c r="H362" t="s">
        <v>1442</v>
      </c>
      <c r="I362">
        <v>0</v>
      </c>
      <c r="J362">
        <v>0</v>
      </c>
      <c r="K362">
        <v>0.27</v>
      </c>
      <c r="L362">
        <v>0</v>
      </c>
      <c r="M362">
        <v>0</v>
      </c>
      <c r="N362" t="s">
        <v>26</v>
      </c>
      <c r="O362">
        <v>0</v>
      </c>
      <c r="P362" t="s">
        <v>1442</v>
      </c>
      <c r="Q362">
        <v>0</v>
      </c>
      <c r="R362" t="s">
        <v>730</v>
      </c>
      <c r="S362" t="s">
        <v>745</v>
      </c>
      <c r="T362" t="s">
        <v>1442</v>
      </c>
      <c r="U362" t="s">
        <v>1442</v>
      </c>
      <c r="V362" t="s">
        <v>1442</v>
      </c>
      <c r="W362" t="s">
        <v>1442</v>
      </c>
    </row>
    <row r="363" spans="1:23" x14ac:dyDescent="0.25">
      <c r="A363" s="39">
        <v>46129.526276307901</v>
      </c>
      <c r="B363" s="40">
        <v>46129</v>
      </c>
      <c r="C363" t="s">
        <v>23</v>
      </c>
      <c r="D363" t="s">
        <v>24</v>
      </c>
      <c r="E363" t="s">
        <v>25</v>
      </c>
      <c r="F363" t="s">
        <v>1442</v>
      </c>
      <c r="G363" t="s">
        <v>1442</v>
      </c>
      <c r="H363" t="s">
        <v>1442</v>
      </c>
      <c r="I363">
        <v>0</v>
      </c>
      <c r="J363">
        <v>0</v>
      </c>
      <c r="K363">
        <v>201</v>
      </c>
      <c r="L363">
        <v>0</v>
      </c>
      <c r="M363">
        <v>0</v>
      </c>
      <c r="N363" t="s">
        <v>26</v>
      </c>
      <c r="O363">
        <v>0</v>
      </c>
      <c r="P363" t="s">
        <v>1442</v>
      </c>
      <c r="Q363">
        <v>0</v>
      </c>
      <c r="R363" t="s">
        <v>246</v>
      </c>
      <c r="S363" t="s">
        <v>746</v>
      </c>
      <c r="T363" t="s">
        <v>1442</v>
      </c>
      <c r="U363" t="s">
        <v>1442</v>
      </c>
      <c r="V363" t="s">
        <v>1442</v>
      </c>
      <c r="W363" t="s">
        <v>1442</v>
      </c>
    </row>
    <row r="364" spans="1:23" x14ac:dyDescent="0.25">
      <c r="A364" s="39">
        <v>46129.527219548603</v>
      </c>
      <c r="B364" s="40">
        <v>46129</v>
      </c>
      <c r="C364" t="s">
        <v>23</v>
      </c>
      <c r="D364" t="s">
        <v>30</v>
      </c>
      <c r="E364" t="s">
        <v>31</v>
      </c>
      <c r="F364" t="s">
        <v>32</v>
      </c>
      <c r="G364" t="s">
        <v>747</v>
      </c>
      <c r="H364" t="s">
        <v>748</v>
      </c>
      <c r="I364">
        <v>0.43635000000000002</v>
      </c>
      <c r="J364">
        <v>82.09</v>
      </c>
      <c r="K364">
        <v>-35.82</v>
      </c>
      <c r="L364">
        <v>0</v>
      </c>
      <c r="M364">
        <v>0</v>
      </c>
      <c r="N364" t="s">
        <v>26</v>
      </c>
      <c r="O364">
        <v>0</v>
      </c>
      <c r="P364" t="s">
        <v>1442</v>
      </c>
      <c r="Q364">
        <v>0</v>
      </c>
      <c r="R364" t="s">
        <v>749</v>
      </c>
      <c r="S364" t="s">
        <v>750</v>
      </c>
      <c r="T364" t="s">
        <v>1442</v>
      </c>
      <c r="U364" t="s">
        <v>1442</v>
      </c>
      <c r="V364" t="s">
        <v>1442</v>
      </c>
      <c r="W364" t="s">
        <v>1442</v>
      </c>
    </row>
    <row r="365" spans="1:23" x14ac:dyDescent="0.25">
      <c r="A365" s="39">
        <v>46129.527219606498</v>
      </c>
      <c r="B365" s="40">
        <v>46129</v>
      </c>
      <c r="C365" t="s">
        <v>23</v>
      </c>
      <c r="D365" t="s">
        <v>30</v>
      </c>
      <c r="E365" t="s">
        <v>31</v>
      </c>
      <c r="F365" t="s">
        <v>32</v>
      </c>
      <c r="G365" t="s">
        <v>747</v>
      </c>
      <c r="H365" t="s">
        <v>748</v>
      </c>
      <c r="I365">
        <v>2</v>
      </c>
      <c r="J365">
        <v>82.09</v>
      </c>
      <c r="K365">
        <v>-164.18</v>
      </c>
      <c r="L365">
        <v>-1</v>
      </c>
      <c r="M365">
        <v>0</v>
      </c>
      <c r="N365" t="s">
        <v>26</v>
      </c>
      <c r="O365">
        <v>0</v>
      </c>
      <c r="P365" t="s">
        <v>1442</v>
      </c>
      <c r="Q365">
        <v>0</v>
      </c>
      <c r="R365" t="s">
        <v>751</v>
      </c>
      <c r="S365" t="s">
        <v>752</v>
      </c>
      <c r="T365" t="s">
        <v>1442</v>
      </c>
      <c r="U365" t="s">
        <v>1442</v>
      </c>
      <c r="V365" t="s">
        <v>1442</v>
      </c>
      <c r="W365" t="s">
        <v>1442</v>
      </c>
    </row>
    <row r="366" spans="1:23" x14ac:dyDescent="0.25">
      <c r="A366" s="39">
        <v>46129.607291851898</v>
      </c>
      <c r="B366" s="40">
        <v>46129</v>
      </c>
      <c r="C366" t="s">
        <v>23</v>
      </c>
      <c r="D366" t="s">
        <v>24</v>
      </c>
      <c r="E366" t="s">
        <v>25</v>
      </c>
      <c r="F366" t="s">
        <v>1442</v>
      </c>
      <c r="G366" t="s">
        <v>1442</v>
      </c>
      <c r="H366" t="s">
        <v>1442</v>
      </c>
      <c r="I366">
        <v>0</v>
      </c>
      <c r="J366">
        <v>0</v>
      </c>
      <c r="K366">
        <v>2</v>
      </c>
      <c r="L366">
        <v>0</v>
      </c>
      <c r="M366">
        <v>0</v>
      </c>
      <c r="N366" t="s">
        <v>26</v>
      </c>
      <c r="O366">
        <v>0</v>
      </c>
      <c r="P366" t="s">
        <v>1442</v>
      </c>
      <c r="Q366">
        <v>0</v>
      </c>
      <c r="R366" t="s">
        <v>647</v>
      </c>
      <c r="S366" t="s">
        <v>753</v>
      </c>
      <c r="T366" t="s">
        <v>1442</v>
      </c>
      <c r="U366" t="s">
        <v>1442</v>
      </c>
      <c r="V366" t="s">
        <v>1442</v>
      </c>
      <c r="W366" t="s">
        <v>1442</v>
      </c>
    </row>
    <row r="367" spans="1:23" x14ac:dyDescent="0.25">
      <c r="A367" s="39">
        <v>46129.607726041701</v>
      </c>
      <c r="B367" s="40">
        <v>46129</v>
      </c>
      <c r="C367" t="s">
        <v>23</v>
      </c>
      <c r="D367" t="s">
        <v>24</v>
      </c>
      <c r="E367" t="s">
        <v>161</v>
      </c>
      <c r="F367" t="s">
        <v>1442</v>
      </c>
      <c r="G367" t="s">
        <v>1442</v>
      </c>
      <c r="H367" t="s">
        <v>1442</v>
      </c>
      <c r="I367">
        <v>0</v>
      </c>
      <c r="J367">
        <v>0</v>
      </c>
      <c r="K367">
        <v>-2.88</v>
      </c>
      <c r="L367">
        <v>0</v>
      </c>
      <c r="M367">
        <v>0</v>
      </c>
      <c r="N367" t="s">
        <v>26</v>
      </c>
      <c r="O367">
        <v>0</v>
      </c>
      <c r="P367" t="s">
        <v>1442</v>
      </c>
      <c r="Q367">
        <v>0</v>
      </c>
      <c r="R367" t="s">
        <v>661</v>
      </c>
      <c r="S367" t="s">
        <v>754</v>
      </c>
      <c r="T367" t="s">
        <v>1442</v>
      </c>
      <c r="U367" t="s">
        <v>1442</v>
      </c>
      <c r="V367" t="s">
        <v>1442</v>
      </c>
      <c r="W367" t="s">
        <v>1442</v>
      </c>
    </row>
    <row r="368" spans="1:23" x14ac:dyDescent="0.25">
      <c r="A368" s="39">
        <v>46129.946105578703</v>
      </c>
      <c r="B368" s="40">
        <v>46129</v>
      </c>
      <c r="C368" t="s">
        <v>23</v>
      </c>
      <c r="D368" t="s">
        <v>24</v>
      </c>
      <c r="E368" t="s">
        <v>25</v>
      </c>
      <c r="F368" t="s">
        <v>1442</v>
      </c>
      <c r="G368" t="s">
        <v>1442</v>
      </c>
      <c r="H368" t="s">
        <v>1442</v>
      </c>
      <c r="I368">
        <v>0</v>
      </c>
      <c r="J368">
        <v>0</v>
      </c>
      <c r="K368">
        <v>51</v>
      </c>
      <c r="L368">
        <v>0</v>
      </c>
      <c r="M368">
        <v>0</v>
      </c>
      <c r="N368" t="s">
        <v>26</v>
      </c>
      <c r="O368">
        <v>0</v>
      </c>
      <c r="P368" t="s">
        <v>1442</v>
      </c>
      <c r="Q368">
        <v>0</v>
      </c>
      <c r="R368" t="s">
        <v>246</v>
      </c>
      <c r="S368" t="s">
        <v>755</v>
      </c>
      <c r="T368" t="s">
        <v>1442</v>
      </c>
      <c r="U368" t="s">
        <v>1442</v>
      </c>
      <c r="V368" t="s">
        <v>1442</v>
      </c>
      <c r="W368" t="s">
        <v>1442</v>
      </c>
    </row>
    <row r="369" spans="1:23" x14ac:dyDescent="0.25">
      <c r="A369" s="39">
        <v>46129.946639374997</v>
      </c>
      <c r="B369" s="40">
        <v>46129</v>
      </c>
      <c r="C369" t="s">
        <v>23</v>
      </c>
      <c r="D369" t="s">
        <v>24</v>
      </c>
      <c r="E369" t="s">
        <v>25</v>
      </c>
      <c r="F369" t="s">
        <v>1442</v>
      </c>
      <c r="G369" t="s">
        <v>1442</v>
      </c>
      <c r="H369" t="s">
        <v>1442</v>
      </c>
      <c r="I369">
        <v>0</v>
      </c>
      <c r="J369">
        <v>0</v>
      </c>
      <c r="K369">
        <v>50</v>
      </c>
      <c r="L369">
        <v>0</v>
      </c>
      <c r="M369">
        <v>0</v>
      </c>
      <c r="N369" t="s">
        <v>26</v>
      </c>
      <c r="O369">
        <v>0</v>
      </c>
      <c r="P369" t="s">
        <v>1442</v>
      </c>
      <c r="Q369">
        <v>0</v>
      </c>
      <c r="R369" t="s">
        <v>246</v>
      </c>
      <c r="S369" t="s">
        <v>756</v>
      </c>
      <c r="T369" t="s">
        <v>1442</v>
      </c>
      <c r="U369" t="s">
        <v>1442</v>
      </c>
      <c r="V369" t="s">
        <v>1442</v>
      </c>
      <c r="W369" t="s">
        <v>1442</v>
      </c>
    </row>
    <row r="370" spans="1:23" x14ac:dyDescent="0.25">
      <c r="A370" s="39">
        <v>46129.946756458303</v>
      </c>
      <c r="B370" s="40">
        <v>46129</v>
      </c>
      <c r="C370" t="s">
        <v>23</v>
      </c>
      <c r="D370" t="s">
        <v>30</v>
      </c>
      <c r="E370" t="s">
        <v>31</v>
      </c>
      <c r="F370" t="s">
        <v>32</v>
      </c>
      <c r="G370" t="s">
        <v>640</v>
      </c>
      <c r="H370" t="s">
        <v>641</v>
      </c>
      <c r="I370">
        <v>0.44090499999999999</v>
      </c>
      <c r="J370">
        <v>8.0380000000000003</v>
      </c>
      <c r="K370">
        <v>-3.54</v>
      </c>
      <c r="L370">
        <v>0</v>
      </c>
      <c r="M370">
        <v>0</v>
      </c>
      <c r="N370" t="s">
        <v>26</v>
      </c>
      <c r="O370">
        <v>0</v>
      </c>
      <c r="P370" t="s">
        <v>1442</v>
      </c>
      <c r="Q370">
        <v>0</v>
      </c>
      <c r="R370" t="s">
        <v>757</v>
      </c>
      <c r="S370" t="s">
        <v>758</v>
      </c>
      <c r="T370" t="s">
        <v>1442</v>
      </c>
      <c r="U370" t="s">
        <v>1442</v>
      </c>
      <c r="V370" t="s">
        <v>1442</v>
      </c>
      <c r="W370" t="s">
        <v>1442</v>
      </c>
    </row>
    <row r="371" spans="1:23" x14ac:dyDescent="0.25">
      <c r="A371" s="39">
        <v>46129.946756597201</v>
      </c>
      <c r="B371" s="40">
        <v>46129</v>
      </c>
      <c r="C371" t="s">
        <v>23</v>
      </c>
      <c r="D371" t="s">
        <v>30</v>
      </c>
      <c r="E371" t="s">
        <v>31</v>
      </c>
      <c r="F371" t="s">
        <v>32</v>
      </c>
      <c r="G371" t="s">
        <v>640</v>
      </c>
      <c r="H371" t="s">
        <v>641</v>
      </c>
      <c r="I371">
        <v>12</v>
      </c>
      <c r="J371">
        <v>8.0380000000000003</v>
      </c>
      <c r="K371">
        <v>-96.46</v>
      </c>
      <c r="L371">
        <v>-1</v>
      </c>
      <c r="M371">
        <v>0</v>
      </c>
      <c r="N371" t="s">
        <v>26</v>
      </c>
      <c r="O371">
        <v>0</v>
      </c>
      <c r="P371" t="s">
        <v>1442</v>
      </c>
      <c r="Q371">
        <v>0</v>
      </c>
      <c r="R371" t="s">
        <v>759</v>
      </c>
      <c r="S371" t="s">
        <v>760</v>
      </c>
      <c r="T371" t="s">
        <v>1442</v>
      </c>
      <c r="U371" t="s">
        <v>1442</v>
      </c>
      <c r="V371" t="s">
        <v>1442</v>
      </c>
      <c r="W371" t="s">
        <v>1442</v>
      </c>
    </row>
    <row r="372" spans="1:23" x14ac:dyDescent="0.25">
      <c r="A372" s="39">
        <v>46134.5425895718</v>
      </c>
      <c r="B372" s="40">
        <v>46134</v>
      </c>
      <c r="C372" t="s">
        <v>23</v>
      </c>
      <c r="D372" t="s">
        <v>24</v>
      </c>
      <c r="E372" t="s">
        <v>25</v>
      </c>
      <c r="F372" t="s">
        <v>1442</v>
      </c>
      <c r="G372" t="s">
        <v>1442</v>
      </c>
      <c r="H372" t="s">
        <v>1442</v>
      </c>
      <c r="I372">
        <v>0</v>
      </c>
      <c r="J372">
        <v>0</v>
      </c>
      <c r="K372">
        <v>1</v>
      </c>
      <c r="L372">
        <v>0</v>
      </c>
      <c r="M372">
        <v>0</v>
      </c>
      <c r="N372" t="s">
        <v>26</v>
      </c>
      <c r="O372">
        <v>0</v>
      </c>
      <c r="P372" t="s">
        <v>1442</v>
      </c>
      <c r="Q372">
        <v>0</v>
      </c>
      <c r="R372" t="s">
        <v>647</v>
      </c>
      <c r="S372" t="s">
        <v>761</v>
      </c>
      <c r="T372" t="s">
        <v>1442</v>
      </c>
      <c r="U372" t="s">
        <v>1442</v>
      </c>
      <c r="V372" t="s">
        <v>1442</v>
      </c>
      <c r="W372" t="s">
        <v>1442</v>
      </c>
    </row>
    <row r="373" spans="1:23" x14ac:dyDescent="0.25">
      <c r="A373" s="39">
        <v>46135.758826296304</v>
      </c>
      <c r="B373" s="40">
        <v>46135</v>
      </c>
      <c r="C373" t="s">
        <v>23</v>
      </c>
      <c r="D373" t="s">
        <v>30</v>
      </c>
      <c r="E373" t="s">
        <v>82</v>
      </c>
      <c r="F373" t="s">
        <v>32</v>
      </c>
      <c r="G373" t="s">
        <v>640</v>
      </c>
      <c r="H373" t="s">
        <v>641</v>
      </c>
      <c r="I373">
        <v>-5.9461E-2</v>
      </c>
      <c r="J373">
        <v>9.4779999999999998</v>
      </c>
      <c r="K373">
        <v>0.56000000000000005</v>
      </c>
      <c r="L373">
        <v>0</v>
      </c>
      <c r="M373">
        <v>0</v>
      </c>
      <c r="N373" t="s">
        <v>26</v>
      </c>
      <c r="O373">
        <v>0</v>
      </c>
      <c r="P373" t="s">
        <v>1442</v>
      </c>
      <c r="Q373">
        <v>0</v>
      </c>
      <c r="R373" t="s">
        <v>762</v>
      </c>
      <c r="S373" t="s">
        <v>763</v>
      </c>
      <c r="T373" t="s">
        <v>1442</v>
      </c>
      <c r="U373" t="s">
        <v>1442</v>
      </c>
      <c r="V373" t="s">
        <v>1442</v>
      </c>
      <c r="W373" t="s">
        <v>1442</v>
      </c>
    </row>
    <row r="374" spans="1:23" x14ac:dyDescent="0.25">
      <c r="A374" s="39">
        <v>46135.758826319397</v>
      </c>
      <c r="B374" s="40">
        <v>46135</v>
      </c>
      <c r="C374" t="s">
        <v>23</v>
      </c>
      <c r="D374" t="s">
        <v>30</v>
      </c>
      <c r="E374" t="s">
        <v>82</v>
      </c>
      <c r="F374" t="s">
        <v>32</v>
      </c>
      <c r="G374" t="s">
        <v>640</v>
      </c>
      <c r="H374" t="s">
        <v>641</v>
      </c>
      <c r="I374">
        <v>-33</v>
      </c>
      <c r="J374">
        <v>9.4779999999999998</v>
      </c>
      <c r="K374">
        <v>312.77</v>
      </c>
      <c r="L374">
        <v>-1</v>
      </c>
      <c r="M374">
        <v>0</v>
      </c>
      <c r="N374" t="s">
        <v>26</v>
      </c>
      <c r="O374">
        <v>0</v>
      </c>
      <c r="P374" t="s">
        <v>1442</v>
      </c>
      <c r="Q374">
        <v>0</v>
      </c>
      <c r="R374" t="s">
        <v>764</v>
      </c>
      <c r="S374" t="s">
        <v>765</v>
      </c>
      <c r="T374" t="s">
        <v>1442</v>
      </c>
      <c r="U374" t="s">
        <v>1442</v>
      </c>
      <c r="V374" t="s">
        <v>1442</v>
      </c>
      <c r="W374" t="s">
        <v>1442</v>
      </c>
    </row>
    <row r="375" spans="1:23" x14ac:dyDescent="0.25">
      <c r="A375" s="39">
        <v>46137.521257036999</v>
      </c>
      <c r="B375" s="40">
        <v>46137</v>
      </c>
      <c r="C375" t="s">
        <v>23</v>
      </c>
      <c r="D375" t="s">
        <v>24</v>
      </c>
      <c r="E375" t="s">
        <v>161</v>
      </c>
      <c r="F375" t="s">
        <v>1442</v>
      </c>
      <c r="G375" t="s">
        <v>1442</v>
      </c>
      <c r="H375" t="s">
        <v>1442</v>
      </c>
      <c r="I375">
        <v>0</v>
      </c>
      <c r="J375">
        <v>0</v>
      </c>
      <c r="K375">
        <v>-313.33</v>
      </c>
      <c r="L375">
        <v>0</v>
      </c>
      <c r="M375">
        <v>0</v>
      </c>
      <c r="N375" t="s">
        <v>26</v>
      </c>
      <c r="O375">
        <v>0</v>
      </c>
      <c r="P375" t="s">
        <v>1442</v>
      </c>
      <c r="Q375">
        <v>0</v>
      </c>
      <c r="R375" t="s">
        <v>661</v>
      </c>
      <c r="S375" t="s">
        <v>766</v>
      </c>
      <c r="T375" t="s">
        <v>1442</v>
      </c>
      <c r="U375" t="s">
        <v>1442</v>
      </c>
      <c r="V375" t="s">
        <v>1442</v>
      </c>
      <c r="W375" t="s">
        <v>1442</v>
      </c>
    </row>
    <row r="376" spans="1:23" x14ac:dyDescent="0.25">
      <c r="A376" s="39">
        <v>46140.403781921297</v>
      </c>
      <c r="B376" s="40">
        <v>46140</v>
      </c>
      <c r="C376" t="s">
        <v>23</v>
      </c>
      <c r="D376" t="s">
        <v>24</v>
      </c>
      <c r="E376" t="s">
        <v>25</v>
      </c>
      <c r="F376" t="s">
        <v>1442</v>
      </c>
      <c r="G376" t="s">
        <v>1442</v>
      </c>
      <c r="H376" t="s">
        <v>1442</v>
      </c>
      <c r="I376">
        <v>0</v>
      </c>
      <c r="J376">
        <v>0</v>
      </c>
      <c r="K376">
        <v>150</v>
      </c>
      <c r="L376">
        <v>0</v>
      </c>
      <c r="M376">
        <v>0</v>
      </c>
      <c r="N376" t="s">
        <v>26</v>
      </c>
      <c r="O376">
        <v>0</v>
      </c>
      <c r="P376" t="s">
        <v>1442</v>
      </c>
      <c r="Q376">
        <v>0</v>
      </c>
      <c r="R376" t="s">
        <v>246</v>
      </c>
      <c r="S376" t="s">
        <v>767</v>
      </c>
      <c r="T376" t="s">
        <v>1442</v>
      </c>
      <c r="U376" t="s">
        <v>1442</v>
      </c>
      <c r="V376" t="s">
        <v>1442</v>
      </c>
      <c r="W376" t="s">
        <v>1442</v>
      </c>
    </row>
    <row r="377" spans="1:23" x14ac:dyDescent="0.25">
      <c r="A377" s="39">
        <v>46140.519730879598</v>
      </c>
      <c r="B377" s="40">
        <v>46140</v>
      </c>
      <c r="C377" t="s">
        <v>23</v>
      </c>
      <c r="D377" t="s">
        <v>30</v>
      </c>
      <c r="E377" t="s">
        <v>31</v>
      </c>
      <c r="F377" t="s">
        <v>464</v>
      </c>
      <c r="G377" t="s">
        <v>718</v>
      </c>
      <c r="H377" t="s">
        <v>719</v>
      </c>
      <c r="I377">
        <v>0.44286900000000001</v>
      </c>
      <c r="J377">
        <v>225.8</v>
      </c>
      <c r="K377">
        <v>-100</v>
      </c>
      <c r="L377">
        <v>-1</v>
      </c>
      <c r="M377">
        <v>0</v>
      </c>
      <c r="N377" t="s">
        <v>26</v>
      </c>
      <c r="O377">
        <v>0</v>
      </c>
      <c r="P377" t="s">
        <v>1442</v>
      </c>
      <c r="Q377">
        <v>0</v>
      </c>
      <c r="R377" t="s">
        <v>768</v>
      </c>
      <c r="S377" t="s">
        <v>769</v>
      </c>
      <c r="T377" t="s">
        <v>1442</v>
      </c>
      <c r="U377" t="s">
        <v>1442</v>
      </c>
      <c r="V377" t="s">
        <v>1442</v>
      </c>
      <c r="W377" t="s">
        <v>1442</v>
      </c>
    </row>
    <row r="378" spans="1:23" x14ac:dyDescent="0.25">
      <c r="A378" s="39">
        <v>46140.956755173604</v>
      </c>
      <c r="B378" s="40">
        <v>46140</v>
      </c>
      <c r="C378" t="s">
        <v>23</v>
      </c>
      <c r="D378" t="s">
        <v>30</v>
      </c>
      <c r="E378" t="s">
        <v>31</v>
      </c>
      <c r="F378" t="s">
        <v>32</v>
      </c>
      <c r="G378" t="s">
        <v>205</v>
      </c>
      <c r="H378" t="s">
        <v>206</v>
      </c>
      <c r="I378">
        <v>18</v>
      </c>
      <c r="J378">
        <v>2.601</v>
      </c>
      <c r="K378">
        <v>-46.82</v>
      </c>
      <c r="L378">
        <v>-1</v>
      </c>
      <c r="M378">
        <v>0</v>
      </c>
      <c r="N378" t="s">
        <v>26</v>
      </c>
      <c r="O378">
        <v>0</v>
      </c>
      <c r="P378" t="s">
        <v>1442</v>
      </c>
      <c r="Q378">
        <v>0</v>
      </c>
      <c r="R378" t="s">
        <v>770</v>
      </c>
      <c r="S378" t="s">
        <v>771</v>
      </c>
      <c r="T378" t="s">
        <v>1442</v>
      </c>
      <c r="U378" t="s">
        <v>1442</v>
      </c>
      <c r="V378" t="s">
        <v>1442</v>
      </c>
      <c r="W378" t="s">
        <v>1442</v>
      </c>
    </row>
    <row r="379" spans="1:23" x14ac:dyDescent="0.25">
      <c r="A379" s="39">
        <v>46140.956755196799</v>
      </c>
      <c r="B379" s="40">
        <v>46140</v>
      </c>
      <c r="C379" t="s">
        <v>23</v>
      </c>
      <c r="D379" t="s">
        <v>30</v>
      </c>
      <c r="E379" t="s">
        <v>31</v>
      </c>
      <c r="F379" t="s">
        <v>32</v>
      </c>
      <c r="G379" t="s">
        <v>205</v>
      </c>
      <c r="H379" t="s">
        <v>206</v>
      </c>
      <c r="I379">
        <v>0.45444000000000001</v>
      </c>
      <c r="J379">
        <v>2.601</v>
      </c>
      <c r="K379">
        <v>-1.18</v>
      </c>
      <c r="L379">
        <v>0</v>
      </c>
      <c r="M379">
        <v>0</v>
      </c>
      <c r="N379" t="s">
        <v>26</v>
      </c>
      <c r="O379">
        <v>0</v>
      </c>
      <c r="P379" t="s">
        <v>1442</v>
      </c>
      <c r="Q379">
        <v>0</v>
      </c>
      <c r="R379" t="s">
        <v>772</v>
      </c>
      <c r="S379" t="s">
        <v>773</v>
      </c>
      <c r="T379" t="s">
        <v>1442</v>
      </c>
      <c r="U379" t="s">
        <v>1442</v>
      </c>
      <c r="V379" t="s">
        <v>1442</v>
      </c>
      <c r="W379" t="s">
        <v>1442</v>
      </c>
    </row>
    <row r="380" spans="1:23" x14ac:dyDescent="0.25">
      <c r="A380" s="39">
        <v>46140.957243078701</v>
      </c>
      <c r="B380" s="40">
        <v>46140</v>
      </c>
      <c r="C380" t="s">
        <v>23</v>
      </c>
      <c r="D380" t="s">
        <v>24</v>
      </c>
      <c r="E380" t="s">
        <v>25</v>
      </c>
      <c r="F380" t="s">
        <v>1442</v>
      </c>
      <c r="G380" t="s">
        <v>774</v>
      </c>
      <c r="H380" t="s">
        <v>1442</v>
      </c>
      <c r="I380">
        <v>0</v>
      </c>
      <c r="J380">
        <v>0</v>
      </c>
      <c r="K380">
        <v>100</v>
      </c>
      <c r="L380">
        <v>0</v>
      </c>
      <c r="M380">
        <v>0</v>
      </c>
      <c r="N380" t="s">
        <v>26</v>
      </c>
      <c r="O380">
        <v>0</v>
      </c>
      <c r="P380" t="s">
        <v>1442</v>
      </c>
      <c r="Q380">
        <v>0</v>
      </c>
      <c r="R380" t="s">
        <v>246</v>
      </c>
      <c r="S380" t="s">
        <v>775</v>
      </c>
      <c r="T380" t="s">
        <v>774</v>
      </c>
      <c r="U380" t="s">
        <v>776</v>
      </c>
      <c r="V380" t="s">
        <v>1442</v>
      </c>
      <c r="W380" t="s">
        <v>1442</v>
      </c>
    </row>
    <row r="381" spans="1:23" x14ac:dyDescent="0.25">
      <c r="A381" s="39">
        <v>46140.957447106499</v>
      </c>
      <c r="B381" s="40">
        <v>46140</v>
      </c>
      <c r="C381" t="s">
        <v>23</v>
      </c>
      <c r="D381" t="s">
        <v>30</v>
      </c>
      <c r="E381" t="s">
        <v>31</v>
      </c>
      <c r="F381" t="s">
        <v>32</v>
      </c>
      <c r="G381" t="s">
        <v>154</v>
      </c>
      <c r="H381" t="s">
        <v>155</v>
      </c>
      <c r="I381">
        <v>0.38503700000000002</v>
      </c>
      <c r="J381">
        <v>15.505000000000001</v>
      </c>
      <c r="K381">
        <v>-5.97</v>
      </c>
      <c r="L381">
        <v>0</v>
      </c>
      <c r="M381">
        <v>0</v>
      </c>
      <c r="N381" t="s">
        <v>26</v>
      </c>
      <c r="O381">
        <v>0</v>
      </c>
      <c r="P381" t="s">
        <v>1442</v>
      </c>
      <c r="Q381">
        <v>0</v>
      </c>
      <c r="R381" t="s">
        <v>777</v>
      </c>
      <c r="S381" t="s">
        <v>778</v>
      </c>
      <c r="T381" t="s">
        <v>1442</v>
      </c>
      <c r="U381" t="s">
        <v>1442</v>
      </c>
      <c r="V381" t="s">
        <v>1442</v>
      </c>
      <c r="W381" t="s">
        <v>1442</v>
      </c>
    </row>
    <row r="382" spans="1:23" x14ac:dyDescent="0.25">
      <c r="A382" s="39">
        <v>46140.9574471296</v>
      </c>
      <c r="B382" s="40">
        <v>46140</v>
      </c>
      <c r="C382" t="s">
        <v>23</v>
      </c>
      <c r="D382" t="s">
        <v>30</v>
      </c>
      <c r="E382" t="s">
        <v>31</v>
      </c>
      <c r="F382" t="s">
        <v>32</v>
      </c>
      <c r="G382" t="s">
        <v>154</v>
      </c>
      <c r="H382" t="s">
        <v>155</v>
      </c>
      <c r="I382">
        <v>6</v>
      </c>
      <c r="J382">
        <v>15.505000000000001</v>
      </c>
      <c r="K382">
        <v>-93.03</v>
      </c>
      <c r="L382">
        <v>-1</v>
      </c>
      <c r="M382">
        <v>0</v>
      </c>
      <c r="N382" t="s">
        <v>26</v>
      </c>
      <c r="O382">
        <v>0</v>
      </c>
      <c r="P382" t="s">
        <v>1442</v>
      </c>
      <c r="Q382">
        <v>0</v>
      </c>
      <c r="R382" t="s">
        <v>779</v>
      </c>
      <c r="S382" t="s">
        <v>780</v>
      </c>
      <c r="T382" t="s">
        <v>1442</v>
      </c>
      <c r="U382" t="s">
        <v>1442</v>
      </c>
      <c r="V382" t="s">
        <v>1442</v>
      </c>
      <c r="W382" t="s">
        <v>1442</v>
      </c>
    </row>
    <row r="383" spans="1:23" x14ac:dyDescent="0.25">
      <c r="A383" s="39">
        <v>46141.425210786998</v>
      </c>
      <c r="B383" s="40">
        <v>46141</v>
      </c>
      <c r="C383" t="s">
        <v>23</v>
      </c>
      <c r="D383" t="s">
        <v>24</v>
      </c>
      <c r="E383" t="s">
        <v>178</v>
      </c>
      <c r="F383" t="s">
        <v>32</v>
      </c>
      <c r="G383" t="s">
        <v>262</v>
      </c>
      <c r="H383" t="s">
        <v>263</v>
      </c>
      <c r="I383">
        <v>5.5052190000000003</v>
      </c>
      <c r="J383">
        <v>0</v>
      </c>
      <c r="K383">
        <v>0.61</v>
      </c>
      <c r="L383">
        <v>0</v>
      </c>
      <c r="M383">
        <v>0</v>
      </c>
      <c r="N383" t="s">
        <v>26</v>
      </c>
      <c r="O383">
        <v>0</v>
      </c>
      <c r="P383" t="s">
        <v>1442</v>
      </c>
      <c r="Q383">
        <v>0</v>
      </c>
      <c r="R383" t="s">
        <v>781</v>
      </c>
      <c r="S383" t="s">
        <v>782</v>
      </c>
      <c r="T383" t="s">
        <v>1442</v>
      </c>
      <c r="U383" t="s">
        <v>1442</v>
      </c>
      <c r="V383" t="s">
        <v>1442</v>
      </c>
      <c r="W383" t="s">
        <v>1442</v>
      </c>
    </row>
    <row r="384" spans="1:23" x14ac:dyDescent="0.25">
      <c r="A384" s="39">
        <v>46141.429128668999</v>
      </c>
      <c r="B384" s="40">
        <v>46141</v>
      </c>
      <c r="C384" t="s">
        <v>23</v>
      </c>
      <c r="D384" t="s">
        <v>24</v>
      </c>
      <c r="E384" t="s">
        <v>25</v>
      </c>
      <c r="F384" t="s">
        <v>1442</v>
      </c>
      <c r="G384" t="s">
        <v>774</v>
      </c>
      <c r="H384" t="s">
        <v>1442</v>
      </c>
      <c r="I384">
        <v>0</v>
      </c>
      <c r="J384">
        <v>0</v>
      </c>
      <c r="K384">
        <v>201</v>
      </c>
      <c r="L384">
        <v>0</v>
      </c>
      <c r="M384">
        <v>0</v>
      </c>
      <c r="N384" t="s">
        <v>26</v>
      </c>
      <c r="O384">
        <v>0</v>
      </c>
      <c r="P384" t="s">
        <v>1442</v>
      </c>
      <c r="Q384">
        <v>0</v>
      </c>
      <c r="R384" t="s">
        <v>246</v>
      </c>
      <c r="S384" t="s">
        <v>783</v>
      </c>
      <c r="T384" t="s">
        <v>774</v>
      </c>
      <c r="U384" t="s">
        <v>776</v>
      </c>
      <c r="V384" t="s">
        <v>1442</v>
      </c>
      <c r="W384" t="s">
        <v>1442</v>
      </c>
    </row>
    <row r="385" spans="1:23" x14ac:dyDescent="0.25">
      <c r="A385" s="39">
        <v>46141.429223240702</v>
      </c>
      <c r="B385" s="40">
        <v>46141</v>
      </c>
      <c r="C385" t="s">
        <v>23</v>
      </c>
      <c r="D385" t="s">
        <v>30</v>
      </c>
      <c r="E385" t="s">
        <v>31</v>
      </c>
      <c r="F385" t="s">
        <v>32</v>
      </c>
      <c r="G385" t="s">
        <v>262</v>
      </c>
      <c r="H385" t="s">
        <v>263</v>
      </c>
      <c r="I385">
        <v>5</v>
      </c>
      <c r="J385">
        <v>36.450000000000003</v>
      </c>
      <c r="K385">
        <v>-182.25</v>
      </c>
      <c r="L385">
        <v>-1</v>
      </c>
      <c r="M385">
        <v>0</v>
      </c>
      <c r="N385" t="s">
        <v>26</v>
      </c>
      <c r="O385">
        <v>0</v>
      </c>
      <c r="P385" t="s">
        <v>1442</v>
      </c>
      <c r="Q385">
        <v>0</v>
      </c>
      <c r="R385" t="s">
        <v>784</v>
      </c>
      <c r="S385" t="s">
        <v>785</v>
      </c>
      <c r="T385" t="s">
        <v>1442</v>
      </c>
      <c r="U385" t="s">
        <v>1442</v>
      </c>
      <c r="V385" t="s">
        <v>1442</v>
      </c>
      <c r="W385" t="s">
        <v>1442</v>
      </c>
    </row>
    <row r="386" spans="1:23" x14ac:dyDescent="0.25">
      <c r="A386" s="39">
        <v>46141.4292232523</v>
      </c>
      <c r="B386" s="40">
        <v>46141</v>
      </c>
      <c r="C386" t="s">
        <v>23</v>
      </c>
      <c r="D386" t="s">
        <v>30</v>
      </c>
      <c r="E386" t="s">
        <v>31</v>
      </c>
      <c r="F386" t="s">
        <v>32</v>
      </c>
      <c r="G386" t="s">
        <v>262</v>
      </c>
      <c r="H386" t="s">
        <v>263</v>
      </c>
      <c r="I386">
        <v>0.48696800000000001</v>
      </c>
      <c r="J386">
        <v>36.450000000000003</v>
      </c>
      <c r="K386">
        <v>-17.75</v>
      </c>
      <c r="L386">
        <v>0</v>
      </c>
      <c r="M386">
        <v>0</v>
      </c>
      <c r="N386" t="s">
        <v>26</v>
      </c>
      <c r="O386">
        <v>0</v>
      </c>
      <c r="P386" t="s">
        <v>1442</v>
      </c>
      <c r="Q386">
        <v>0</v>
      </c>
      <c r="R386" t="s">
        <v>786</v>
      </c>
      <c r="S386" t="s">
        <v>787</v>
      </c>
      <c r="T386" t="s">
        <v>1442</v>
      </c>
      <c r="U386" t="s">
        <v>1442</v>
      </c>
      <c r="V386" t="s">
        <v>1442</v>
      </c>
      <c r="W386" t="s">
        <v>1442</v>
      </c>
    </row>
    <row r="387" spans="1:23" x14ac:dyDescent="0.25">
      <c r="A387" s="39">
        <v>46142.898164664402</v>
      </c>
      <c r="B387" s="40">
        <v>46142</v>
      </c>
      <c r="C387" t="s">
        <v>23</v>
      </c>
      <c r="D387" t="s">
        <v>30</v>
      </c>
      <c r="E387" t="s">
        <v>31</v>
      </c>
      <c r="F387" t="s">
        <v>32</v>
      </c>
      <c r="G387" t="s">
        <v>205</v>
      </c>
      <c r="H387" t="s">
        <v>206</v>
      </c>
      <c r="I387">
        <v>0.935581</v>
      </c>
      <c r="J387">
        <v>2.6389999999999998</v>
      </c>
      <c r="K387">
        <v>-2.4700000000000002</v>
      </c>
      <c r="L387">
        <v>0</v>
      </c>
      <c r="M387">
        <v>0</v>
      </c>
      <c r="N387" t="s">
        <v>26</v>
      </c>
      <c r="O387">
        <v>0</v>
      </c>
      <c r="P387" t="s">
        <v>1442</v>
      </c>
      <c r="Q387">
        <v>0</v>
      </c>
      <c r="R387" t="s">
        <v>788</v>
      </c>
      <c r="S387" t="s">
        <v>789</v>
      </c>
      <c r="T387" t="s">
        <v>1442</v>
      </c>
      <c r="U387" t="s">
        <v>1442</v>
      </c>
      <c r="V387" t="s">
        <v>1442</v>
      </c>
      <c r="W387" t="s">
        <v>1442</v>
      </c>
    </row>
    <row r="388" spans="1:23" x14ac:dyDescent="0.25">
      <c r="A388" s="39">
        <v>46142.898164687504</v>
      </c>
      <c r="B388" s="40">
        <v>46142</v>
      </c>
      <c r="C388" t="s">
        <v>23</v>
      </c>
      <c r="D388" t="s">
        <v>30</v>
      </c>
      <c r="E388" t="s">
        <v>31</v>
      </c>
      <c r="F388" t="s">
        <v>32</v>
      </c>
      <c r="G388" t="s">
        <v>205</v>
      </c>
      <c r="H388" t="s">
        <v>206</v>
      </c>
      <c r="I388">
        <v>29</v>
      </c>
      <c r="J388">
        <v>2.6389999999999998</v>
      </c>
      <c r="K388">
        <v>-76.53</v>
      </c>
      <c r="L388">
        <v>-1</v>
      </c>
      <c r="M388">
        <v>0</v>
      </c>
      <c r="N388" t="s">
        <v>26</v>
      </c>
      <c r="O388">
        <v>0</v>
      </c>
      <c r="P388" t="s">
        <v>1442</v>
      </c>
      <c r="Q388">
        <v>0</v>
      </c>
      <c r="R388" t="s">
        <v>790</v>
      </c>
      <c r="S388" t="s">
        <v>791</v>
      </c>
      <c r="T388" t="s">
        <v>1442</v>
      </c>
      <c r="U388" t="s">
        <v>1442</v>
      </c>
      <c r="V388" t="s">
        <v>1442</v>
      </c>
      <c r="W388" t="s">
        <v>1442</v>
      </c>
    </row>
    <row r="389" spans="1:23" x14ac:dyDescent="0.25">
      <c r="A389" s="39">
        <v>46142.898949988397</v>
      </c>
      <c r="B389" s="40">
        <v>46142</v>
      </c>
      <c r="C389" t="s">
        <v>23</v>
      </c>
      <c r="D389" t="s">
        <v>24</v>
      </c>
      <c r="E389" t="s">
        <v>25</v>
      </c>
      <c r="F389" t="s">
        <v>1442</v>
      </c>
      <c r="G389" t="s">
        <v>774</v>
      </c>
      <c r="H389" t="s">
        <v>1442</v>
      </c>
      <c r="I389">
        <v>0</v>
      </c>
      <c r="J389">
        <v>0</v>
      </c>
      <c r="K389">
        <v>501</v>
      </c>
      <c r="L389">
        <v>0</v>
      </c>
      <c r="M389">
        <v>0</v>
      </c>
      <c r="N389" t="s">
        <v>26</v>
      </c>
      <c r="O389">
        <v>0</v>
      </c>
      <c r="P389" t="s">
        <v>1442</v>
      </c>
      <c r="Q389">
        <v>0</v>
      </c>
      <c r="R389" t="s">
        <v>246</v>
      </c>
      <c r="S389" t="s">
        <v>792</v>
      </c>
      <c r="T389" t="s">
        <v>774</v>
      </c>
      <c r="U389" t="s">
        <v>776</v>
      </c>
      <c r="V389" t="s">
        <v>1442</v>
      </c>
      <c r="W389" t="s">
        <v>1442</v>
      </c>
    </row>
    <row r="390" spans="1:23" x14ac:dyDescent="0.25">
      <c r="A390" s="39">
        <v>46142.898061307897</v>
      </c>
      <c r="B390" s="40">
        <v>46142</v>
      </c>
      <c r="C390" t="s">
        <v>23</v>
      </c>
      <c r="D390" t="s">
        <v>24</v>
      </c>
      <c r="E390" t="s">
        <v>25</v>
      </c>
      <c r="F390" t="s">
        <v>1442</v>
      </c>
      <c r="G390" t="s">
        <v>774</v>
      </c>
      <c r="H390" t="s">
        <v>1442</v>
      </c>
      <c r="I390">
        <v>0</v>
      </c>
      <c r="J390">
        <v>0</v>
      </c>
      <c r="K390">
        <v>80</v>
      </c>
      <c r="L390">
        <v>0</v>
      </c>
      <c r="M390">
        <v>0</v>
      </c>
      <c r="N390" t="s">
        <v>26</v>
      </c>
      <c r="O390">
        <v>0</v>
      </c>
      <c r="P390" t="s">
        <v>1442</v>
      </c>
      <c r="Q390">
        <v>0</v>
      </c>
      <c r="R390" t="s">
        <v>246</v>
      </c>
      <c r="S390" t="s">
        <v>793</v>
      </c>
      <c r="T390" t="s">
        <v>774</v>
      </c>
      <c r="U390" t="s">
        <v>776</v>
      </c>
      <c r="V390" t="s">
        <v>1442</v>
      </c>
      <c r="W390" t="s">
        <v>1442</v>
      </c>
    </row>
    <row r="391" spans="1:23" x14ac:dyDescent="0.25">
      <c r="A391" s="39">
        <v>46142.9010622801</v>
      </c>
      <c r="B391" s="40">
        <v>46142</v>
      </c>
      <c r="C391" t="s">
        <v>23</v>
      </c>
      <c r="D391" t="s">
        <v>30</v>
      </c>
      <c r="E391" t="s">
        <v>31</v>
      </c>
      <c r="F391" t="s">
        <v>32</v>
      </c>
      <c r="G391" t="s">
        <v>515</v>
      </c>
      <c r="H391" t="s">
        <v>516</v>
      </c>
      <c r="I391">
        <v>0.83085299999999995</v>
      </c>
      <c r="J391">
        <v>12.77</v>
      </c>
      <c r="K391">
        <v>-10.61</v>
      </c>
      <c r="L391">
        <v>0</v>
      </c>
      <c r="M391">
        <v>0</v>
      </c>
      <c r="N391" t="s">
        <v>26</v>
      </c>
      <c r="O391">
        <v>0</v>
      </c>
      <c r="P391" t="s">
        <v>1442</v>
      </c>
      <c r="Q391">
        <v>0</v>
      </c>
      <c r="R391" t="s">
        <v>794</v>
      </c>
      <c r="S391" t="s">
        <v>795</v>
      </c>
      <c r="T391" t="s">
        <v>1442</v>
      </c>
      <c r="U391" t="s">
        <v>1442</v>
      </c>
      <c r="V391" t="s">
        <v>1442</v>
      </c>
      <c r="W391" t="s">
        <v>1442</v>
      </c>
    </row>
    <row r="392" spans="1:23" x14ac:dyDescent="0.25">
      <c r="A392" s="39">
        <v>46142.901062291698</v>
      </c>
      <c r="B392" s="40">
        <v>46142</v>
      </c>
      <c r="C392" t="s">
        <v>23</v>
      </c>
      <c r="D392" t="s">
        <v>30</v>
      </c>
      <c r="E392" t="s">
        <v>31</v>
      </c>
      <c r="F392" t="s">
        <v>32</v>
      </c>
      <c r="G392" t="s">
        <v>515</v>
      </c>
      <c r="H392" t="s">
        <v>516</v>
      </c>
      <c r="I392">
        <v>7</v>
      </c>
      <c r="J392">
        <v>12.77</v>
      </c>
      <c r="K392">
        <v>-89.39</v>
      </c>
      <c r="L392">
        <v>-1</v>
      </c>
      <c r="M392">
        <v>0</v>
      </c>
      <c r="N392" t="s">
        <v>26</v>
      </c>
      <c r="O392">
        <v>0</v>
      </c>
      <c r="P392" t="s">
        <v>1442</v>
      </c>
      <c r="Q392">
        <v>0</v>
      </c>
      <c r="R392" t="s">
        <v>796</v>
      </c>
      <c r="S392" t="s">
        <v>797</v>
      </c>
      <c r="T392" t="s">
        <v>1442</v>
      </c>
      <c r="U392" t="s">
        <v>1442</v>
      </c>
      <c r="V392" t="s">
        <v>1442</v>
      </c>
      <c r="W392" t="s">
        <v>1442</v>
      </c>
    </row>
    <row r="393" spans="1:23" x14ac:dyDescent="0.25">
      <c r="A393" s="39">
        <v>46142.906161944396</v>
      </c>
      <c r="B393" s="40">
        <v>46142</v>
      </c>
      <c r="C393" t="s">
        <v>23</v>
      </c>
      <c r="D393" t="s">
        <v>24</v>
      </c>
      <c r="E393" t="s">
        <v>25</v>
      </c>
      <c r="F393" t="s">
        <v>1442</v>
      </c>
      <c r="G393" t="s">
        <v>774</v>
      </c>
      <c r="H393" t="s">
        <v>1442</v>
      </c>
      <c r="I393">
        <v>0</v>
      </c>
      <c r="J393">
        <v>0</v>
      </c>
      <c r="K393">
        <v>129.59</v>
      </c>
      <c r="L393">
        <v>0</v>
      </c>
      <c r="M393">
        <v>0</v>
      </c>
      <c r="N393" t="s">
        <v>26</v>
      </c>
      <c r="O393">
        <v>0</v>
      </c>
      <c r="P393" t="s">
        <v>1442</v>
      </c>
      <c r="Q393">
        <v>0</v>
      </c>
      <c r="R393" t="s">
        <v>246</v>
      </c>
      <c r="S393" t="s">
        <v>798</v>
      </c>
      <c r="T393" t="s">
        <v>774</v>
      </c>
      <c r="U393" t="s">
        <v>776</v>
      </c>
      <c r="V393" t="s">
        <v>1442</v>
      </c>
      <c r="W393" t="s">
        <v>1442</v>
      </c>
    </row>
    <row r="394" spans="1:23" x14ac:dyDescent="0.25">
      <c r="A394" s="39">
        <v>46142.919145335603</v>
      </c>
      <c r="B394" s="40">
        <v>46142</v>
      </c>
      <c r="C394" t="s">
        <v>23</v>
      </c>
      <c r="D394" t="s">
        <v>30</v>
      </c>
      <c r="E394" t="s">
        <v>31</v>
      </c>
      <c r="F394" t="s">
        <v>464</v>
      </c>
      <c r="G394" t="s">
        <v>799</v>
      </c>
      <c r="H394" t="s">
        <v>800</v>
      </c>
      <c r="I394">
        <v>4</v>
      </c>
      <c r="J394">
        <v>122.68</v>
      </c>
      <c r="K394">
        <v>-490.72</v>
      </c>
      <c r="L394">
        <v>-1</v>
      </c>
      <c r="M394">
        <v>0</v>
      </c>
      <c r="N394" t="s">
        <v>26</v>
      </c>
      <c r="O394">
        <v>0</v>
      </c>
      <c r="P394" t="s">
        <v>1442</v>
      </c>
      <c r="Q394">
        <v>0</v>
      </c>
      <c r="R394" t="s">
        <v>801</v>
      </c>
      <c r="S394" t="s">
        <v>802</v>
      </c>
      <c r="T394" t="s">
        <v>1442</v>
      </c>
      <c r="U394" t="s">
        <v>1442</v>
      </c>
      <c r="V394" t="s">
        <v>1442</v>
      </c>
      <c r="W394" t="s">
        <v>1442</v>
      </c>
    </row>
    <row r="395" spans="1:23" x14ac:dyDescent="0.25">
      <c r="A395" s="39">
        <v>46142.919145370397</v>
      </c>
      <c r="B395" s="40">
        <v>46142</v>
      </c>
      <c r="C395" t="s">
        <v>23</v>
      </c>
      <c r="D395" t="s">
        <v>30</v>
      </c>
      <c r="E395" t="s">
        <v>31</v>
      </c>
      <c r="F395" t="s">
        <v>464</v>
      </c>
      <c r="G395" t="s">
        <v>799</v>
      </c>
      <c r="H395" t="s">
        <v>800</v>
      </c>
      <c r="I395">
        <v>0.312031</v>
      </c>
      <c r="J395">
        <v>122.68</v>
      </c>
      <c r="K395">
        <v>-38.28</v>
      </c>
      <c r="L395">
        <v>0</v>
      </c>
      <c r="M395">
        <v>0</v>
      </c>
      <c r="N395" t="s">
        <v>26</v>
      </c>
      <c r="O395">
        <v>0</v>
      </c>
      <c r="P395" t="s">
        <v>1442</v>
      </c>
      <c r="Q395">
        <v>0</v>
      </c>
      <c r="R395" t="s">
        <v>803</v>
      </c>
      <c r="S395" t="s">
        <v>804</v>
      </c>
      <c r="T395" t="s">
        <v>1442</v>
      </c>
      <c r="U395" t="s">
        <v>1442</v>
      </c>
      <c r="V395" t="s">
        <v>1442</v>
      </c>
      <c r="W395" t="s">
        <v>1442</v>
      </c>
    </row>
    <row r="396" spans="1:23" x14ac:dyDescent="0.25">
      <c r="A396" s="39">
        <v>46147.521797326401</v>
      </c>
      <c r="B396" s="40">
        <v>46147</v>
      </c>
      <c r="C396" t="s">
        <v>23</v>
      </c>
      <c r="D396" t="s">
        <v>24</v>
      </c>
      <c r="E396" t="s">
        <v>25</v>
      </c>
      <c r="F396" t="s">
        <v>1442</v>
      </c>
      <c r="G396" t="s">
        <v>774</v>
      </c>
      <c r="H396" t="s">
        <v>1442</v>
      </c>
      <c r="I396">
        <v>0</v>
      </c>
      <c r="J396">
        <v>0</v>
      </c>
      <c r="K396">
        <v>100</v>
      </c>
      <c r="L396">
        <v>0</v>
      </c>
      <c r="M396">
        <v>0</v>
      </c>
      <c r="N396" t="s">
        <v>26</v>
      </c>
      <c r="O396">
        <v>0</v>
      </c>
      <c r="P396" t="s">
        <v>1442</v>
      </c>
      <c r="Q396">
        <v>0</v>
      </c>
      <c r="R396" t="s">
        <v>246</v>
      </c>
      <c r="S396" t="s">
        <v>805</v>
      </c>
      <c r="T396" t="s">
        <v>774</v>
      </c>
      <c r="U396" t="s">
        <v>776</v>
      </c>
      <c r="V396" t="s">
        <v>1442</v>
      </c>
      <c r="W396" t="s">
        <v>1442</v>
      </c>
    </row>
    <row r="397" spans="1:23" x14ac:dyDescent="0.25">
      <c r="A397" s="39">
        <v>46147.531566365702</v>
      </c>
      <c r="B397" s="40">
        <v>46147</v>
      </c>
      <c r="C397" t="s">
        <v>23</v>
      </c>
      <c r="D397" t="s">
        <v>24</v>
      </c>
      <c r="E397" t="s">
        <v>25</v>
      </c>
      <c r="F397" t="s">
        <v>1442</v>
      </c>
      <c r="G397" t="s">
        <v>774</v>
      </c>
      <c r="H397" t="s">
        <v>1442</v>
      </c>
      <c r="I397">
        <v>0</v>
      </c>
      <c r="J397">
        <v>0</v>
      </c>
      <c r="K397">
        <v>23.6</v>
      </c>
      <c r="L397">
        <v>0</v>
      </c>
      <c r="M397">
        <v>0</v>
      </c>
      <c r="N397" t="s">
        <v>26</v>
      </c>
      <c r="O397">
        <v>0</v>
      </c>
      <c r="P397" t="s">
        <v>1442</v>
      </c>
      <c r="Q397">
        <v>0</v>
      </c>
      <c r="R397" t="s">
        <v>246</v>
      </c>
      <c r="S397" t="s">
        <v>806</v>
      </c>
      <c r="T397" t="s">
        <v>774</v>
      </c>
      <c r="U397" t="s">
        <v>776</v>
      </c>
      <c r="V397" t="s">
        <v>1442</v>
      </c>
      <c r="W397" t="s">
        <v>1442</v>
      </c>
    </row>
    <row r="398" spans="1:23" x14ac:dyDescent="0.25">
      <c r="A398" s="39">
        <v>46147.532269490701</v>
      </c>
      <c r="B398" s="40">
        <v>46147</v>
      </c>
      <c r="C398" t="s">
        <v>23</v>
      </c>
      <c r="D398" t="s">
        <v>24</v>
      </c>
      <c r="E398" t="s">
        <v>25</v>
      </c>
      <c r="F398" t="s">
        <v>1442</v>
      </c>
      <c r="G398" t="s">
        <v>807</v>
      </c>
      <c r="H398" t="s">
        <v>1442</v>
      </c>
      <c r="I398">
        <v>0</v>
      </c>
      <c r="J398">
        <v>0</v>
      </c>
      <c r="K398">
        <v>0.2</v>
      </c>
      <c r="L398">
        <v>0</v>
      </c>
      <c r="M398">
        <v>0</v>
      </c>
      <c r="N398" t="s">
        <v>26</v>
      </c>
      <c r="O398">
        <v>0</v>
      </c>
      <c r="P398" t="s">
        <v>1442</v>
      </c>
      <c r="Q398">
        <v>0</v>
      </c>
      <c r="R398" t="s">
        <v>647</v>
      </c>
      <c r="S398" t="s">
        <v>808</v>
      </c>
      <c r="T398" t="s">
        <v>807</v>
      </c>
      <c r="U398" t="s">
        <v>809</v>
      </c>
      <c r="V398" t="s">
        <v>1442</v>
      </c>
      <c r="W398" t="s">
        <v>1442</v>
      </c>
    </row>
    <row r="399" spans="1:23" x14ac:dyDescent="0.25">
      <c r="A399" s="39">
        <v>46147.622297384303</v>
      </c>
      <c r="B399" s="40">
        <v>46147</v>
      </c>
      <c r="C399" t="s">
        <v>23</v>
      </c>
      <c r="D399" t="s">
        <v>24</v>
      </c>
      <c r="E399" t="s">
        <v>161</v>
      </c>
      <c r="F399" t="s">
        <v>1442</v>
      </c>
      <c r="G399" t="s">
        <v>774</v>
      </c>
      <c r="H399" t="s">
        <v>1442</v>
      </c>
      <c r="I399">
        <v>0</v>
      </c>
      <c r="J399">
        <v>0</v>
      </c>
      <c r="K399">
        <v>-124</v>
      </c>
      <c r="L399">
        <v>0</v>
      </c>
      <c r="M399">
        <v>0</v>
      </c>
      <c r="N399" t="s">
        <v>26</v>
      </c>
      <c r="O399">
        <v>0</v>
      </c>
      <c r="P399" t="s">
        <v>1442</v>
      </c>
      <c r="Q399">
        <v>0</v>
      </c>
      <c r="R399" t="s">
        <v>397</v>
      </c>
      <c r="S399" t="s">
        <v>810</v>
      </c>
      <c r="T399" t="s">
        <v>774</v>
      </c>
      <c r="U399" t="s">
        <v>776</v>
      </c>
      <c r="V399" t="s">
        <v>1442</v>
      </c>
      <c r="W399" t="s">
        <v>1442</v>
      </c>
    </row>
    <row r="400" spans="1:23" x14ac:dyDescent="0.25">
      <c r="A400" s="39">
        <v>46147.749660474503</v>
      </c>
      <c r="B400" s="40">
        <v>46147</v>
      </c>
      <c r="C400" t="s">
        <v>23</v>
      </c>
      <c r="D400" t="s">
        <v>30</v>
      </c>
      <c r="E400" t="s">
        <v>82</v>
      </c>
      <c r="F400" t="s">
        <v>464</v>
      </c>
      <c r="G400" t="s">
        <v>718</v>
      </c>
      <c r="H400" t="s">
        <v>719</v>
      </c>
      <c r="I400">
        <v>-2</v>
      </c>
      <c r="J400">
        <v>228.3</v>
      </c>
      <c r="K400">
        <v>456.6</v>
      </c>
      <c r="L400">
        <v>-1</v>
      </c>
      <c r="M400">
        <v>0</v>
      </c>
      <c r="N400" t="s">
        <v>26</v>
      </c>
      <c r="O400">
        <v>0</v>
      </c>
      <c r="P400" t="s">
        <v>1442</v>
      </c>
      <c r="Q400">
        <v>0</v>
      </c>
      <c r="R400" t="s">
        <v>811</v>
      </c>
      <c r="S400" t="s">
        <v>812</v>
      </c>
      <c r="T400" t="s">
        <v>1442</v>
      </c>
      <c r="U400" t="s">
        <v>1442</v>
      </c>
      <c r="V400" t="s">
        <v>1442</v>
      </c>
      <c r="W400" t="s">
        <v>1442</v>
      </c>
    </row>
    <row r="401" spans="1:23" x14ac:dyDescent="0.25">
      <c r="A401" s="39">
        <v>46147.749660497699</v>
      </c>
      <c r="B401" s="40">
        <v>46147</v>
      </c>
      <c r="C401" t="s">
        <v>23</v>
      </c>
      <c r="D401" t="s">
        <v>30</v>
      </c>
      <c r="E401" t="s">
        <v>82</v>
      </c>
      <c r="F401" t="s">
        <v>464</v>
      </c>
      <c r="G401" t="s">
        <v>718</v>
      </c>
      <c r="H401" t="s">
        <v>719</v>
      </c>
      <c r="I401">
        <v>-0.21906700000000001</v>
      </c>
      <c r="J401">
        <v>228.3</v>
      </c>
      <c r="K401">
        <v>50.01</v>
      </c>
      <c r="L401">
        <v>0</v>
      </c>
      <c r="M401">
        <v>0</v>
      </c>
      <c r="N401" t="s">
        <v>26</v>
      </c>
      <c r="O401">
        <v>0</v>
      </c>
      <c r="P401" t="s">
        <v>1442</v>
      </c>
      <c r="Q401">
        <v>0</v>
      </c>
      <c r="R401" t="s">
        <v>813</v>
      </c>
      <c r="S401" t="s">
        <v>814</v>
      </c>
      <c r="T401" t="s">
        <v>1442</v>
      </c>
      <c r="U401" t="s">
        <v>1442</v>
      </c>
      <c r="V401" t="s">
        <v>1442</v>
      </c>
      <c r="W401" t="s">
        <v>1442</v>
      </c>
    </row>
    <row r="402" spans="1:23" x14ac:dyDescent="0.25">
      <c r="A402" s="39">
        <v>46147.749978819404</v>
      </c>
      <c r="B402" s="40">
        <v>46147</v>
      </c>
      <c r="C402" t="s">
        <v>23</v>
      </c>
      <c r="D402" t="s">
        <v>30</v>
      </c>
      <c r="E402" t="s">
        <v>31</v>
      </c>
      <c r="F402" t="s">
        <v>464</v>
      </c>
      <c r="G402" t="s">
        <v>815</v>
      </c>
      <c r="H402" t="s">
        <v>816</v>
      </c>
      <c r="I402">
        <v>1</v>
      </c>
      <c r="J402">
        <v>297.7</v>
      </c>
      <c r="K402">
        <v>-297.7</v>
      </c>
      <c r="L402">
        <v>-1</v>
      </c>
      <c r="M402">
        <v>0</v>
      </c>
      <c r="N402" t="s">
        <v>26</v>
      </c>
      <c r="O402">
        <v>0</v>
      </c>
      <c r="P402" t="s">
        <v>1442</v>
      </c>
      <c r="Q402">
        <v>0</v>
      </c>
      <c r="R402" t="s">
        <v>817</v>
      </c>
      <c r="S402" t="s">
        <v>818</v>
      </c>
      <c r="T402" t="s">
        <v>1442</v>
      </c>
      <c r="U402" t="s">
        <v>1442</v>
      </c>
      <c r="V402" t="s">
        <v>1442</v>
      </c>
      <c r="W402" t="s">
        <v>1442</v>
      </c>
    </row>
    <row r="403" spans="1:23" x14ac:dyDescent="0.25">
      <c r="A403" s="39">
        <v>46147.749978831001</v>
      </c>
      <c r="B403" s="40">
        <v>46147</v>
      </c>
      <c r="C403" t="s">
        <v>23</v>
      </c>
      <c r="D403" t="s">
        <v>30</v>
      </c>
      <c r="E403" t="s">
        <v>31</v>
      </c>
      <c r="F403" t="s">
        <v>464</v>
      </c>
      <c r="G403" t="s">
        <v>815</v>
      </c>
      <c r="H403" t="s">
        <v>816</v>
      </c>
      <c r="I403">
        <v>0.692411</v>
      </c>
      <c r="J403">
        <v>297.7</v>
      </c>
      <c r="K403">
        <v>-206.13</v>
      </c>
      <c r="L403">
        <v>0</v>
      </c>
      <c r="M403">
        <v>0</v>
      </c>
      <c r="N403" t="s">
        <v>26</v>
      </c>
      <c r="O403">
        <v>0</v>
      </c>
      <c r="P403" t="s">
        <v>1442</v>
      </c>
      <c r="Q403">
        <v>0</v>
      </c>
      <c r="R403" t="s">
        <v>819</v>
      </c>
      <c r="S403" t="s">
        <v>820</v>
      </c>
      <c r="T403" t="s">
        <v>1442</v>
      </c>
      <c r="U403" t="s">
        <v>1442</v>
      </c>
      <c r="V403" t="s">
        <v>1442</v>
      </c>
      <c r="W403" t="s">
        <v>1442</v>
      </c>
    </row>
    <row r="404" spans="1:23" x14ac:dyDescent="0.25">
      <c r="A404" s="39">
        <v>46147.867598217599</v>
      </c>
      <c r="B404" s="40">
        <v>46147</v>
      </c>
      <c r="C404" t="s">
        <v>23</v>
      </c>
      <c r="D404" t="s">
        <v>30</v>
      </c>
      <c r="E404" t="s">
        <v>82</v>
      </c>
      <c r="F404" t="s">
        <v>32</v>
      </c>
      <c r="G404" t="s">
        <v>154</v>
      </c>
      <c r="H404" t="s">
        <v>155</v>
      </c>
      <c r="I404">
        <v>-0.84973299999999996</v>
      </c>
      <c r="J404">
        <v>18.475000000000001</v>
      </c>
      <c r="K404">
        <v>15.7</v>
      </c>
      <c r="L404">
        <v>0</v>
      </c>
      <c r="M404">
        <v>0</v>
      </c>
      <c r="N404" t="s">
        <v>26</v>
      </c>
      <c r="O404">
        <v>0</v>
      </c>
      <c r="P404" t="s">
        <v>1442</v>
      </c>
      <c r="Q404">
        <v>0</v>
      </c>
      <c r="R404" t="s">
        <v>821</v>
      </c>
      <c r="S404" t="s">
        <v>822</v>
      </c>
      <c r="T404" t="s">
        <v>1442</v>
      </c>
      <c r="U404" t="s">
        <v>1442</v>
      </c>
      <c r="V404" t="s">
        <v>1442</v>
      </c>
      <c r="W404" t="s">
        <v>1442</v>
      </c>
    </row>
    <row r="405" spans="1:23" x14ac:dyDescent="0.25">
      <c r="A405" s="39">
        <v>46147.867598252298</v>
      </c>
      <c r="B405" s="40">
        <v>46147</v>
      </c>
      <c r="C405" t="s">
        <v>23</v>
      </c>
      <c r="D405" t="s">
        <v>30</v>
      </c>
      <c r="E405" t="s">
        <v>82</v>
      </c>
      <c r="F405" t="s">
        <v>32</v>
      </c>
      <c r="G405" t="s">
        <v>154</v>
      </c>
      <c r="H405" t="s">
        <v>155</v>
      </c>
      <c r="I405">
        <v>-19</v>
      </c>
      <c r="J405">
        <v>18.475000000000001</v>
      </c>
      <c r="K405">
        <v>351.03</v>
      </c>
      <c r="L405">
        <v>-1</v>
      </c>
      <c r="M405">
        <v>0</v>
      </c>
      <c r="N405" t="s">
        <v>26</v>
      </c>
      <c r="O405">
        <v>0</v>
      </c>
      <c r="P405" t="s">
        <v>1442</v>
      </c>
      <c r="Q405">
        <v>0</v>
      </c>
      <c r="R405" t="s">
        <v>823</v>
      </c>
      <c r="S405" t="s">
        <v>824</v>
      </c>
      <c r="T405" t="s">
        <v>1442</v>
      </c>
      <c r="U405" t="s">
        <v>1442</v>
      </c>
      <c r="V405" t="s">
        <v>1442</v>
      </c>
      <c r="W405" t="s">
        <v>1442</v>
      </c>
    </row>
    <row r="406" spans="1:23" x14ac:dyDescent="0.25">
      <c r="A406" s="39">
        <v>46147.867761365698</v>
      </c>
      <c r="B406" s="40">
        <v>46147</v>
      </c>
      <c r="C406" t="s">
        <v>23</v>
      </c>
      <c r="D406" t="s">
        <v>30</v>
      </c>
      <c r="E406" t="s">
        <v>82</v>
      </c>
      <c r="F406" t="s">
        <v>32</v>
      </c>
      <c r="G406" t="s">
        <v>205</v>
      </c>
      <c r="H406" t="s">
        <v>206</v>
      </c>
      <c r="I406">
        <v>-0.269513</v>
      </c>
      <c r="J406">
        <v>2.8149999999999999</v>
      </c>
      <c r="K406">
        <v>0.76</v>
      </c>
      <c r="L406">
        <v>0</v>
      </c>
      <c r="M406">
        <v>0</v>
      </c>
      <c r="N406" t="s">
        <v>26</v>
      </c>
      <c r="O406">
        <v>0</v>
      </c>
      <c r="P406" t="s">
        <v>1442</v>
      </c>
      <c r="Q406">
        <v>0</v>
      </c>
      <c r="R406" t="s">
        <v>825</v>
      </c>
      <c r="S406" t="s">
        <v>826</v>
      </c>
      <c r="T406" t="s">
        <v>1442</v>
      </c>
      <c r="U406" t="s">
        <v>1442</v>
      </c>
      <c r="V406" t="s">
        <v>1442</v>
      </c>
      <c r="W406" t="s">
        <v>1442</v>
      </c>
    </row>
    <row r="407" spans="1:23" x14ac:dyDescent="0.25">
      <c r="A407" s="39">
        <v>46147.867761400499</v>
      </c>
      <c r="B407" s="40">
        <v>46147</v>
      </c>
      <c r="C407" t="s">
        <v>23</v>
      </c>
      <c r="D407" t="s">
        <v>30</v>
      </c>
      <c r="E407" t="s">
        <v>82</v>
      </c>
      <c r="F407" t="s">
        <v>32</v>
      </c>
      <c r="G407" t="s">
        <v>205</v>
      </c>
      <c r="H407" t="s">
        <v>206</v>
      </c>
      <c r="I407">
        <v>-99</v>
      </c>
      <c r="J407">
        <v>2.8149999999999999</v>
      </c>
      <c r="K407">
        <v>278.69</v>
      </c>
      <c r="L407">
        <v>-1</v>
      </c>
      <c r="M407">
        <v>0</v>
      </c>
      <c r="N407" t="s">
        <v>26</v>
      </c>
      <c r="O407">
        <v>0</v>
      </c>
      <c r="P407" t="s">
        <v>1442</v>
      </c>
      <c r="Q407">
        <v>0</v>
      </c>
      <c r="R407" t="s">
        <v>827</v>
      </c>
      <c r="S407" t="s">
        <v>828</v>
      </c>
      <c r="T407" t="s">
        <v>1442</v>
      </c>
      <c r="U407" t="s">
        <v>1442</v>
      </c>
      <c r="V407" t="s">
        <v>1442</v>
      </c>
      <c r="W407" t="s">
        <v>1442</v>
      </c>
    </row>
    <row r="408" spans="1:23" x14ac:dyDescent="0.25">
      <c r="A408" s="39">
        <v>46148.513449525497</v>
      </c>
      <c r="B408" s="40">
        <v>46148</v>
      </c>
      <c r="C408" t="s">
        <v>23</v>
      </c>
      <c r="D408" t="s">
        <v>30</v>
      </c>
      <c r="E408" t="s">
        <v>31</v>
      </c>
      <c r="F408" t="s">
        <v>32</v>
      </c>
      <c r="G408" t="s">
        <v>590</v>
      </c>
      <c r="H408" t="s">
        <v>591</v>
      </c>
      <c r="I408">
        <v>15</v>
      </c>
      <c r="J408">
        <v>6.327</v>
      </c>
      <c r="K408">
        <v>-94.91</v>
      </c>
      <c r="L408">
        <v>-1</v>
      </c>
      <c r="M408">
        <v>0</v>
      </c>
      <c r="N408" t="s">
        <v>26</v>
      </c>
      <c r="O408">
        <v>0</v>
      </c>
      <c r="P408" t="s">
        <v>1442</v>
      </c>
      <c r="Q408">
        <v>0</v>
      </c>
      <c r="R408" t="s">
        <v>829</v>
      </c>
      <c r="S408" t="s">
        <v>830</v>
      </c>
      <c r="T408" t="s">
        <v>1442</v>
      </c>
      <c r="U408" t="s">
        <v>1442</v>
      </c>
      <c r="V408" t="s">
        <v>1442</v>
      </c>
      <c r="W408" t="s">
        <v>1442</v>
      </c>
    </row>
    <row r="409" spans="1:23" x14ac:dyDescent="0.25">
      <c r="A409" s="39">
        <v>46148.513449641199</v>
      </c>
      <c r="B409" s="40">
        <v>46148</v>
      </c>
      <c r="C409" t="s">
        <v>23</v>
      </c>
      <c r="D409" t="s">
        <v>30</v>
      </c>
      <c r="E409" t="s">
        <v>31</v>
      </c>
      <c r="F409" t="s">
        <v>32</v>
      </c>
      <c r="G409" t="s">
        <v>590</v>
      </c>
      <c r="H409" t="s">
        <v>591</v>
      </c>
      <c r="I409">
        <v>0.80527800000000005</v>
      </c>
      <c r="J409">
        <v>6.327</v>
      </c>
      <c r="K409">
        <v>-5.09</v>
      </c>
      <c r="L409">
        <v>0</v>
      </c>
      <c r="M409">
        <v>0</v>
      </c>
      <c r="N409" t="s">
        <v>26</v>
      </c>
      <c r="O409">
        <v>0</v>
      </c>
      <c r="P409" t="s">
        <v>1442</v>
      </c>
      <c r="Q409">
        <v>0</v>
      </c>
      <c r="R409" t="s">
        <v>831</v>
      </c>
      <c r="S409" t="s">
        <v>832</v>
      </c>
      <c r="T409" t="s">
        <v>1442</v>
      </c>
      <c r="U409" t="s">
        <v>1442</v>
      </c>
      <c r="V409" t="s">
        <v>1442</v>
      </c>
      <c r="W409" t="s">
        <v>1442</v>
      </c>
    </row>
    <row r="410" spans="1:23" x14ac:dyDescent="0.25">
      <c r="A410" s="39">
        <v>46148.5649315509</v>
      </c>
      <c r="B410" s="40">
        <v>46148</v>
      </c>
      <c r="C410" t="s">
        <v>23</v>
      </c>
      <c r="D410" t="s">
        <v>30</v>
      </c>
      <c r="E410" t="s">
        <v>31</v>
      </c>
      <c r="F410" t="s">
        <v>32</v>
      </c>
      <c r="G410" t="s">
        <v>154</v>
      </c>
      <c r="H410" t="s">
        <v>155</v>
      </c>
      <c r="I410">
        <v>18</v>
      </c>
      <c r="J410">
        <v>18.93</v>
      </c>
      <c r="K410">
        <v>-340.74</v>
      </c>
      <c r="L410">
        <v>-1</v>
      </c>
      <c r="M410">
        <v>0</v>
      </c>
      <c r="N410" t="s">
        <v>26</v>
      </c>
      <c r="O410">
        <v>0</v>
      </c>
      <c r="P410" t="s">
        <v>1442</v>
      </c>
      <c r="Q410">
        <v>0</v>
      </c>
      <c r="R410" t="s">
        <v>833</v>
      </c>
      <c r="S410" t="s">
        <v>834</v>
      </c>
      <c r="T410" t="s">
        <v>1442</v>
      </c>
      <c r="U410" t="s">
        <v>1442</v>
      </c>
      <c r="V410" t="s">
        <v>1442</v>
      </c>
      <c r="W410" t="s">
        <v>1442</v>
      </c>
    </row>
    <row r="411" spans="1:23" x14ac:dyDescent="0.25">
      <c r="A411" s="39">
        <v>46148.564931585599</v>
      </c>
      <c r="B411" s="40">
        <v>46148</v>
      </c>
      <c r="C411" t="s">
        <v>23</v>
      </c>
      <c r="D411" t="s">
        <v>30</v>
      </c>
      <c r="E411" t="s">
        <v>31</v>
      </c>
      <c r="F411" t="s">
        <v>32</v>
      </c>
      <c r="G411" t="s">
        <v>154</v>
      </c>
      <c r="H411" t="s">
        <v>155</v>
      </c>
      <c r="I411">
        <v>0.48916999999999999</v>
      </c>
      <c r="J411">
        <v>18.93</v>
      </c>
      <c r="K411">
        <v>-9.26</v>
      </c>
      <c r="L411">
        <v>0</v>
      </c>
      <c r="M411">
        <v>0</v>
      </c>
      <c r="N411" t="s">
        <v>26</v>
      </c>
      <c r="O411">
        <v>0</v>
      </c>
      <c r="P411" t="s">
        <v>1442</v>
      </c>
      <c r="Q411">
        <v>0</v>
      </c>
      <c r="R411" t="s">
        <v>835</v>
      </c>
      <c r="S411" t="s">
        <v>836</v>
      </c>
      <c r="T411" t="s">
        <v>1442</v>
      </c>
      <c r="U411" t="s">
        <v>1442</v>
      </c>
      <c r="V411" t="s">
        <v>1442</v>
      </c>
      <c r="W411" t="s">
        <v>1442</v>
      </c>
    </row>
    <row r="412" spans="1:23" x14ac:dyDescent="0.25">
      <c r="A412" s="39">
        <v>46148.566242314802</v>
      </c>
      <c r="B412" s="40">
        <v>46148</v>
      </c>
      <c r="C412" t="s">
        <v>23</v>
      </c>
      <c r="D412" t="s">
        <v>30</v>
      </c>
      <c r="E412" t="s">
        <v>31</v>
      </c>
      <c r="F412" t="s">
        <v>464</v>
      </c>
      <c r="G412" t="s">
        <v>465</v>
      </c>
      <c r="H412" t="s">
        <v>466</v>
      </c>
      <c r="I412">
        <v>1</v>
      </c>
      <c r="J412">
        <v>119.34</v>
      </c>
      <c r="K412">
        <v>-119.34</v>
      </c>
      <c r="L412">
        <v>-1</v>
      </c>
      <c r="M412">
        <v>0</v>
      </c>
      <c r="N412" t="s">
        <v>26</v>
      </c>
      <c r="O412">
        <v>0</v>
      </c>
      <c r="P412" t="s">
        <v>1442</v>
      </c>
      <c r="Q412">
        <v>0</v>
      </c>
      <c r="R412" t="s">
        <v>469</v>
      </c>
      <c r="S412" t="s">
        <v>837</v>
      </c>
      <c r="T412" t="s">
        <v>1442</v>
      </c>
      <c r="U412" t="s">
        <v>1442</v>
      </c>
      <c r="V412" t="s">
        <v>1442</v>
      </c>
      <c r="W412" t="s">
        <v>1442</v>
      </c>
    </row>
    <row r="413" spans="1:23" x14ac:dyDescent="0.25">
      <c r="A413" s="39">
        <v>46148.566242476903</v>
      </c>
      <c r="B413" s="40">
        <v>46148</v>
      </c>
      <c r="C413" t="s">
        <v>23</v>
      </c>
      <c r="D413" t="s">
        <v>30</v>
      </c>
      <c r="E413" t="s">
        <v>31</v>
      </c>
      <c r="F413" t="s">
        <v>464</v>
      </c>
      <c r="G413" t="s">
        <v>465</v>
      </c>
      <c r="H413" t="s">
        <v>466</v>
      </c>
      <c r="I413">
        <v>0.256913</v>
      </c>
      <c r="J413">
        <v>119.34</v>
      </c>
      <c r="K413">
        <v>-30.66</v>
      </c>
      <c r="L413">
        <v>0</v>
      </c>
      <c r="M413">
        <v>0</v>
      </c>
      <c r="N413" t="s">
        <v>26</v>
      </c>
      <c r="O413">
        <v>0</v>
      </c>
      <c r="P413" t="s">
        <v>1442</v>
      </c>
      <c r="Q413">
        <v>0</v>
      </c>
      <c r="R413" t="s">
        <v>838</v>
      </c>
      <c r="S413" t="s">
        <v>839</v>
      </c>
      <c r="T413" t="s">
        <v>1442</v>
      </c>
      <c r="U413" t="s">
        <v>1442</v>
      </c>
      <c r="V413" t="s">
        <v>1442</v>
      </c>
      <c r="W413" t="s">
        <v>1442</v>
      </c>
    </row>
    <row r="414" spans="1:23" x14ac:dyDescent="0.25">
      <c r="A414" s="39">
        <v>46148.569887465303</v>
      </c>
      <c r="B414" s="40">
        <v>46148</v>
      </c>
      <c r="C414" t="s">
        <v>23</v>
      </c>
      <c r="D414" t="s">
        <v>30</v>
      </c>
      <c r="E414" t="s">
        <v>31</v>
      </c>
      <c r="F414" t="s">
        <v>32</v>
      </c>
      <c r="G414" t="s">
        <v>747</v>
      </c>
      <c r="H414" t="s">
        <v>748</v>
      </c>
      <c r="I414">
        <v>0.53756199999999998</v>
      </c>
      <c r="J414">
        <v>74.41</v>
      </c>
      <c r="K414">
        <v>-40</v>
      </c>
      <c r="L414">
        <v>-1</v>
      </c>
      <c r="M414">
        <v>0</v>
      </c>
      <c r="N414" t="s">
        <v>26</v>
      </c>
      <c r="O414">
        <v>0</v>
      </c>
      <c r="P414" t="s">
        <v>1442</v>
      </c>
      <c r="Q414">
        <v>0</v>
      </c>
      <c r="R414" t="s">
        <v>840</v>
      </c>
      <c r="S414" t="s">
        <v>841</v>
      </c>
      <c r="T414" t="s">
        <v>1442</v>
      </c>
      <c r="U414" t="s">
        <v>1442</v>
      </c>
      <c r="V414" t="s">
        <v>1442</v>
      </c>
      <c r="W414" t="s">
        <v>1442</v>
      </c>
    </row>
    <row r="415" spans="1:23" x14ac:dyDescent="0.25">
      <c r="A415" s="39">
        <v>46148.609894976798</v>
      </c>
      <c r="B415" s="40">
        <v>46148</v>
      </c>
      <c r="C415" t="s">
        <v>23</v>
      </c>
      <c r="D415" t="s">
        <v>24</v>
      </c>
      <c r="E415" t="s">
        <v>25</v>
      </c>
      <c r="F415" t="s">
        <v>1442</v>
      </c>
      <c r="G415" t="s">
        <v>774</v>
      </c>
      <c r="H415" t="s">
        <v>1442</v>
      </c>
      <c r="I415">
        <v>0</v>
      </c>
      <c r="J415">
        <v>0</v>
      </c>
      <c r="K415">
        <v>259.04000000000002</v>
      </c>
      <c r="L415">
        <v>0</v>
      </c>
      <c r="M415">
        <v>0</v>
      </c>
      <c r="N415" t="s">
        <v>26</v>
      </c>
      <c r="O415">
        <v>0</v>
      </c>
      <c r="P415" t="s">
        <v>1442</v>
      </c>
      <c r="Q415">
        <v>0</v>
      </c>
      <c r="R415" t="s">
        <v>246</v>
      </c>
      <c r="S415" t="s">
        <v>842</v>
      </c>
      <c r="T415" t="s">
        <v>774</v>
      </c>
      <c r="U415" t="s">
        <v>776</v>
      </c>
      <c r="V415" t="s">
        <v>1442</v>
      </c>
      <c r="W415" t="s">
        <v>1442</v>
      </c>
    </row>
    <row r="416" spans="1:23" x14ac:dyDescent="0.25">
      <c r="A416" s="39">
        <v>46148.611378055597</v>
      </c>
      <c r="B416" s="40">
        <v>46148</v>
      </c>
      <c r="C416" t="s">
        <v>23</v>
      </c>
      <c r="D416" t="s">
        <v>30</v>
      </c>
      <c r="E416" t="s">
        <v>31</v>
      </c>
      <c r="F416" t="s">
        <v>464</v>
      </c>
      <c r="G416" t="s">
        <v>526</v>
      </c>
      <c r="H416" t="s">
        <v>527</v>
      </c>
      <c r="I416">
        <v>0.38728299999999999</v>
      </c>
      <c r="J416">
        <v>668.76</v>
      </c>
      <c r="K416">
        <v>-259</v>
      </c>
      <c r="L416">
        <v>-1</v>
      </c>
      <c r="M416">
        <v>0</v>
      </c>
      <c r="N416" t="s">
        <v>26</v>
      </c>
      <c r="O416">
        <v>0</v>
      </c>
      <c r="P416" t="s">
        <v>1442</v>
      </c>
      <c r="Q416">
        <v>0</v>
      </c>
      <c r="R416" t="s">
        <v>843</v>
      </c>
      <c r="S416" t="s">
        <v>844</v>
      </c>
      <c r="T416" t="s">
        <v>1442</v>
      </c>
      <c r="U416" t="s">
        <v>1442</v>
      </c>
      <c r="V416" t="s">
        <v>1442</v>
      </c>
      <c r="W416" t="s">
        <v>1442</v>
      </c>
    </row>
    <row r="417" spans="1:23" x14ac:dyDescent="0.25">
      <c r="A417" s="39">
        <v>46149.469036851799</v>
      </c>
      <c r="B417" s="40">
        <v>46149</v>
      </c>
      <c r="C417" t="s">
        <v>23</v>
      </c>
      <c r="D417" t="s">
        <v>24</v>
      </c>
      <c r="E417" t="s">
        <v>725</v>
      </c>
      <c r="F417" t="s">
        <v>1442</v>
      </c>
      <c r="G417" t="s">
        <v>845</v>
      </c>
      <c r="H417" t="s">
        <v>1442</v>
      </c>
      <c r="I417">
        <v>0</v>
      </c>
      <c r="J417">
        <v>0</v>
      </c>
      <c r="K417">
        <v>-51</v>
      </c>
      <c r="L417">
        <v>0</v>
      </c>
      <c r="M417">
        <v>0</v>
      </c>
      <c r="N417" t="s">
        <v>26</v>
      </c>
      <c r="O417">
        <v>0</v>
      </c>
      <c r="P417" t="s">
        <v>1442</v>
      </c>
      <c r="Q417">
        <v>0</v>
      </c>
      <c r="R417" t="s">
        <v>846</v>
      </c>
      <c r="S417" t="s">
        <v>847</v>
      </c>
      <c r="T417" t="s">
        <v>845</v>
      </c>
      <c r="U417" t="s">
        <v>848</v>
      </c>
      <c r="V417" t="s">
        <v>1442</v>
      </c>
      <c r="W417" t="s">
        <v>1442</v>
      </c>
    </row>
    <row r="418" spans="1:23" x14ac:dyDescent="0.25">
      <c r="A418" s="39">
        <v>46149.468577361098</v>
      </c>
      <c r="B418" s="40">
        <v>46149</v>
      </c>
      <c r="C418" t="s">
        <v>23</v>
      </c>
      <c r="D418" t="s">
        <v>24</v>
      </c>
      <c r="E418" t="s">
        <v>25</v>
      </c>
      <c r="F418" t="s">
        <v>1442</v>
      </c>
      <c r="G418" t="s">
        <v>774</v>
      </c>
      <c r="H418" t="s">
        <v>1442</v>
      </c>
      <c r="I418">
        <v>0</v>
      </c>
      <c r="J418">
        <v>0</v>
      </c>
      <c r="K418">
        <v>153</v>
      </c>
      <c r="L418">
        <v>0</v>
      </c>
      <c r="M418">
        <v>0</v>
      </c>
      <c r="N418" t="s">
        <v>26</v>
      </c>
      <c r="O418">
        <v>0</v>
      </c>
      <c r="P418" t="s">
        <v>1442</v>
      </c>
      <c r="Q418">
        <v>0</v>
      </c>
      <c r="R418" t="s">
        <v>246</v>
      </c>
      <c r="S418" t="s">
        <v>849</v>
      </c>
      <c r="T418" t="s">
        <v>774</v>
      </c>
      <c r="U418" t="s">
        <v>776</v>
      </c>
      <c r="V418" t="s">
        <v>1442</v>
      </c>
      <c r="W418" t="s">
        <v>1442</v>
      </c>
    </row>
    <row r="419" spans="1:23" x14ac:dyDescent="0.25">
      <c r="A419" s="39">
        <v>46149.469865023202</v>
      </c>
      <c r="B419" s="40">
        <v>46149</v>
      </c>
      <c r="C419" t="s">
        <v>23</v>
      </c>
      <c r="D419" t="s">
        <v>24</v>
      </c>
      <c r="E419" t="s">
        <v>725</v>
      </c>
      <c r="F419" t="s">
        <v>1442</v>
      </c>
      <c r="G419" t="s">
        <v>850</v>
      </c>
      <c r="H419" t="s">
        <v>1442</v>
      </c>
      <c r="I419">
        <v>0</v>
      </c>
      <c r="J419">
        <v>0</v>
      </c>
      <c r="K419">
        <v>-51</v>
      </c>
      <c r="L419">
        <v>0</v>
      </c>
      <c r="M419">
        <v>0</v>
      </c>
      <c r="N419" t="s">
        <v>26</v>
      </c>
      <c r="O419">
        <v>0</v>
      </c>
      <c r="P419" t="s">
        <v>1442</v>
      </c>
      <c r="Q419">
        <v>0</v>
      </c>
      <c r="R419" t="s">
        <v>726</v>
      </c>
      <c r="S419" t="s">
        <v>851</v>
      </c>
      <c r="T419" t="s">
        <v>850</v>
      </c>
      <c r="U419" t="s">
        <v>852</v>
      </c>
      <c r="V419" t="s">
        <v>1442</v>
      </c>
      <c r="W419" t="s">
        <v>1442</v>
      </c>
    </row>
    <row r="420" spans="1:23" x14ac:dyDescent="0.25">
      <c r="A420" s="39">
        <v>46149.470895544</v>
      </c>
      <c r="B420" s="40">
        <v>46149</v>
      </c>
      <c r="C420" t="s">
        <v>23</v>
      </c>
      <c r="D420" t="s">
        <v>24</v>
      </c>
      <c r="E420" t="s">
        <v>725</v>
      </c>
      <c r="F420" t="s">
        <v>1442</v>
      </c>
      <c r="G420" t="s">
        <v>853</v>
      </c>
      <c r="H420" t="s">
        <v>1442</v>
      </c>
      <c r="I420">
        <v>0</v>
      </c>
      <c r="J420">
        <v>0</v>
      </c>
      <c r="K420">
        <v>-51</v>
      </c>
      <c r="L420">
        <v>0</v>
      </c>
      <c r="M420">
        <v>0</v>
      </c>
      <c r="N420" t="s">
        <v>26</v>
      </c>
      <c r="O420">
        <v>0</v>
      </c>
      <c r="P420" t="s">
        <v>1442</v>
      </c>
      <c r="Q420">
        <v>0</v>
      </c>
      <c r="R420" t="s">
        <v>854</v>
      </c>
      <c r="S420" t="s">
        <v>855</v>
      </c>
      <c r="T420" t="s">
        <v>853</v>
      </c>
      <c r="U420" t="s">
        <v>856</v>
      </c>
      <c r="V420" t="s">
        <v>1442</v>
      </c>
      <c r="W420" t="s">
        <v>1442</v>
      </c>
    </row>
    <row r="421" spans="1:23" x14ac:dyDescent="0.25">
      <c r="A421" s="39">
        <v>46149.717931527797</v>
      </c>
      <c r="B421" s="40">
        <v>46149</v>
      </c>
      <c r="C421" t="s">
        <v>23</v>
      </c>
      <c r="D421" t="s">
        <v>24</v>
      </c>
      <c r="E421" t="s">
        <v>25</v>
      </c>
      <c r="F421" t="s">
        <v>1442</v>
      </c>
      <c r="G421" t="s">
        <v>774</v>
      </c>
      <c r="H421" t="s">
        <v>1442</v>
      </c>
      <c r="I421">
        <v>0</v>
      </c>
      <c r="J421">
        <v>0</v>
      </c>
      <c r="K421">
        <v>77</v>
      </c>
      <c r="L421">
        <v>0</v>
      </c>
      <c r="M421">
        <v>0</v>
      </c>
      <c r="N421" t="s">
        <v>26</v>
      </c>
      <c r="O421">
        <v>0</v>
      </c>
      <c r="P421" t="s">
        <v>1442</v>
      </c>
      <c r="Q421">
        <v>0</v>
      </c>
      <c r="R421" t="s">
        <v>246</v>
      </c>
      <c r="S421" t="s">
        <v>857</v>
      </c>
      <c r="T421" t="s">
        <v>774</v>
      </c>
      <c r="U421" t="s">
        <v>776</v>
      </c>
      <c r="V421" t="s">
        <v>1442</v>
      </c>
      <c r="W421" t="s">
        <v>1442</v>
      </c>
    </row>
    <row r="422" spans="1:23" x14ac:dyDescent="0.25">
      <c r="A422" s="39">
        <v>46149.955171585701</v>
      </c>
      <c r="B422" s="40">
        <v>46149</v>
      </c>
      <c r="C422" t="s">
        <v>23</v>
      </c>
      <c r="D422" t="s">
        <v>24</v>
      </c>
      <c r="E422" t="s">
        <v>25</v>
      </c>
      <c r="F422" t="s">
        <v>1442</v>
      </c>
      <c r="G422" t="s">
        <v>774</v>
      </c>
      <c r="H422" t="s">
        <v>1442</v>
      </c>
      <c r="I422">
        <v>0</v>
      </c>
      <c r="J422">
        <v>0</v>
      </c>
      <c r="K422">
        <v>224</v>
      </c>
      <c r="L422">
        <v>0</v>
      </c>
      <c r="M422">
        <v>0</v>
      </c>
      <c r="N422" t="s">
        <v>26</v>
      </c>
      <c r="O422">
        <v>0</v>
      </c>
      <c r="P422" t="s">
        <v>1442</v>
      </c>
      <c r="Q422">
        <v>0</v>
      </c>
      <c r="R422" t="s">
        <v>246</v>
      </c>
      <c r="S422" t="s">
        <v>858</v>
      </c>
      <c r="T422" t="s">
        <v>774</v>
      </c>
      <c r="U422" t="s">
        <v>776</v>
      </c>
      <c r="V422" t="s">
        <v>1442</v>
      </c>
      <c r="W422" t="s">
        <v>1442</v>
      </c>
    </row>
    <row r="423" spans="1:23" x14ac:dyDescent="0.25">
      <c r="A423" s="39">
        <v>46149.955635787002</v>
      </c>
      <c r="B423" s="40">
        <v>46149</v>
      </c>
      <c r="C423" t="s">
        <v>23</v>
      </c>
      <c r="D423" t="s">
        <v>30</v>
      </c>
      <c r="E423" t="s">
        <v>31</v>
      </c>
      <c r="F423" t="s">
        <v>32</v>
      </c>
      <c r="G423" t="s">
        <v>640</v>
      </c>
      <c r="H423" t="s">
        <v>641</v>
      </c>
      <c r="I423">
        <v>0.55612099999999998</v>
      </c>
      <c r="J423">
        <v>9.8179999999999996</v>
      </c>
      <c r="K423">
        <v>-5.46</v>
      </c>
      <c r="L423">
        <v>0</v>
      </c>
      <c r="M423">
        <v>0</v>
      </c>
      <c r="N423" t="s">
        <v>26</v>
      </c>
      <c r="O423">
        <v>0</v>
      </c>
      <c r="P423" t="s">
        <v>1442</v>
      </c>
      <c r="Q423">
        <v>0</v>
      </c>
      <c r="R423" t="s">
        <v>859</v>
      </c>
      <c r="S423" t="s">
        <v>860</v>
      </c>
      <c r="T423" t="s">
        <v>1442</v>
      </c>
      <c r="U423" t="s">
        <v>1442</v>
      </c>
      <c r="V423" t="s">
        <v>1442</v>
      </c>
      <c r="W423" t="s">
        <v>1442</v>
      </c>
    </row>
    <row r="424" spans="1:23" x14ac:dyDescent="0.25">
      <c r="A424" s="39">
        <v>46149.955635787002</v>
      </c>
      <c r="B424" s="40">
        <v>46149</v>
      </c>
      <c r="C424" t="s">
        <v>23</v>
      </c>
      <c r="D424" t="s">
        <v>30</v>
      </c>
      <c r="E424" t="s">
        <v>31</v>
      </c>
      <c r="F424" t="s">
        <v>32</v>
      </c>
      <c r="G424" t="s">
        <v>640</v>
      </c>
      <c r="H424" t="s">
        <v>641</v>
      </c>
      <c r="I424">
        <v>30</v>
      </c>
      <c r="J424">
        <v>9.8179999999999996</v>
      </c>
      <c r="K424">
        <v>-294.54000000000002</v>
      </c>
      <c r="L424">
        <v>-1</v>
      </c>
      <c r="M424">
        <v>0</v>
      </c>
      <c r="N424" t="s">
        <v>26</v>
      </c>
      <c r="O424">
        <v>0</v>
      </c>
      <c r="P424" t="s">
        <v>1442</v>
      </c>
      <c r="Q424">
        <v>0</v>
      </c>
      <c r="R424" t="s">
        <v>861</v>
      </c>
      <c r="S424" t="s">
        <v>862</v>
      </c>
      <c r="T424" t="s">
        <v>1442</v>
      </c>
      <c r="U424" t="s">
        <v>1442</v>
      </c>
      <c r="V424" t="s">
        <v>1442</v>
      </c>
      <c r="W424" t="s">
        <v>1442</v>
      </c>
    </row>
    <row r="425" spans="1:23" x14ac:dyDescent="0.25">
      <c r="A425" s="39">
        <v>46153.653081759301</v>
      </c>
      <c r="B425" s="40">
        <v>46153</v>
      </c>
      <c r="C425" t="s">
        <v>23</v>
      </c>
      <c r="D425" t="s">
        <v>24</v>
      </c>
      <c r="E425" t="s">
        <v>25</v>
      </c>
      <c r="F425" t="s">
        <v>1442</v>
      </c>
      <c r="G425" t="s">
        <v>774</v>
      </c>
      <c r="H425" t="s">
        <v>1442</v>
      </c>
      <c r="I425">
        <v>0</v>
      </c>
      <c r="J425">
        <v>0</v>
      </c>
      <c r="K425">
        <v>201</v>
      </c>
      <c r="L425">
        <v>0</v>
      </c>
      <c r="M425">
        <v>0</v>
      </c>
      <c r="N425" t="s">
        <v>26</v>
      </c>
      <c r="O425">
        <v>0</v>
      </c>
      <c r="P425" t="s">
        <v>1442</v>
      </c>
      <c r="Q425">
        <v>0</v>
      </c>
      <c r="R425" t="s">
        <v>246</v>
      </c>
      <c r="S425" t="s">
        <v>863</v>
      </c>
      <c r="T425" t="s">
        <v>774</v>
      </c>
      <c r="U425" t="s">
        <v>776</v>
      </c>
      <c r="V425" t="s">
        <v>1442</v>
      </c>
      <c r="W425" t="s">
        <v>1442</v>
      </c>
    </row>
    <row r="426" spans="1:23" x14ac:dyDescent="0.25">
      <c r="A426" s="39">
        <v>46153.653199756904</v>
      </c>
      <c r="B426" s="40">
        <v>46153</v>
      </c>
      <c r="C426" t="s">
        <v>23</v>
      </c>
      <c r="D426" t="s">
        <v>30</v>
      </c>
      <c r="E426" t="s">
        <v>31</v>
      </c>
      <c r="F426" t="s">
        <v>32</v>
      </c>
      <c r="G426" t="s">
        <v>864</v>
      </c>
      <c r="H426" t="s">
        <v>865</v>
      </c>
      <c r="I426">
        <v>8.2652000000000003E-2</v>
      </c>
      <c r="J426">
        <v>22.02</v>
      </c>
      <c r="K426">
        <v>-1.82</v>
      </c>
      <c r="L426">
        <v>0</v>
      </c>
      <c r="M426">
        <v>0</v>
      </c>
      <c r="N426" t="s">
        <v>26</v>
      </c>
      <c r="O426">
        <v>0</v>
      </c>
      <c r="P426" t="s">
        <v>1442</v>
      </c>
      <c r="Q426">
        <v>0</v>
      </c>
      <c r="R426" t="s">
        <v>866</v>
      </c>
      <c r="S426" t="s">
        <v>867</v>
      </c>
      <c r="T426" t="s">
        <v>1442</v>
      </c>
      <c r="U426" t="s">
        <v>1442</v>
      </c>
      <c r="V426" t="s">
        <v>1442</v>
      </c>
      <c r="W426" t="s">
        <v>1442</v>
      </c>
    </row>
    <row r="427" spans="1:23" x14ac:dyDescent="0.25">
      <c r="A427" s="39">
        <v>46153.653199756904</v>
      </c>
      <c r="B427" s="40">
        <v>46153</v>
      </c>
      <c r="C427" t="s">
        <v>23</v>
      </c>
      <c r="D427" t="s">
        <v>30</v>
      </c>
      <c r="E427" t="s">
        <v>31</v>
      </c>
      <c r="F427" t="s">
        <v>32</v>
      </c>
      <c r="G427" t="s">
        <v>864</v>
      </c>
      <c r="H427" t="s">
        <v>865</v>
      </c>
      <c r="I427">
        <v>9</v>
      </c>
      <c r="J427">
        <v>22.02</v>
      </c>
      <c r="K427">
        <v>-198.18</v>
      </c>
      <c r="L427">
        <v>-1</v>
      </c>
      <c r="M427">
        <v>0</v>
      </c>
      <c r="N427" t="s">
        <v>26</v>
      </c>
      <c r="O427">
        <v>0</v>
      </c>
      <c r="P427" t="s">
        <v>1442</v>
      </c>
      <c r="Q427">
        <v>0</v>
      </c>
      <c r="R427" t="s">
        <v>868</v>
      </c>
      <c r="S427" t="s">
        <v>869</v>
      </c>
      <c r="T427" t="s">
        <v>1442</v>
      </c>
      <c r="U427" t="s">
        <v>1442</v>
      </c>
      <c r="V427" t="s">
        <v>1442</v>
      </c>
      <c r="W427" t="s">
        <v>1442</v>
      </c>
    </row>
    <row r="428" spans="1:23" x14ac:dyDescent="0.25">
      <c r="A428" s="39">
        <v>46154.461345231502</v>
      </c>
      <c r="B428" s="40">
        <v>46154</v>
      </c>
      <c r="C428" t="s">
        <v>23</v>
      </c>
      <c r="D428" t="s">
        <v>30</v>
      </c>
      <c r="E428" t="s">
        <v>82</v>
      </c>
      <c r="F428" t="s">
        <v>32</v>
      </c>
      <c r="G428" t="s">
        <v>154</v>
      </c>
      <c r="H428" t="s">
        <v>155</v>
      </c>
      <c r="I428">
        <v>-18</v>
      </c>
      <c r="J428">
        <v>21.4</v>
      </c>
      <c r="K428">
        <v>385.2</v>
      </c>
      <c r="L428">
        <v>-1</v>
      </c>
      <c r="M428">
        <v>0</v>
      </c>
      <c r="N428" t="s">
        <v>26</v>
      </c>
      <c r="O428">
        <v>0</v>
      </c>
      <c r="P428" t="s">
        <v>1442</v>
      </c>
      <c r="Q428">
        <v>0</v>
      </c>
      <c r="R428" t="s">
        <v>870</v>
      </c>
      <c r="S428" t="s">
        <v>871</v>
      </c>
      <c r="T428" t="s">
        <v>1442</v>
      </c>
      <c r="U428" t="s">
        <v>1442</v>
      </c>
      <c r="V428" t="s">
        <v>1442</v>
      </c>
      <c r="W428" t="s">
        <v>1442</v>
      </c>
    </row>
    <row r="429" spans="1:23" x14ac:dyDescent="0.25">
      <c r="A429" s="39">
        <v>46154.4613452431</v>
      </c>
      <c r="B429" s="40">
        <v>46154</v>
      </c>
      <c r="C429" t="s">
        <v>23</v>
      </c>
      <c r="D429" t="s">
        <v>30</v>
      </c>
      <c r="E429" t="s">
        <v>82</v>
      </c>
      <c r="F429" t="s">
        <v>32</v>
      </c>
      <c r="G429" t="s">
        <v>154</v>
      </c>
      <c r="H429" t="s">
        <v>155</v>
      </c>
      <c r="I429">
        <v>-0.48916999999999999</v>
      </c>
      <c r="J429">
        <v>21.4</v>
      </c>
      <c r="K429">
        <v>10.47</v>
      </c>
      <c r="L429">
        <v>0</v>
      </c>
      <c r="M429">
        <v>0</v>
      </c>
      <c r="N429" t="s">
        <v>26</v>
      </c>
      <c r="O429">
        <v>0</v>
      </c>
      <c r="P429" t="s">
        <v>1442</v>
      </c>
      <c r="Q429">
        <v>0</v>
      </c>
      <c r="R429" t="s">
        <v>872</v>
      </c>
      <c r="S429" t="s">
        <v>873</v>
      </c>
      <c r="T429" t="s">
        <v>1442</v>
      </c>
      <c r="U429" t="s">
        <v>1442</v>
      </c>
      <c r="V429" t="s">
        <v>1442</v>
      </c>
      <c r="W429" t="s">
        <v>1442</v>
      </c>
    </row>
    <row r="430" spans="1:23" x14ac:dyDescent="0.25">
      <c r="A430" s="39">
        <v>46156.474639722197</v>
      </c>
      <c r="B430" s="40">
        <v>46156</v>
      </c>
      <c r="C430" t="s">
        <v>23</v>
      </c>
      <c r="D430" t="s">
        <v>30</v>
      </c>
      <c r="E430" t="s">
        <v>31</v>
      </c>
      <c r="F430" t="s">
        <v>32</v>
      </c>
      <c r="G430" t="s">
        <v>167</v>
      </c>
      <c r="H430" t="s">
        <v>168</v>
      </c>
      <c r="I430">
        <v>150</v>
      </c>
      <c r="J430">
        <v>1.99</v>
      </c>
      <c r="K430">
        <v>-298.5</v>
      </c>
      <c r="L430">
        <v>-1</v>
      </c>
      <c r="M430">
        <v>0</v>
      </c>
      <c r="N430" t="s">
        <v>26</v>
      </c>
      <c r="O430">
        <v>0</v>
      </c>
      <c r="P430" t="s">
        <v>1442</v>
      </c>
      <c r="Q430">
        <v>0</v>
      </c>
      <c r="R430" t="s">
        <v>874</v>
      </c>
      <c r="S430" t="s">
        <v>875</v>
      </c>
      <c r="T430" t="s">
        <v>1442</v>
      </c>
      <c r="U430" t="s">
        <v>1442</v>
      </c>
      <c r="V430" t="s">
        <v>1442</v>
      </c>
      <c r="W430" t="s">
        <v>1442</v>
      </c>
    </row>
    <row r="431" spans="1:23" x14ac:dyDescent="0.25">
      <c r="A431" s="39">
        <v>46156.474639722197</v>
      </c>
      <c r="B431" s="40">
        <v>46156</v>
      </c>
      <c r="C431" t="s">
        <v>23</v>
      </c>
      <c r="D431" t="s">
        <v>30</v>
      </c>
      <c r="E431" t="s">
        <v>31</v>
      </c>
      <c r="F431" t="s">
        <v>32</v>
      </c>
      <c r="G431" t="s">
        <v>167</v>
      </c>
      <c r="H431" t="s">
        <v>168</v>
      </c>
      <c r="I431">
        <v>0.75376799999999999</v>
      </c>
      <c r="J431">
        <v>1.99</v>
      </c>
      <c r="K431">
        <v>-1.5</v>
      </c>
      <c r="L431">
        <v>0</v>
      </c>
      <c r="M431">
        <v>0</v>
      </c>
      <c r="N431" t="s">
        <v>26</v>
      </c>
      <c r="O431">
        <v>0</v>
      </c>
      <c r="P431" t="s">
        <v>1442</v>
      </c>
      <c r="Q431">
        <v>0</v>
      </c>
      <c r="R431" t="s">
        <v>876</v>
      </c>
      <c r="S431" t="s">
        <v>877</v>
      </c>
      <c r="T431" t="s">
        <v>1442</v>
      </c>
      <c r="U431" t="s">
        <v>1442</v>
      </c>
      <c r="V431" t="s">
        <v>1442</v>
      </c>
      <c r="W431" t="s">
        <v>1442</v>
      </c>
    </row>
    <row r="432" spans="1:23" x14ac:dyDescent="0.25">
      <c r="A432" s="39">
        <v>46156.475437268498</v>
      </c>
      <c r="B432" s="40">
        <v>46156</v>
      </c>
      <c r="C432" t="s">
        <v>23</v>
      </c>
      <c r="D432" t="s">
        <v>30</v>
      </c>
      <c r="E432" t="s">
        <v>31</v>
      </c>
      <c r="F432" t="s">
        <v>32</v>
      </c>
      <c r="G432" t="s">
        <v>747</v>
      </c>
      <c r="H432" t="s">
        <v>748</v>
      </c>
      <c r="I432">
        <v>1</v>
      </c>
      <c r="J432">
        <v>75.040000000000006</v>
      </c>
      <c r="K432">
        <v>-75.040000000000006</v>
      </c>
      <c r="L432">
        <v>-1</v>
      </c>
      <c r="M432">
        <v>0</v>
      </c>
      <c r="N432" t="s">
        <v>26</v>
      </c>
      <c r="O432">
        <v>0</v>
      </c>
      <c r="P432" t="s">
        <v>1442</v>
      </c>
      <c r="Q432">
        <v>0</v>
      </c>
      <c r="R432" t="s">
        <v>878</v>
      </c>
      <c r="S432" t="s">
        <v>879</v>
      </c>
      <c r="T432" t="s">
        <v>1442</v>
      </c>
      <c r="U432" t="s">
        <v>1442</v>
      </c>
      <c r="V432" t="s">
        <v>1442</v>
      </c>
      <c r="W432" t="s">
        <v>1442</v>
      </c>
    </row>
    <row r="433" spans="1:23" x14ac:dyDescent="0.25">
      <c r="A433" s="39">
        <v>46156.475437268498</v>
      </c>
      <c r="B433" s="40">
        <v>46156</v>
      </c>
      <c r="C433" t="s">
        <v>23</v>
      </c>
      <c r="D433" t="s">
        <v>30</v>
      </c>
      <c r="E433" t="s">
        <v>31</v>
      </c>
      <c r="F433" t="s">
        <v>32</v>
      </c>
      <c r="G433" t="s">
        <v>747</v>
      </c>
      <c r="H433" t="s">
        <v>748</v>
      </c>
      <c r="I433">
        <v>0.22601199999999999</v>
      </c>
      <c r="J433">
        <v>75.040000000000006</v>
      </c>
      <c r="K433">
        <v>-16.96</v>
      </c>
      <c r="L433">
        <v>0</v>
      </c>
      <c r="M433">
        <v>0</v>
      </c>
      <c r="N433" t="s">
        <v>26</v>
      </c>
      <c r="O433">
        <v>0</v>
      </c>
      <c r="P433" t="s">
        <v>1442</v>
      </c>
      <c r="Q433">
        <v>0</v>
      </c>
      <c r="R433" t="s">
        <v>880</v>
      </c>
      <c r="S433" t="s">
        <v>881</v>
      </c>
      <c r="T433" t="s">
        <v>1442</v>
      </c>
      <c r="U433" t="s">
        <v>1442</v>
      </c>
      <c r="V433" t="s">
        <v>1442</v>
      </c>
      <c r="W433" t="s">
        <v>1442</v>
      </c>
    </row>
    <row r="434" spans="1:23" x14ac:dyDescent="0.25">
      <c r="A434" s="39">
        <v>46157.722766990701</v>
      </c>
      <c r="B434" s="40">
        <v>46157</v>
      </c>
      <c r="C434" t="s">
        <v>23</v>
      </c>
      <c r="D434" t="s">
        <v>30</v>
      </c>
      <c r="E434" t="s">
        <v>82</v>
      </c>
      <c r="F434" t="s">
        <v>32</v>
      </c>
      <c r="G434" t="s">
        <v>640</v>
      </c>
      <c r="H434" t="s">
        <v>641</v>
      </c>
      <c r="I434">
        <v>-0.55612099999999998</v>
      </c>
      <c r="J434">
        <v>10.465</v>
      </c>
      <c r="K434">
        <v>5.82</v>
      </c>
      <c r="L434">
        <v>0</v>
      </c>
      <c r="M434">
        <v>0</v>
      </c>
      <c r="N434" t="s">
        <v>26</v>
      </c>
      <c r="O434">
        <v>0</v>
      </c>
      <c r="P434" t="s">
        <v>1442</v>
      </c>
      <c r="Q434">
        <v>0</v>
      </c>
      <c r="R434" t="s">
        <v>882</v>
      </c>
      <c r="S434" t="s">
        <v>883</v>
      </c>
      <c r="T434" t="s">
        <v>1442</v>
      </c>
      <c r="U434" t="s">
        <v>1442</v>
      </c>
      <c r="V434" t="s">
        <v>1442</v>
      </c>
      <c r="W434" t="s">
        <v>1442</v>
      </c>
    </row>
    <row r="435" spans="1:23" x14ac:dyDescent="0.25">
      <c r="A435" s="39">
        <v>46157.722767013896</v>
      </c>
      <c r="B435" s="40">
        <v>46157</v>
      </c>
      <c r="C435" t="s">
        <v>23</v>
      </c>
      <c r="D435" t="s">
        <v>30</v>
      </c>
      <c r="E435" t="s">
        <v>82</v>
      </c>
      <c r="F435" t="s">
        <v>32</v>
      </c>
      <c r="G435" t="s">
        <v>640</v>
      </c>
      <c r="H435" t="s">
        <v>641</v>
      </c>
      <c r="I435">
        <v>-30</v>
      </c>
      <c r="J435">
        <v>10.465</v>
      </c>
      <c r="K435">
        <v>313.95</v>
      </c>
      <c r="L435">
        <v>-1</v>
      </c>
      <c r="M435">
        <v>0</v>
      </c>
      <c r="N435" t="s">
        <v>26</v>
      </c>
      <c r="O435">
        <v>0</v>
      </c>
      <c r="P435" t="s">
        <v>1442</v>
      </c>
      <c r="Q435">
        <v>0</v>
      </c>
      <c r="R435" t="s">
        <v>884</v>
      </c>
      <c r="S435" t="s">
        <v>885</v>
      </c>
      <c r="T435" t="s">
        <v>1442</v>
      </c>
      <c r="U435" t="s">
        <v>1442</v>
      </c>
      <c r="V435" t="s">
        <v>1442</v>
      </c>
      <c r="W435" t="s">
        <v>1442</v>
      </c>
    </row>
    <row r="436" spans="1:23" x14ac:dyDescent="0.25">
      <c r="A436" s="39">
        <v>46160.756341817098</v>
      </c>
      <c r="B436" s="40">
        <v>46160</v>
      </c>
      <c r="C436" t="s">
        <v>23</v>
      </c>
      <c r="D436" t="s">
        <v>30</v>
      </c>
      <c r="E436" t="s">
        <v>31</v>
      </c>
      <c r="F436" t="s">
        <v>32</v>
      </c>
      <c r="G436" t="s">
        <v>154</v>
      </c>
      <c r="H436" t="s">
        <v>155</v>
      </c>
      <c r="I436">
        <v>19</v>
      </c>
      <c r="J436">
        <v>16.079999999999998</v>
      </c>
      <c r="K436">
        <v>-305.52</v>
      </c>
      <c r="L436">
        <v>-1</v>
      </c>
      <c r="M436">
        <v>0</v>
      </c>
      <c r="N436" t="s">
        <v>26</v>
      </c>
      <c r="O436">
        <v>0</v>
      </c>
      <c r="P436" t="s">
        <v>1442</v>
      </c>
      <c r="Q436">
        <v>0</v>
      </c>
      <c r="R436" t="s">
        <v>886</v>
      </c>
      <c r="S436" t="s">
        <v>887</v>
      </c>
      <c r="T436" t="s">
        <v>1442</v>
      </c>
      <c r="U436" t="s">
        <v>1442</v>
      </c>
      <c r="V436" t="s">
        <v>1442</v>
      </c>
      <c r="W436" t="s">
        <v>1442</v>
      </c>
    </row>
    <row r="437" spans="1:23" x14ac:dyDescent="0.25">
      <c r="A437" s="39">
        <v>46160.756342013898</v>
      </c>
      <c r="B437" s="40">
        <v>46160</v>
      </c>
      <c r="C437" t="s">
        <v>23</v>
      </c>
      <c r="D437" t="s">
        <v>30</v>
      </c>
      <c r="E437" t="s">
        <v>31</v>
      </c>
      <c r="F437" t="s">
        <v>32</v>
      </c>
      <c r="G437" t="s">
        <v>154</v>
      </c>
      <c r="H437" t="s">
        <v>155</v>
      </c>
      <c r="I437">
        <v>0.776119</v>
      </c>
      <c r="J437">
        <v>16.079999999999998</v>
      </c>
      <c r="K437">
        <v>-12.48</v>
      </c>
      <c r="L437">
        <v>0</v>
      </c>
      <c r="M437">
        <v>0</v>
      </c>
      <c r="N437" t="s">
        <v>26</v>
      </c>
      <c r="O437">
        <v>0</v>
      </c>
      <c r="P437" t="s">
        <v>1442</v>
      </c>
      <c r="Q437">
        <v>0</v>
      </c>
      <c r="R437" t="s">
        <v>888</v>
      </c>
      <c r="S437" t="s">
        <v>889</v>
      </c>
      <c r="T437" t="s">
        <v>1442</v>
      </c>
      <c r="U437" t="s">
        <v>1442</v>
      </c>
      <c r="V437" t="s">
        <v>1442</v>
      </c>
      <c r="W437" t="s">
        <v>1442</v>
      </c>
    </row>
    <row r="438" spans="1:23" x14ac:dyDescent="0.25">
      <c r="A438" s="39">
        <v>46160.915041157401</v>
      </c>
      <c r="B438" s="40">
        <v>46160</v>
      </c>
      <c r="C438" t="s">
        <v>23</v>
      </c>
      <c r="D438" t="s">
        <v>24</v>
      </c>
      <c r="E438" t="s">
        <v>25</v>
      </c>
      <c r="F438" t="s">
        <v>1442</v>
      </c>
      <c r="G438" t="s">
        <v>774</v>
      </c>
      <c r="H438" t="s">
        <v>1442</v>
      </c>
      <c r="I438">
        <v>0</v>
      </c>
      <c r="J438">
        <v>0</v>
      </c>
      <c r="K438">
        <v>51</v>
      </c>
      <c r="L438">
        <v>0</v>
      </c>
      <c r="M438">
        <v>0</v>
      </c>
      <c r="N438" t="s">
        <v>26</v>
      </c>
      <c r="O438">
        <v>0</v>
      </c>
      <c r="P438" t="s">
        <v>1442</v>
      </c>
      <c r="Q438">
        <v>0</v>
      </c>
      <c r="R438" t="s">
        <v>246</v>
      </c>
      <c r="S438" t="s">
        <v>890</v>
      </c>
      <c r="T438" t="s">
        <v>774</v>
      </c>
      <c r="U438" t="s">
        <v>776</v>
      </c>
      <c r="V438" t="s">
        <v>1442</v>
      </c>
      <c r="W438" t="s">
        <v>1442</v>
      </c>
    </row>
    <row r="439" spans="1:23" x14ac:dyDescent="0.25">
      <c r="A439" s="39">
        <v>46160.9160178241</v>
      </c>
      <c r="B439" s="40">
        <v>46160</v>
      </c>
      <c r="C439" t="s">
        <v>23</v>
      </c>
      <c r="D439" t="s">
        <v>30</v>
      </c>
      <c r="E439" t="s">
        <v>31</v>
      </c>
      <c r="F439" t="s">
        <v>32</v>
      </c>
      <c r="G439" t="s">
        <v>167</v>
      </c>
      <c r="H439" t="s">
        <v>168</v>
      </c>
      <c r="I439">
        <v>0.86652799999999996</v>
      </c>
      <c r="J439">
        <v>1.9330000000000001</v>
      </c>
      <c r="K439">
        <v>-1.67</v>
      </c>
      <c r="L439">
        <v>0</v>
      </c>
      <c r="M439">
        <v>0</v>
      </c>
      <c r="N439" t="s">
        <v>26</v>
      </c>
      <c r="O439">
        <v>0</v>
      </c>
      <c r="P439" t="s">
        <v>1442</v>
      </c>
      <c r="Q439">
        <v>0</v>
      </c>
      <c r="R439" t="s">
        <v>891</v>
      </c>
      <c r="S439" t="s">
        <v>892</v>
      </c>
      <c r="T439" t="s">
        <v>1442</v>
      </c>
      <c r="U439" t="s">
        <v>1442</v>
      </c>
      <c r="V439" t="s">
        <v>1442</v>
      </c>
      <c r="W439" t="s">
        <v>1442</v>
      </c>
    </row>
    <row r="440" spans="1:23" x14ac:dyDescent="0.25">
      <c r="A440" s="39">
        <v>46160.916017835603</v>
      </c>
      <c r="B440" s="40">
        <v>46160</v>
      </c>
      <c r="C440" t="s">
        <v>23</v>
      </c>
      <c r="D440" t="s">
        <v>30</v>
      </c>
      <c r="E440" t="s">
        <v>31</v>
      </c>
      <c r="F440" t="s">
        <v>32</v>
      </c>
      <c r="G440" t="s">
        <v>167</v>
      </c>
      <c r="H440" t="s">
        <v>168</v>
      </c>
      <c r="I440">
        <v>25</v>
      </c>
      <c r="J440">
        <v>1.9330000000000001</v>
      </c>
      <c r="K440">
        <v>-48.33</v>
      </c>
      <c r="L440">
        <v>-1</v>
      </c>
      <c r="M440">
        <v>0</v>
      </c>
      <c r="N440" t="s">
        <v>26</v>
      </c>
      <c r="O440">
        <v>0</v>
      </c>
      <c r="P440" t="s">
        <v>1442</v>
      </c>
      <c r="Q440">
        <v>0</v>
      </c>
      <c r="R440" t="s">
        <v>893</v>
      </c>
      <c r="S440" t="s">
        <v>894</v>
      </c>
      <c r="T440" t="s">
        <v>1442</v>
      </c>
      <c r="U440" t="s">
        <v>1442</v>
      </c>
      <c r="V440" t="s">
        <v>1442</v>
      </c>
      <c r="W440" t="s">
        <v>1442</v>
      </c>
    </row>
    <row r="441" spans="1:23" x14ac:dyDescent="0.25">
      <c r="A441" s="39">
        <v>46161.317071365702</v>
      </c>
      <c r="B441" s="40">
        <v>46161</v>
      </c>
      <c r="C441" t="s">
        <v>23</v>
      </c>
      <c r="D441" t="s">
        <v>24</v>
      </c>
      <c r="E441" t="s">
        <v>25</v>
      </c>
      <c r="F441" t="s">
        <v>1442</v>
      </c>
      <c r="G441" t="s">
        <v>774</v>
      </c>
      <c r="H441" t="s">
        <v>1442</v>
      </c>
      <c r="I441">
        <v>0</v>
      </c>
      <c r="J441">
        <v>0</v>
      </c>
      <c r="K441">
        <v>51</v>
      </c>
      <c r="L441">
        <v>0</v>
      </c>
      <c r="M441">
        <v>0</v>
      </c>
      <c r="N441" t="s">
        <v>26</v>
      </c>
      <c r="O441">
        <v>0</v>
      </c>
      <c r="P441" t="s">
        <v>1442</v>
      </c>
      <c r="Q441">
        <v>0</v>
      </c>
      <c r="R441" t="s">
        <v>246</v>
      </c>
      <c r="S441" t="s">
        <v>895</v>
      </c>
      <c r="T441" t="s">
        <v>774</v>
      </c>
      <c r="U441" t="s">
        <v>776</v>
      </c>
      <c r="V441" t="s">
        <v>1442</v>
      </c>
      <c r="W441" t="s">
        <v>1442</v>
      </c>
    </row>
    <row r="442" spans="1:23" x14ac:dyDescent="0.25">
      <c r="A442" s="39">
        <v>46161.317326736098</v>
      </c>
      <c r="B442" s="40">
        <v>46161</v>
      </c>
      <c r="C442" t="s">
        <v>23</v>
      </c>
      <c r="D442" t="s">
        <v>30</v>
      </c>
      <c r="E442" t="s">
        <v>31</v>
      </c>
      <c r="F442" t="s">
        <v>32</v>
      </c>
      <c r="G442" t="s">
        <v>167</v>
      </c>
      <c r="H442" t="s">
        <v>168</v>
      </c>
      <c r="I442">
        <v>0.85515300000000005</v>
      </c>
      <c r="J442">
        <v>1.7949999999999999</v>
      </c>
      <c r="K442">
        <v>-1.53</v>
      </c>
      <c r="L442">
        <v>0</v>
      </c>
      <c r="M442">
        <v>0</v>
      </c>
      <c r="N442" t="s">
        <v>26</v>
      </c>
      <c r="O442">
        <v>0</v>
      </c>
      <c r="P442" t="s">
        <v>1442</v>
      </c>
      <c r="Q442">
        <v>0</v>
      </c>
      <c r="R442" t="s">
        <v>896</v>
      </c>
      <c r="S442" t="s">
        <v>897</v>
      </c>
      <c r="T442" t="s">
        <v>1442</v>
      </c>
      <c r="U442" t="s">
        <v>1442</v>
      </c>
      <c r="V442" t="s">
        <v>1442</v>
      </c>
      <c r="W442" t="s">
        <v>1442</v>
      </c>
    </row>
    <row r="443" spans="1:23" x14ac:dyDescent="0.25">
      <c r="A443" s="39">
        <v>46161.317326747703</v>
      </c>
      <c r="B443" s="40">
        <v>46161</v>
      </c>
      <c r="C443" t="s">
        <v>23</v>
      </c>
      <c r="D443" t="s">
        <v>30</v>
      </c>
      <c r="E443" t="s">
        <v>31</v>
      </c>
      <c r="F443" t="s">
        <v>32</v>
      </c>
      <c r="G443" t="s">
        <v>167</v>
      </c>
      <c r="H443" t="s">
        <v>168</v>
      </c>
      <c r="I443">
        <v>27</v>
      </c>
      <c r="J443">
        <v>1.7949999999999999</v>
      </c>
      <c r="K443">
        <v>-48.47</v>
      </c>
      <c r="L443">
        <v>-1</v>
      </c>
      <c r="M443">
        <v>0</v>
      </c>
      <c r="N443" t="s">
        <v>26</v>
      </c>
      <c r="O443">
        <v>0</v>
      </c>
      <c r="P443" t="s">
        <v>1442</v>
      </c>
      <c r="Q443">
        <v>0</v>
      </c>
      <c r="R443" t="s">
        <v>898</v>
      </c>
      <c r="S443" t="s">
        <v>899</v>
      </c>
      <c r="T443" t="s">
        <v>1442</v>
      </c>
      <c r="U443" t="s">
        <v>1442</v>
      </c>
      <c r="V443" t="s">
        <v>1442</v>
      </c>
      <c r="W443" t="s">
        <v>1442</v>
      </c>
    </row>
    <row r="444" spans="1:23" x14ac:dyDescent="0.25">
      <c r="A444" s="39">
        <v>46161.3439446181</v>
      </c>
      <c r="B444" s="40">
        <v>46161</v>
      </c>
      <c r="C444" t="s">
        <v>23</v>
      </c>
      <c r="D444" t="s">
        <v>24</v>
      </c>
      <c r="E444" t="s">
        <v>25</v>
      </c>
      <c r="F444" t="s">
        <v>1442</v>
      </c>
      <c r="G444" t="s">
        <v>807</v>
      </c>
      <c r="H444" t="s">
        <v>1442</v>
      </c>
      <c r="I444">
        <v>0</v>
      </c>
      <c r="J444">
        <v>0</v>
      </c>
      <c r="K444">
        <v>100</v>
      </c>
      <c r="L444">
        <v>0</v>
      </c>
      <c r="M444">
        <v>0</v>
      </c>
      <c r="N444" t="s">
        <v>26</v>
      </c>
      <c r="O444">
        <v>0</v>
      </c>
      <c r="P444" t="s">
        <v>1442</v>
      </c>
      <c r="Q444">
        <v>0</v>
      </c>
      <c r="R444" t="s">
        <v>647</v>
      </c>
      <c r="S444" t="s">
        <v>900</v>
      </c>
      <c r="T444" t="s">
        <v>807</v>
      </c>
      <c r="U444" t="s">
        <v>809</v>
      </c>
      <c r="V444" t="s">
        <v>1442</v>
      </c>
      <c r="W444" t="s">
        <v>1442</v>
      </c>
    </row>
    <row r="445" spans="1:23" x14ac:dyDescent="0.25">
      <c r="A445" s="39">
        <v>46161.344339733798</v>
      </c>
      <c r="B445" s="40">
        <v>46161</v>
      </c>
      <c r="C445" t="s">
        <v>23</v>
      </c>
      <c r="D445" t="s">
        <v>30</v>
      </c>
      <c r="E445" t="s">
        <v>31</v>
      </c>
      <c r="F445" t="s">
        <v>32</v>
      </c>
      <c r="G445" t="s">
        <v>211</v>
      </c>
      <c r="H445" t="s">
        <v>212</v>
      </c>
      <c r="I445">
        <v>40</v>
      </c>
      <c r="J445">
        <v>2.4750000000000001</v>
      </c>
      <c r="K445">
        <v>-99</v>
      </c>
      <c r="L445">
        <v>-1</v>
      </c>
      <c r="M445">
        <v>0</v>
      </c>
      <c r="N445" t="s">
        <v>26</v>
      </c>
      <c r="O445">
        <v>0</v>
      </c>
      <c r="P445" t="s">
        <v>1442</v>
      </c>
      <c r="Q445">
        <v>0</v>
      </c>
      <c r="R445" t="s">
        <v>901</v>
      </c>
      <c r="S445" t="s">
        <v>902</v>
      </c>
      <c r="T445" t="s">
        <v>1442</v>
      </c>
      <c r="U445" t="s">
        <v>1442</v>
      </c>
      <c r="V445" t="s">
        <v>1442</v>
      </c>
      <c r="W445" t="s">
        <v>1442</v>
      </c>
    </row>
    <row r="446" spans="1:23" x14ac:dyDescent="0.25">
      <c r="A446" s="39">
        <v>46161.3665601389</v>
      </c>
      <c r="B446" s="40">
        <v>46161</v>
      </c>
      <c r="C446" t="s">
        <v>23</v>
      </c>
      <c r="D446" t="s">
        <v>24</v>
      </c>
      <c r="E446" t="s">
        <v>25</v>
      </c>
      <c r="F446" t="s">
        <v>1442</v>
      </c>
      <c r="G446" t="s">
        <v>774</v>
      </c>
      <c r="H446" t="s">
        <v>1442</v>
      </c>
      <c r="I446">
        <v>0</v>
      </c>
      <c r="J446">
        <v>0</v>
      </c>
      <c r="K446">
        <v>101</v>
      </c>
      <c r="L446">
        <v>0</v>
      </c>
      <c r="M446">
        <v>0</v>
      </c>
      <c r="N446" t="s">
        <v>26</v>
      </c>
      <c r="O446">
        <v>0</v>
      </c>
      <c r="P446" t="s">
        <v>1442</v>
      </c>
      <c r="Q446">
        <v>0</v>
      </c>
      <c r="R446" t="s">
        <v>246</v>
      </c>
      <c r="S446" t="s">
        <v>903</v>
      </c>
      <c r="T446" t="s">
        <v>774</v>
      </c>
      <c r="U446" t="s">
        <v>776</v>
      </c>
      <c r="V446" t="s">
        <v>1442</v>
      </c>
      <c r="W446" t="s">
        <v>1442</v>
      </c>
    </row>
    <row r="447" spans="1:23" x14ac:dyDescent="0.25">
      <c r="A447" s="39">
        <v>46161.366668217597</v>
      </c>
      <c r="B447" s="40">
        <v>46161</v>
      </c>
      <c r="C447" t="s">
        <v>23</v>
      </c>
      <c r="D447" t="s">
        <v>30</v>
      </c>
      <c r="E447" t="s">
        <v>31</v>
      </c>
      <c r="F447" t="s">
        <v>32</v>
      </c>
      <c r="G447" t="s">
        <v>154</v>
      </c>
      <c r="H447" t="s">
        <v>155</v>
      </c>
      <c r="I447">
        <v>6</v>
      </c>
      <c r="J447">
        <v>16.445</v>
      </c>
      <c r="K447">
        <v>-98.67</v>
      </c>
      <c r="L447">
        <v>-1</v>
      </c>
      <c r="M447">
        <v>0</v>
      </c>
      <c r="N447" t="s">
        <v>26</v>
      </c>
      <c r="O447">
        <v>0</v>
      </c>
      <c r="P447" t="s">
        <v>1442</v>
      </c>
      <c r="Q447">
        <v>0</v>
      </c>
      <c r="R447" t="s">
        <v>779</v>
      </c>
      <c r="S447" t="s">
        <v>904</v>
      </c>
      <c r="T447" t="s">
        <v>1442</v>
      </c>
      <c r="U447" t="s">
        <v>1442</v>
      </c>
      <c r="V447" t="s">
        <v>1442</v>
      </c>
      <c r="W447" t="s">
        <v>1442</v>
      </c>
    </row>
    <row r="448" spans="1:23" x14ac:dyDescent="0.25">
      <c r="A448" s="39">
        <v>46161.366668217597</v>
      </c>
      <c r="B448" s="40">
        <v>46161</v>
      </c>
      <c r="C448" t="s">
        <v>23</v>
      </c>
      <c r="D448" t="s">
        <v>30</v>
      </c>
      <c r="E448" t="s">
        <v>31</v>
      </c>
      <c r="F448" t="s">
        <v>32</v>
      </c>
      <c r="G448" t="s">
        <v>154</v>
      </c>
      <c r="H448" t="s">
        <v>155</v>
      </c>
      <c r="I448">
        <v>8.0875000000000002E-2</v>
      </c>
      <c r="J448">
        <v>16.445</v>
      </c>
      <c r="K448">
        <v>-1.33</v>
      </c>
      <c r="L448">
        <v>0</v>
      </c>
      <c r="M448">
        <v>0</v>
      </c>
      <c r="N448" t="s">
        <v>26</v>
      </c>
      <c r="O448">
        <v>0</v>
      </c>
      <c r="P448" t="s">
        <v>1442</v>
      </c>
      <c r="Q448">
        <v>0</v>
      </c>
      <c r="R448" t="s">
        <v>905</v>
      </c>
      <c r="S448" t="s">
        <v>906</v>
      </c>
      <c r="T448" t="s">
        <v>1442</v>
      </c>
      <c r="U448" t="s">
        <v>1442</v>
      </c>
      <c r="V448" t="s">
        <v>1442</v>
      </c>
      <c r="W448" t="s">
        <v>1442</v>
      </c>
    </row>
    <row r="449" spans="1:23" x14ac:dyDescent="0.25">
      <c r="A449" s="39">
        <v>46162.345793807901</v>
      </c>
      <c r="B449" s="40">
        <v>46162</v>
      </c>
      <c r="C449" t="s">
        <v>23</v>
      </c>
      <c r="D449" t="s">
        <v>24</v>
      </c>
      <c r="E449" t="s">
        <v>25</v>
      </c>
      <c r="F449" t="s">
        <v>1442</v>
      </c>
      <c r="G449" t="s">
        <v>774</v>
      </c>
      <c r="H449" t="s">
        <v>1442</v>
      </c>
      <c r="I449">
        <v>0</v>
      </c>
      <c r="J449">
        <v>0</v>
      </c>
      <c r="K449">
        <v>51</v>
      </c>
      <c r="L449">
        <v>0</v>
      </c>
      <c r="M449">
        <v>0</v>
      </c>
      <c r="N449" t="s">
        <v>26</v>
      </c>
      <c r="O449">
        <v>0</v>
      </c>
      <c r="P449" t="s">
        <v>1442</v>
      </c>
      <c r="Q449">
        <v>0</v>
      </c>
      <c r="R449" t="s">
        <v>246</v>
      </c>
      <c r="S449" t="s">
        <v>907</v>
      </c>
      <c r="T449" t="s">
        <v>774</v>
      </c>
      <c r="U449" t="s">
        <v>776</v>
      </c>
      <c r="V449" t="s">
        <v>1442</v>
      </c>
      <c r="W449" t="s">
        <v>1442</v>
      </c>
    </row>
    <row r="450" spans="1:23" x14ac:dyDescent="0.25">
      <c r="A450" s="39">
        <v>46162.345904502297</v>
      </c>
      <c r="B450" s="40">
        <v>46162</v>
      </c>
      <c r="C450" t="s">
        <v>23</v>
      </c>
      <c r="D450" t="s">
        <v>30</v>
      </c>
      <c r="E450" t="s">
        <v>31</v>
      </c>
      <c r="F450" t="s">
        <v>32</v>
      </c>
      <c r="G450" t="s">
        <v>167</v>
      </c>
      <c r="H450" t="s">
        <v>168</v>
      </c>
      <c r="I450">
        <v>0.74389099999999997</v>
      </c>
      <c r="J450">
        <v>1.7395</v>
      </c>
      <c r="K450">
        <v>-1.29</v>
      </c>
      <c r="L450">
        <v>0</v>
      </c>
      <c r="M450">
        <v>0</v>
      </c>
      <c r="N450" t="s">
        <v>26</v>
      </c>
      <c r="O450">
        <v>0</v>
      </c>
      <c r="P450" t="s">
        <v>1442</v>
      </c>
      <c r="Q450">
        <v>0</v>
      </c>
      <c r="R450" t="s">
        <v>908</v>
      </c>
      <c r="S450" t="s">
        <v>909</v>
      </c>
      <c r="T450" t="s">
        <v>1442</v>
      </c>
      <c r="U450" t="s">
        <v>1442</v>
      </c>
      <c r="V450" t="s">
        <v>1442</v>
      </c>
      <c r="W450" t="s">
        <v>1442</v>
      </c>
    </row>
    <row r="451" spans="1:23" x14ac:dyDescent="0.25">
      <c r="A451" s="39">
        <v>46162.3459160532</v>
      </c>
      <c r="B451" s="40">
        <v>46162</v>
      </c>
      <c r="C451" t="s">
        <v>23</v>
      </c>
      <c r="D451" t="s">
        <v>30</v>
      </c>
      <c r="E451" t="s">
        <v>31</v>
      </c>
      <c r="F451" t="s">
        <v>32</v>
      </c>
      <c r="G451" t="s">
        <v>167</v>
      </c>
      <c r="H451" t="s">
        <v>168</v>
      </c>
      <c r="I451">
        <v>28</v>
      </c>
      <c r="J451">
        <v>1.7395</v>
      </c>
      <c r="K451">
        <v>-48.71</v>
      </c>
      <c r="L451">
        <v>-1</v>
      </c>
      <c r="M451">
        <v>0</v>
      </c>
      <c r="N451" t="s">
        <v>26</v>
      </c>
      <c r="O451">
        <v>0</v>
      </c>
      <c r="P451" t="s">
        <v>1442</v>
      </c>
      <c r="Q451">
        <v>0</v>
      </c>
      <c r="R451" t="s">
        <v>910</v>
      </c>
      <c r="S451" t="s">
        <v>911</v>
      </c>
      <c r="T451" t="s">
        <v>1442</v>
      </c>
      <c r="U451" t="s">
        <v>1442</v>
      </c>
      <c r="V451" t="s">
        <v>1442</v>
      </c>
      <c r="W451" t="s">
        <v>1442</v>
      </c>
    </row>
    <row r="452" spans="1:23" x14ac:dyDescent="0.25">
      <c r="A452" s="39">
        <v>46163.654042025497</v>
      </c>
      <c r="B452" s="40">
        <v>46163</v>
      </c>
      <c r="C452" t="s">
        <v>23</v>
      </c>
      <c r="D452" t="s">
        <v>30</v>
      </c>
      <c r="E452" t="s">
        <v>82</v>
      </c>
      <c r="F452" t="s">
        <v>32</v>
      </c>
      <c r="G452" t="s">
        <v>154</v>
      </c>
      <c r="H452" t="s">
        <v>155</v>
      </c>
      <c r="I452">
        <v>-0.85699400000000003</v>
      </c>
      <c r="J452">
        <v>20.14</v>
      </c>
      <c r="K452">
        <v>17.260000000000002</v>
      </c>
      <c r="L452">
        <v>0</v>
      </c>
      <c r="M452">
        <v>0</v>
      </c>
      <c r="N452" t="s">
        <v>26</v>
      </c>
      <c r="O452">
        <v>0</v>
      </c>
      <c r="P452" t="s">
        <v>1442</v>
      </c>
      <c r="Q452">
        <v>0</v>
      </c>
      <c r="R452" t="s">
        <v>912</v>
      </c>
      <c r="S452" t="s">
        <v>913</v>
      </c>
      <c r="T452" t="s">
        <v>1442</v>
      </c>
      <c r="U452" t="s">
        <v>1442</v>
      </c>
      <c r="V452" t="s">
        <v>1442</v>
      </c>
      <c r="W452" t="s">
        <v>1442</v>
      </c>
    </row>
    <row r="453" spans="1:23" x14ac:dyDescent="0.25">
      <c r="A453" s="39">
        <v>46163.654042037</v>
      </c>
      <c r="B453" s="40">
        <v>46163</v>
      </c>
      <c r="C453" t="s">
        <v>23</v>
      </c>
      <c r="D453" t="s">
        <v>30</v>
      </c>
      <c r="E453" t="s">
        <v>82</v>
      </c>
      <c r="F453" t="s">
        <v>32</v>
      </c>
      <c r="G453" t="s">
        <v>154</v>
      </c>
      <c r="H453" t="s">
        <v>155</v>
      </c>
      <c r="I453">
        <v>-25</v>
      </c>
      <c r="J453">
        <v>20.14</v>
      </c>
      <c r="K453">
        <v>503.5</v>
      </c>
      <c r="L453">
        <v>-1</v>
      </c>
      <c r="M453">
        <v>0</v>
      </c>
      <c r="N453" t="s">
        <v>26</v>
      </c>
      <c r="O453">
        <v>0</v>
      </c>
      <c r="P453" t="s">
        <v>1442</v>
      </c>
      <c r="Q453">
        <v>0</v>
      </c>
      <c r="R453" t="s">
        <v>914</v>
      </c>
      <c r="S453" t="s">
        <v>915</v>
      </c>
      <c r="T453" t="s">
        <v>1442</v>
      </c>
      <c r="U453" t="s">
        <v>1442</v>
      </c>
      <c r="V453" t="s">
        <v>1442</v>
      </c>
      <c r="W453" t="s">
        <v>1442</v>
      </c>
    </row>
    <row r="454" spans="1:23" x14ac:dyDescent="0.25">
      <c r="A454" s="39">
        <v>46163.7103997917</v>
      </c>
      <c r="B454" s="40">
        <v>46163</v>
      </c>
      <c r="C454" t="s">
        <v>23</v>
      </c>
      <c r="D454" t="s">
        <v>24</v>
      </c>
      <c r="E454" t="s">
        <v>161</v>
      </c>
      <c r="F454" t="s">
        <v>1442</v>
      </c>
      <c r="G454" t="s">
        <v>774</v>
      </c>
      <c r="H454" t="s">
        <v>1442</v>
      </c>
      <c r="I454">
        <v>0</v>
      </c>
      <c r="J454">
        <v>0</v>
      </c>
      <c r="K454">
        <v>-520.20000000000005</v>
      </c>
      <c r="L454">
        <v>0</v>
      </c>
      <c r="M454">
        <v>0</v>
      </c>
      <c r="N454" t="s">
        <v>26</v>
      </c>
      <c r="O454">
        <v>0</v>
      </c>
      <c r="P454" t="s">
        <v>1442</v>
      </c>
      <c r="Q454">
        <v>0</v>
      </c>
      <c r="R454" t="s">
        <v>397</v>
      </c>
      <c r="S454" t="s">
        <v>916</v>
      </c>
      <c r="T454" t="s">
        <v>774</v>
      </c>
      <c r="U454" t="s">
        <v>776</v>
      </c>
      <c r="V454" t="s">
        <v>1442</v>
      </c>
      <c r="W454" t="s">
        <v>1442</v>
      </c>
    </row>
    <row r="455" spans="1:23" x14ac:dyDescent="0.25">
      <c r="A455" s="39">
        <v>46163.712893981501</v>
      </c>
      <c r="B455" s="40">
        <v>46163</v>
      </c>
      <c r="C455" t="s">
        <v>23</v>
      </c>
      <c r="D455" t="s">
        <v>30</v>
      </c>
      <c r="E455" t="s">
        <v>82</v>
      </c>
      <c r="F455" t="s">
        <v>32</v>
      </c>
      <c r="G455" t="s">
        <v>590</v>
      </c>
      <c r="H455" t="s">
        <v>591</v>
      </c>
      <c r="I455">
        <v>-47</v>
      </c>
      <c r="J455">
        <v>6.5460000000000003</v>
      </c>
      <c r="K455">
        <v>307.66000000000003</v>
      </c>
      <c r="L455">
        <v>-1</v>
      </c>
      <c r="M455">
        <v>0</v>
      </c>
      <c r="N455" t="s">
        <v>26</v>
      </c>
      <c r="O455">
        <v>0</v>
      </c>
      <c r="P455" t="s">
        <v>1442</v>
      </c>
      <c r="Q455">
        <v>0</v>
      </c>
      <c r="R455" t="s">
        <v>917</v>
      </c>
      <c r="S455" t="s">
        <v>918</v>
      </c>
      <c r="T455" t="s">
        <v>1442</v>
      </c>
      <c r="U455" t="s">
        <v>1442</v>
      </c>
      <c r="V455" t="s">
        <v>1442</v>
      </c>
      <c r="W455" t="s">
        <v>1442</v>
      </c>
    </row>
    <row r="456" spans="1:23" x14ac:dyDescent="0.25">
      <c r="A456" s="39">
        <v>46163.712893993099</v>
      </c>
      <c r="B456" s="40">
        <v>46163</v>
      </c>
      <c r="C456" t="s">
        <v>23</v>
      </c>
      <c r="D456" t="s">
        <v>30</v>
      </c>
      <c r="E456" t="s">
        <v>82</v>
      </c>
      <c r="F456" t="s">
        <v>32</v>
      </c>
      <c r="G456" t="s">
        <v>590</v>
      </c>
      <c r="H456" t="s">
        <v>591</v>
      </c>
      <c r="I456">
        <v>-0.27160899999999999</v>
      </c>
      <c r="J456">
        <v>6.5460000000000003</v>
      </c>
      <c r="K456">
        <v>1.78</v>
      </c>
      <c r="L456">
        <v>0</v>
      </c>
      <c r="M456">
        <v>0</v>
      </c>
      <c r="N456" t="s">
        <v>26</v>
      </c>
      <c r="O456">
        <v>0</v>
      </c>
      <c r="P456" t="s">
        <v>1442</v>
      </c>
      <c r="Q456">
        <v>0</v>
      </c>
      <c r="R456" t="s">
        <v>919</v>
      </c>
      <c r="S456" t="s">
        <v>920</v>
      </c>
      <c r="T456" t="s">
        <v>1442</v>
      </c>
      <c r="U456" t="s">
        <v>1442</v>
      </c>
      <c r="V456" t="s">
        <v>1442</v>
      </c>
      <c r="W456" t="s">
        <v>1442</v>
      </c>
    </row>
    <row r="457" spans="1:23" x14ac:dyDescent="0.25">
      <c r="A457" s="39">
        <v>46163.713282314799</v>
      </c>
      <c r="B457" s="40">
        <v>46163</v>
      </c>
      <c r="C457" t="s">
        <v>23</v>
      </c>
      <c r="D457" t="s">
        <v>30</v>
      </c>
      <c r="E457" t="s">
        <v>82</v>
      </c>
      <c r="F457" t="s">
        <v>32</v>
      </c>
      <c r="G457" t="s">
        <v>864</v>
      </c>
      <c r="H457" t="s">
        <v>865</v>
      </c>
      <c r="I457">
        <v>-8.2652000000000003E-2</v>
      </c>
      <c r="J457">
        <v>22.27</v>
      </c>
      <c r="K457">
        <v>1.84</v>
      </c>
      <c r="L457">
        <v>0</v>
      </c>
      <c r="M457">
        <v>0</v>
      </c>
      <c r="N457" t="s">
        <v>26</v>
      </c>
      <c r="O457">
        <v>0</v>
      </c>
      <c r="P457" t="s">
        <v>1442</v>
      </c>
      <c r="Q457">
        <v>0</v>
      </c>
      <c r="R457" t="s">
        <v>921</v>
      </c>
      <c r="S457" t="s">
        <v>922</v>
      </c>
      <c r="T457" t="s">
        <v>1442</v>
      </c>
      <c r="U457" t="s">
        <v>1442</v>
      </c>
      <c r="V457" t="s">
        <v>1442</v>
      </c>
      <c r="W457" t="s">
        <v>1442</v>
      </c>
    </row>
    <row r="458" spans="1:23" x14ac:dyDescent="0.25">
      <c r="A458" s="39">
        <v>46163.713282314799</v>
      </c>
      <c r="B458" s="40">
        <v>46163</v>
      </c>
      <c r="C458" t="s">
        <v>23</v>
      </c>
      <c r="D458" t="s">
        <v>30</v>
      </c>
      <c r="E458" t="s">
        <v>82</v>
      </c>
      <c r="F458" t="s">
        <v>32</v>
      </c>
      <c r="G458" t="s">
        <v>864</v>
      </c>
      <c r="H458" t="s">
        <v>865</v>
      </c>
      <c r="I458">
        <v>-9</v>
      </c>
      <c r="J458">
        <v>22.27</v>
      </c>
      <c r="K458">
        <v>200.43</v>
      </c>
      <c r="L458">
        <v>-1</v>
      </c>
      <c r="M458">
        <v>0</v>
      </c>
      <c r="N458" t="s">
        <v>26</v>
      </c>
      <c r="O458">
        <v>0</v>
      </c>
      <c r="P458" t="s">
        <v>1442</v>
      </c>
      <c r="Q458">
        <v>0</v>
      </c>
      <c r="R458" t="s">
        <v>923</v>
      </c>
      <c r="S458" t="s">
        <v>924</v>
      </c>
      <c r="T458" t="s">
        <v>1442</v>
      </c>
      <c r="U458" t="s">
        <v>1442</v>
      </c>
      <c r="V458" t="s">
        <v>1442</v>
      </c>
      <c r="W458" t="s">
        <v>1442</v>
      </c>
    </row>
    <row r="459" spans="1:23" x14ac:dyDescent="0.25">
      <c r="A459" s="39">
        <v>46163.713960451401</v>
      </c>
      <c r="B459" s="40">
        <v>46163</v>
      </c>
      <c r="C459" t="s">
        <v>23</v>
      </c>
      <c r="D459" t="s">
        <v>24</v>
      </c>
      <c r="E459" t="s">
        <v>161</v>
      </c>
      <c r="F459" t="s">
        <v>1442</v>
      </c>
      <c r="G459" t="s">
        <v>774</v>
      </c>
      <c r="H459" t="s">
        <v>1442</v>
      </c>
      <c r="I459">
        <v>0</v>
      </c>
      <c r="J459">
        <v>0</v>
      </c>
      <c r="K459">
        <v>-509.71</v>
      </c>
      <c r="L459">
        <v>0</v>
      </c>
      <c r="M459">
        <v>0</v>
      </c>
      <c r="N459" t="s">
        <v>26</v>
      </c>
      <c r="O459">
        <v>0</v>
      </c>
      <c r="P459" t="s">
        <v>1442</v>
      </c>
      <c r="Q459">
        <v>0</v>
      </c>
      <c r="R459" t="s">
        <v>397</v>
      </c>
      <c r="S459" t="s">
        <v>925</v>
      </c>
      <c r="T459" t="s">
        <v>774</v>
      </c>
      <c r="U459" t="s">
        <v>776</v>
      </c>
      <c r="V459" t="s">
        <v>1442</v>
      </c>
      <c r="W459" t="s">
        <v>1442</v>
      </c>
    </row>
    <row r="460" spans="1:23" x14ac:dyDescent="0.25">
      <c r="A460" s="39">
        <v>46164.669953935198</v>
      </c>
      <c r="B460" s="40">
        <v>46164</v>
      </c>
      <c r="C460" t="s">
        <v>23</v>
      </c>
      <c r="D460" t="s">
        <v>24</v>
      </c>
      <c r="E460" t="s">
        <v>25</v>
      </c>
      <c r="F460" t="s">
        <v>1442</v>
      </c>
      <c r="G460" t="s">
        <v>774</v>
      </c>
      <c r="H460" t="s">
        <v>1442</v>
      </c>
      <c r="I460">
        <v>0</v>
      </c>
      <c r="J460">
        <v>0</v>
      </c>
      <c r="K460">
        <v>101</v>
      </c>
      <c r="L460">
        <v>0</v>
      </c>
      <c r="M460">
        <v>0</v>
      </c>
      <c r="N460" t="s">
        <v>26</v>
      </c>
      <c r="O460">
        <v>0</v>
      </c>
      <c r="P460" t="s">
        <v>1442</v>
      </c>
      <c r="Q460">
        <v>0</v>
      </c>
      <c r="R460" t="s">
        <v>246</v>
      </c>
      <c r="S460" t="s">
        <v>926</v>
      </c>
      <c r="T460" t="s">
        <v>774</v>
      </c>
      <c r="U460" t="s">
        <v>776</v>
      </c>
      <c r="V460" t="s">
        <v>1442</v>
      </c>
      <c r="W460" t="s">
        <v>1442</v>
      </c>
    </row>
    <row r="461" spans="1:23" x14ac:dyDescent="0.25">
      <c r="A461" s="39">
        <v>46164.679167928203</v>
      </c>
      <c r="B461" s="40">
        <v>46164</v>
      </c>
      <c r="C461" t="s">
        <v>23</v>
      </c>
      <c r="D461" t="s">
        <v>30</v>
      </c>
      <c r="E461" t="s">
        <v>31</v>
      </c>
      <c r="F461" t="s">
        <v>32</v>
      </c>
      <c r="G461" t="s">
        <v>154</v>
      </c>
      <c r="H461" t="s">
        <v>155</v>
      </c>
      <c r="I461">
        <v>0.89457100000000001</v>
      </c>
      <c r="J461">
        <v>25.42</v>
      </c>
      <c r="K461">
        <v>-22.74</v>
      </c>
      <c r="L461">
        <v>0</v>
      </c>
      <c r="M461">
        <v>0</v>
      </c>
      <c r="N461" t="s">
        <v>26</v>
      </c>
      <c r="O461">
        <v>0</v>
      </c>
      <c r="P461" t="s">
        <v>1442</v>
      </c>
      <c r="Q461">
        <v>0</v>
      </c>
      <c r="R461" t="s">
        <v>927</v>
      </c>
      <c r="S461" t="s">
        <v>928</v>
      </c>
      <c r="T461" t="s">
        <v>1442</v>
      </c>
      <c r="U461" t="s">
        <v>1442</v>
      </c>
      <c r="V461" t="s">
        <v>1442</v>
      </c>
      <c r="W461" t="s">
        <v>1442</v>
      </c>
    </row>
    <row r="462" spans="1:23" x14ac:dyDescent="0.25">
      <c r="A462" s="39">
        <v>46164.679167928203</v>
      </c>
      <c r="B462" s="40">
        <v>46164</v>
      </c>
      <c r="C462" t="s">
        <v>23</v>
      </c>
      <c r="D462" t="s">
        <v>30</v>
      </c>
      <c r="E462" t="s">
        <v>31</v>
      </c>
      <c r="F462" t="s">
        <v>32</v>
      </c>
      <c r="G462" t="s">
        <v>154</v>
      </c>
      <c r="H462" t="s">
        <v>155</v>
      </c>
      <c r="I462">
        <v>3</v>
      </c>
      <c r="J462">
        <v>25.42</v>
      </c>
      <c r="K462">
        <v>-76.260000000000005</v>
      </c>
      <c r="L462">
        <v>-1</v>
      </c>
      <c r="M462">
        <v>0</v>
      </c>
      <c r="N462" t="s">
        <v>26</v>
      </c>
      <c r="O462">
        <v>0</v>
      </c>
      <c r="P462" t="s">
        <v>1442</v>
      </c>
      <c r="Q462">
        <v>0</v>
      </c>
      <c r="R462" t="s">
        <v>929</v>
      </c>
      <c r="S462" t="s">
        <v>930</v>
      </c>
      <c r="T462" t="s">
        <v>1442</v>
      </c>
      <c r="U462" t="s">
        <v>1442</v>
      </c>
      <c r="V462" t="s">
        <v>1442</v>
      </c>
      <c r="W462" t="s">
        <v>1442</v>
      </c>
    </row>
    <row r="463" spans="1:23" x14ac:dyDescent="0.25">
      <c r="A463" s="39">
        <v>46167.5206470255</v>
      </c>
      <c r="B463" s="40">
        <v>46167</v>
      </c>
      <c r="C463" t="s">
        <v>23</v>
      </c>
      <c r="D463" t="s">
        <v>24</v>
      </c>
      <c r="E463" t="s">
        <v>25</v>
      </c>
      <c r="F463" t="s">
        <v>1442</v>
      </c>
      <c r="G463" t="s">
        <v>774</v>
      </c>
      <c r="H463" t="s">
        <v>1442</v>
      </c>
      <c r="I463">
        <v>0</v>
      </c>
      <c r="J463">
        <v>0</v>
      </c>
      <c r="K463">
        <v>80</v>
      </c>
      <c r="L463">
        <v>0</v>
      </c>
      <c r="M463">
        <v>0</v>
      </c>
      <c r="N463" t="s">
        <v>26</v>
      </c>
      <c r="O463">
        <v>0</v>
      </c>
      <c r="P463" t="s">
        <v>1442</v>
      </c>
      <c r="Q463">
        <v>0</v>
      </c>
      <c r="R463" t="s">
        <v>246</v>
      </c>
      <c r="S463" t="s">
        <v>931</v>
      </c>
      <c r="T463" t="s">
        <v>774</v>
      </c>
      <c r="U463" t="s">
        <v>776</v>
      </c>
      <c r="V463" t="s">
        <v>1442</v>
      </c>
      <c r="W463" t="s">
        <v>1442</v>
      </c>
    </row>
    <row r="464" spans="1:23" x14ac:dyDescent="0.25">
      <c r="A464" s="39">
        <v>46167.520727731498</v>
      </c>
      <c r="B464" s="40">
        <v>46167</v>
      </c>
      <c r="C464" t="s">
        <v>23</v>
      </c>
      <c r="D464" t="s">
        <v>30</v>
      </c>
      <c r="E464" t="s">
        <v>31</v>
      </c>
      <c r="F464" t="s">
        <v>32</v>
      </c>
      <c r="G464" t="s">
        <v>154</v>
      </c>
      <c r="H464" t="s">
        <v>155</v>
      </c>
      <c r="I464">
        <v>3</v>
      </c>
      <c r="J464">
        <v>26.58</v>
      </c>
      <c r="K464">
        <v>-79.739999999999995</v>
      </c>
      <c r="L464">
        <v>-1</v>
      </c>
      <c r="M464">
        <v>0</v>
      </c>
      <c r="N464" t="s">
        <v>26</v>
      </c>
      <c r="O464">
        <v>0</v>
      </c>
      <c r="P464" t="s">
        <v>1442</v>
      </c>
      <c r="Q464">
        <v>0</v>
      </c>
      <c r="R464" t="s">
        <v>929</v>
      </c>
      <c r="S464" t="s">
        <v>932</v>
      </c>
      <c r="T464" t="s">
        <v>1442</v>
      </c>
      <c r="U464" t="s">
        <v>1442</v>
      </c>
      <c r="V464" t="s">
        <v>1442</v>
      </c>
      <c r="W464" t="s">
        <v>1442</v>
      </c>
    </row>
    <row r="465" spans="1:23" x14ac:dyDescent="0.25">
      <c r="A465" s="39">
        <v>46167.951691666698</v>
      </c>
      <c r="B465" s="40">
        <v>46167</v>
      </c>
      <c r="C465" t="s">
        <v>23</v>
      </c>
      <c r="D465" t="s">
        <v>24</v>
      </c>
      <c r="E465" t="s">
        <v>25</v>
      </c>
      <c r="F465" t="s">
        <v>1442</v>
      </c>
      <c r="G465" t="s">
        <v>774</v>
      </c>
      <c r="H465" t="s">
        <v>1442</v>
      </c>
      <c r="I465">
        <v>0</v>
      </c>
      <c r="J465">
        <v>0</v>
      </c>
      <c r="K465">
        <v>36</v>
      </c>
      <c r="L465">
        <v>0</v>
      </c>
      <c r="M465">
        <v>0</v>
      </c>
      <c r="N465" t="s">
        <v>26</v>
      </c>
      <c r="O465">
        <v>0</v>
      </c>
      <c r="P465" t="s">
        <v>1442</v>
      </c>
      <c r="Q465">
        <v>0</v>
      </c>
      <c r="R465" t="s">
        <v>246</v>
      </c>
      <c r="S465" t="s">
        <v>933</v>
      </c>
      <c r="T465" t="s">
        <v>774</v>
      </c>
      <c r="U465" t="s">
        <v>776</v>
      </c>
      <c r="V465" t="s">
        <v>1442</v>
      </c>
      <c r="W465" t="s">
        <v>1442</v>
      </c>
    </row>
    <row r="466" spans="1:23" x14ac:dyDescent="0.25">
      <c r="A466" s="39">
        <v>46167.951796111098</v>
      </c>
      <c r="B466" s="40">
        <v>46167</v>
      </c>
      <c r="C466" t="s">
        <v>23</v>
      </c>
      <c r="D466" t="s">
        <v>30</v>
      </c>
      <c r="E466" t="s">
        <v>31</v>
      </c>
      <c r="F466" t="s">
        <v>32</v>
      </c>
      <c r="G466" t="s">
        <v>211</v>
      </c>
      <c r="H466" t="s">
        <v>212</v>
      </c>
      <c r="I466">
        <v>10</v>
      </c>
      <c r="J466">
        <v>3.5049999999999999</v>
      </c>
      <c r="K466">
        <v>-35.049999999999997</v>
      </c>
      <c r="L466">
        <v>-1</v>
      </c>
      <c r="M466">
        <v>0</v>
      </c>
      <c r="N466" t="s">
        <v>26</v>
      </c>
      <c r="O466">
        <v>0</v>
      </c>
      <c r="P466" t="s">
        <v>1442</v>
      </c>
      <c r="Q466">
        <v>0</v>
      </c>
      <c r="R466" t="s">
        <v>934</v>
      </c>
      <c r="S466" t="s">
        <v>935</v>
      </c>
      <c r="T466" t="s">
        <v>1442</v>
      </c>
      <c r="U466" t="s">
        <v>1442</v>
      </c>
      <c r="V466" t="s">
        <v>1442</v>
      </c>
      <c r="W466" t="s">
        <v>1442</v>
      </c>
    </row>
    <row r="467" spans="1:23" x14ac:dyDescent="0.25">
      <c r="A467" s="39">
        <v>46168.680129444401</v>
      </c>
      <c r="B467" s="40">
        <v>46168</v>
      </c>
      <c r="C467" t="s">
        <v>23</v>
      </c>
      <c r="D467" t="s">
        <v>24</v>
      </c>
      <c r="E467" t="s">
        <v>25</v>
      </c>
      <c r="F467" t="s">
        <v>1442</v>
      </c>
      <c r="G467" t="s">
        <v>774</v>
      </c>
      <c r="H467" t="s">
        <v>1442</v>
      </c>
      <c r="I467">
        <v>0</v>
      </c>
      <c r="J467">
        <v>0</v>
      </c>
      <c r="K467">
        <v>201</v>
      </c>
      <c r="L467">
        <v>0</v>
      </c>
      <c r="M467">
        <v>0</v>
      </c>
      <c r="N467" t="s">
        <v>26</v>
      </c>
      <c r="O467">
        <v>0</v>
      </c>
      <c r="P467" t="s">
        <v>1442</v>
      </c>
      <c r="Q467">
        <v>0</v>
      </c>
      <c r="R467" t="s">
        <v>246</v>
      </c>
      <c r="S467" t="s">
        <v>936</v>
      </c>
      <c r="T467" t="s">
        <v>774</v>
      </c>
      <c r="U467" t="s">
        <v>776</v>
      </c>
      <c r="V467" t="s">
        <v>1442</v>
      </c>
      <c r="W467" t="s">
        <v>1442</v>
      </c>
    </row>
    <row r="468" spans="1:23" x14ac:dyDescent="0.25">
      <c r="A468" s="39">
        <v>46168.680203969903</v>
      </c>
      <c r="B468" s="40">
        <v>46168</v>
      </c>
      <c r="C468" t="s">
        <v>23</v>
      </c>
      <c r="D468" t="s">
        <v>30</v>
      </c>
      <c r="E468" t="s">
        <v>31</v>
      </c>
      <c r="F468" t="s">
        <v>32</v>
      </c>
      <c r="G468" t="s">
        <v>937</v>
      </c>
      <c r="H468" t="s">
        <v>938</v>
      </c>
      <c r="I468">
        <v>63</v>
      </c>
      <c r="J468">
        <v>3.1379999999999999</v>
      </c>
      <c r="K468">
        <v>-197.69</v>
      </c>
      <c r="L468">
        <v>-1</v>
      </c>
      <c r="M468">
        <v>0</v>
      </c>
      <c r="N468" t="s">
        <v>26</v>
      </c>
      <c r="O468">
        <v>0</v>
      </c>
      <c r="P468" t="s">
        <v>1442</v>
      </c>
      <c r="Q468">
        <v>0</v>
      </c>
      <c r="R468" t="s">
        <v>939</v>
      </c>
      <c r="S468" t="s">
        <v>940</v>
      </c>
      <c r="T468" t="s">
        <v>1442</v>
      </c>
      <c r="U468" t="s">
        <v>1442</v>
      </c>
      <c r="V468" t="s">
        <v>1442</v>
      </c>
      <c r="W468" t="s">
        <v>1442</v>
      </c>
    </row>
    <row r="469" spans="1:23" x14ac:dyDescent="0.25">
      <c r="A469" s="39">
        <v>46168.680203969903</v>
      </c>
      <c r="B469" s="40">
        <v>46168</v>
      </c>
      <c r="C469" t="s">
        <v>23</v>
      </c>
      <c r="D469" t="s">
        <v>30</v>
      </c>
      <c r="E469" t="s">
        <v>31</v>
      </c>
      <c r="F469" t="s">
        <v>32</v>
      </c>
      <c r="G469" t="s">
        <v>937</v>
      </c>
      <c r="H469" t="s">
        <v>938</v>
      </c>
      <c r="I469">
        <v>0.73486200000000002</v>
      </c>
      <c r="J469">
        <v>3.1379999999999999</v>
      </c>
      <c r="K469">
        <v>-2.31</v>
      </c>
      <c r="L469">
        <v>0</v>
      </c>
      <c r="M469">
        <v>0</v>
      </c>
      <c r="N469" t="s">
        <v>26</v>
      </c>
      <c r="O469">
        <v>0</v>
      </c>
      <c r="P469" t="s">
        <v>1442</v>
      </c>
      <c r="Q469">
        <v>0</v>
      </c>
      <c r="R469" t="s">
        <v>941</v>
      </c>
      <c r="S469" t="s">
        <v>942</v>
      </c>
      <c r="T469" t="s">
        <v>1442</v>
      </c>
      <c r="U469" t="s">
        <v>1442</v>
      </c>
      <c r="V469" t="s">
        <v>1442</v>
      </c>
      <c r="W469" t="s">
        <v>1442</v>
      </c>
    </row>
    <row r="470" spans="1:23" x14ac:dyDescent="0.25">
      <c r="A470" s="39">
        <v>46168.6919388194</v>
      </c>
      <c r="B470" s="40">
        <v>46168</v>
      </c>
      <c r="C470" t="s">
        <v>23</v>
      </c>
      <c r="D470" t="s">
        <v>24</v>
      </c>
      <c r="E470" t="s">
        <v>25</v>
      </c>
      <c r="F470" t="s">
        <v>1442</v>
      </c>
      <c r="G470" t="s">
        <v>774</v>
      </c>
      <c r="H470" t="s">
        <v>1442</v>
      </c>
      <c r="I470">
        <v>0</v>
      </c>
      <c r="J470">
        <v>0</v>
      </c>
      <c r="K470">
        <v>101</v>
      </c>
      <c r="L470">
        <v>0</v>
      </c>
      <c r="M470">
        <v>0</v>
      </c>
      <c r="N470" t="s">
        <v>26</v>
      </c>
      <c r="O470">
        <v>0</v>
      </c>
      <c r="P470" t="s">
        <v>1442</v>
      </c>
      <c r="Q470">
        <v>0</v>
      </c>
      <c r="R470" t="s">
        <v>246</v>
      </c>
      <c r="S470" t="s">
        <v>943</v>
      </c>
      <c r="T470" t="s">
        <v>774</v>
      </c>
      <c r="U470" t="s">
        <v>776</v>
      </c>
      <c r="V470" t="s">
        <v>1442</v>
      </c>
      <c r="W470" t="s">
        <v>1442</v>
      </c>
    </row>
    <row r="471" spans="1:23" x14ac:dyDescent="0.25">
      <c r="A471" s="39">
        <v>46168.692027708297</v>
      </c>
      <c r="B471" s="40">
        <v>46168</v>
      </c>
      <c r="C471" t="s">
        <v>23</v>
      </c>
      <c r="D471" t="s">
        <v>30</v>
      </c>
      <c r="E471" t="s">
        <v>31</v>
      </c>
      <c r="F471" t="s">
        <v>32</v>
      </c>
      <c r="G471" t="s">
        <v>154</v>
      </c>
      <c r="H471" t="s">
        <v>155</v>
      </c>
      <c r="I471">
        <v>0.30663200000000002</v>
      </c>
      <c r="J471">
        <v>23.22</v>
      </c>
      <c r="K471">
        <v>-7.12</v>
      </c>
      <c r="L471">
        <v>0</v>
      </c>
      <c r="M471">
        <v>0</v>
      </c>
      <c r="N471" t="s">
        <v>26</v>
      </c>
      <c r="O471">
        <v>0</v>
      </c>
      <c r="P471" t="s">
        <v>1442</v>
      </c>
      <c r="Q471">
        <v>0</v>
      </c>
      <c r="R471" t="s">
        <v>944</v>
      </c>
      <c r="S471" t="s">
        <v>945</v>
      </c>
      <c r="T471" t="s">
        <v>1442</v>
      </c>
      <c r="U471" t="s">
        <v>1442</v>
      </c>
      <c r="V471" t="s">
        <v>1442</v>
      </c>
      <c r="W471" t="s">
        <v>1442</v>
      </c>
    </row>
    <row r="472" spans="1:23" x14ac:dyDescent="0.25">
      <c r="A472" s="39">
        <v>46168.692027719902</v>
      </c>
      <c r="B472" s="40">
        <v>46168</v>
      </c>
      <c r="C472" t="s">
        <v>23</v>
      </c>
      <c r="D472" t="s">
        <v>30</v>
      </c>
      <c r="E472" t="s">
        <v>31</v>
      </c>
      <c r="F472" t="s">
        <v>32</v>
      </c>
      <c r="G472" t="s">
        <v>154</v>
      </c>
      <c r="H472" t="s">
        <v>155</v>
      </c>
      <c r="I472">
        <v>4</v>
      </c>
      <c r="J472">
        <v>23.22</v>
      </c>
      <c r="K472">
        <v>-92.88</v>
      </c>
      <c r="L472">
        <v>-1</v>
      </c>
      <c r="M472">
        <v>0</v>
      </c>
      <c r="N472" t="s">
        <v>26</v>
      </c>
      <c r="O472">
        <v>0</v>
      </c>
      <c r="P472" t="s">
        <v>1442</v>
      </c>
      <c r="Q472">
        <v>0</v>
      </c>
      <c r="R472" t="s">
        <v>156</v>
      </c>
      <c r="S472" t="s">
        <v>946</v>
      </c>
      <c r="T472" t="s">
        <v>1442</v>
      </c>
      <c r="U472" t="s">
        <v>1442</v>
      </c>
      <c r="V472" t="s">
        <v>1442</v>
      </c>
      <c r="W472" t="s">
        <v>1442</v>
      </c>
    </row>
    <row r="473" spans="1:23" x14ac:dyDescent="0.25">
      <c r="A473" s="39">
        <v>46169.492857939797</v>
      </c>
      <c r="B473" s="40">
        <v>46169</v>
      </c>
      <c r="C473" t="s">
        <v>23</v>
      </c>
      <c r="D473" t="s">
        <v>24</v>
      </c>
      <c r="E473" t="s">
        <v>25</v>
      </c>
      <c r="F473" t="s">
        <v>1442</v>
      </c>
      <c r="G473" t="s">
        <v>774</v>
      </c>
      <c r="H473" t="s">
        <v>1442</v>
      </c>
      <c r="I473">
        <v>0</v>
      </c>
      <c r="J473">
        <v>0</v>
      </c>
      <c r="K473">
        <v>301</v>
      </c>
      <c r="L473">
        <v>0</v>
      </c>
      <c r="M473">
        <v>0</v>
      </c>
      <c r="N473" t="s">
        <v>26</v>
      </c>
      <c r="O473">
        <v>0</v>
      </c>
      <c r="P473" t="s">
        <v>1442</v>
      </c>
      <c r="Q473">
        <v>0</v>
      </c>
      <c r="R473" t="s">
        <v>246</v>
      </c>
      <c r="S473" t="s">
        <v>947</v>
      </c>
      <c r="T473" t="s">
        <v>774</v>
      </c>
      <c r="U473" t="s">
        <v>776</v>
      </c>
      <c r="V473" t="s">
        <v>1442</v>
      </c>
      <c r="W473" t="s">
        <v>1442</v>
      </c>
    </row>
    <row r="474" spans="1:23" x14ac:dyDescent="0.25">
      <c r="A474" s="39">
        <v>46169.492928194399</v>
      </c>
      <c r="B474" s="40">
        <v>46169</v>
      </c>
      <c r="C474" t="s">
        <v>23</v>
      </c>
      <c r="D474" t="s">
        <v>30</v>
      </c>
      <c r="E474" t="s">
        <v>31</v>
      </c>
      <c r="F474" t="s">
        <v>464</v>
      </c>
      <c r="G474" t="s">
        <v>948</v>
      </c>
      <c r="H474" t="s">
        <v>949</v>
      </c>
      <c r="I474">
        <v>2</v>
      </c>
      <c r="J474">
        <v>120.84</v>
      </c>
      <c r="K474">
        <v>-241.68</v>
      </c>
      <c r="L474">
        <v>-1</v>
      </c>
      <c r="M474">
        <v>0</v>
      </c>
      <c r="N474" t="s">
        <v>26</v>
      </c>
      <c r="O474">
        <v>0</v>
      </c>
      <c r="P474" t="s">
        <v>1442</v>
      </c>
      <c r="Q474">
        <v>0</v>
      </c>
      <c r="R474" t="s">
        <v>950</v>
      </c>
      <c r="S474" t="s">
        <v>951</v>
      </c>
      <c r="T474" t="s">
        <v>1442</v>
      </c>
      <c r="U474" t="s">
        <v>1442</v>
      </c>
      <c r="V474" t="s">
        <v>1442</v>
      </c>
      <c r="W474" t="s">
        <v>1442</v>
      </c>
    </row>
    <row r="475" spans="1:23" x14ac:dyDescent="0.25">
      <c r="A475" s="39">
        <v>46169.492928194399</v>
      </c>
      <c r="B475" s="40">
        <v>46169</v>
      </c>
      <c r="C475" t="s">
        <v>23</v>
      </c>
      <c r="D475" t="s">
        <v>30</v>
      </c>
      <c r="E475" t="s">
        <v>31</v>
      </c>
      <c r="F475" t="s">
        <v>464</v>
      </c>
      <c r="G475" t="s">
        <v>948</v>
      </c>
      <c r="H475" t="s">
        <v>949</v>
      </c>
      <c r="I475">
        <v>0.48262100000000002</v>
      </c>
      <c r="J475">
        <v>120.84</v>
      </c>
      <c r="K475">
        <v>-58.32</v>
      </c>
      <c r="L475">
        <v>0</v>
      </c>
      <c r="M475">
        <v>0</v>
      </c>
      <c r="N475" t="s">
        <v>26</v>
      </c>
      <c r="O475">
        <v>0</v>
      </c>
      <c r="P475" t="s">
        <v>1442</v>
      </c>
      <c r="Q475">
        <v>0</v>
      </c>
      <c r="R475" t="s">
        <v>952</v>
      </c>
      <c r="S475" t="s">
        <v>953</v>
      </c>
      <c r="T475" t="s">
        <v>1442</v>
      </c>
      <c r="U475" t="s">
        <v>1442</v>
      </c>
      <c r="V475" t="s">
        <v>1442</v>
      </c>
      <c r="W475" t="s">
        <v>1442</v>
      </c>
    </row>
    <row r="476" spans="1:23" x14ac:dyDescent="0.25">
      <c r="A476" s="39">
        <v>46169.5293997685</v>
      </c>
      <c r="B476" s="40">
        <v>46169</v>
      </c>
      <c r="C476" t="s">
        <v>23</v>
      </c>
      <c r="D476" t="s">
        <v>24</v>
      </c>
      <c r="E476" t="s">
        <v>25</v>
      </c>
      <c r="F476" t="s">
        <v>1442</v>
      </c>
      <c r="G476" t="s">
        <v>774</v>
      </c>
      <c r="H476" t="s">
        <v>1442</v>
      </c>
      <c r="I476">
        <v>0</v>
      </c>
      <c r="J476">
        <v>0</v>
      </c>
      <c r="K476">
        <v>301</v>
      </c>
      <c r="L476">
        <v>0</v>
      </c>
      <c r="M476">
        <v>0</v>
      </c>
      <c r="N476" t="s">
        <v>26</v>
      </c>
      <c r="O476">
        <v>0</v>
      </c>
      <c r="P476" t="s">
        <v>1442</v>
      </c>
      <c r="Q476">
        <v>0</v>
      </c>
      <c r="R476" t="s">
        <v>246</v>
      </c>
      <c r="S476" t="s">
        <v>954</v>
      </c>
      <c r="T476" t="s">
        <v>774</v>
      </c>
      <c r="U476" t="s">
        <v>776</v>
      </c>
      <c r="V476" t="s">
        <v>1442</v>
      </c>
      <c r="W476" t="s">
        <v>1442</v>
      </c>
    </row>
    <row r="477" spans="1:23" x14ac:dyDescent="0.25">
      <c r="A477" s="39">
        <v>46169.529487662003</v>
      </c>
      <c r="B477" s="40">
        <v>46169</v>
      </c>
      <c r="C477" t="s">
        <v>23</v>
      </c>
      <c r="D477" t="s">
        <v>30</v>
      </c>
      <c r="E477" t="s">
        <v>31</v>
      </c>
      <c r="F477" t="s">
        <v>464</v>
      </c>
      <c r="G477" t="s">
        <v>955</v>
      </c>
      <c r="H477" t="s">
        <v>956</v>
      </c>
      <c r="I477">
        <v>0.68566300000000002</v>
      </c>
      <c r="J477">
        <v>28.074999999999999</v>
      </c>
      <c r="K477">
        <v>-19.25</v>
      </c>
      <c r="L477">
        <v>0</v>
      </c>
      <c r="M477">
        <v>0</v>
      </c>
      <c r="N477" t="s">
        <v>26</v>
      </c>
      <c r="O477">
        <v>0</v>
      </c>
      <c r="P477" t="s">
        <v>1442</v>
      </c>
      <c r="Q477">
        <v>0</v>
      </c>
      <c r="R477" t="s">
        <v>957</v>
      </c>
      <c r="S477" t="s">
        <v>958</v>
      </c>
      <c r="T477" t="s">
        <v>1442</v>
      </c>
      <c r="U477" t="s">
        <v>1442</v>
      </c>
      <c r="V477" t="s">
        <v>1442</v>
      </c>
      <c r="W477" t="s">
        <v>1442</v>
      </c>
    </row>
    <row r="478" spans="1:23" x14ac:dyDescent="0.25">
      <c r="A478" s="39">
        <v>46169.529487696796</v>
      </c>
      <c r="B478" s="40">
        <v>46169</v>
      </c>
      <c r="C478" t="s">
        <v>23</v>
      </c>
      <c r="D478" t="s">
        <v>30</v>
      </c>
      <c r="E478" t="s">
        <v>31</v>
      </c>
      <c r="F478" t="s">
        <v>464</v>
      </c>
      <c r="G478" t="s">
        <v>955</v>
      </c>
      <c r="H478" t="s">
        <v>956</v>
      </c>
      <c r="I478">
        <v>10</v>
      </c>
      <c r="J478">
        <v>28.074999999999999</v>
      </c>
      <c r="K478">
        <v>-280.75</v>
      </c>
      <c r="L478">
        <v>-1</v>
      </c>
      <c r="M478">
        <v>0</v>
      </c>
      <c r="N478" t="s">
        <v>26</v>
      </c>
      <c r="O478">
        <v>0</v>
      </c>
      <c r="P478" t="s">
        <v>1442</v>
      </c>
      <c r="Q478">
        <v>0</v>
      </c>
      <c r="R478" t="s">
        <v>959</v>
      </c>
      <c r="S478" t="s">
        <v>960</v>
      </c>
      <c r="T478" t="s">
        <v>1442</v>
      </c>
      <c r="U478" t="s">
        <v>1442</v>
      </c>
      <c r="V478" t="s">
        <v>1442</v>
      </c>
      <c r="W478" t="s">
        <v>1442</v>
      </c>
    </row>
    <row r="479" spans="1:23" x14ac:dyDescent="0.25">
      <c r="A479" s="39">
        <v>46169.757572546303</v>
      </c>
      <c r="B479" s="40">
        <v>46169</v>
      </c>
      <c r="C479" t="s">
        <v>23</v>
      </c>
      <c r="D479" t="s">
        <v>24</v>
      </c>
      <c r="E479" t="s">
        <v>25</v>
      </c>
      <c r="F479" t="s">
        <v>1442</v>
      </c>
      <c r="G479" t="s">
        <v>774</v>
      </c>
      <c r="H479" t="s">
        <v>1442</v>
      </c>
      <c r="I479">
        <v>0</v>
      </c>
      <c r="J479">
        <v>0</v>
      </c>
      <c r="K479">
        <v>201</v>
      </c>
      <c r="L479">
        <v>0</v>
      </c>
      <c r="M479">
        <v>0</v>
      </c>
      <c r="N479" t="s">
        <v>26</v>
      </c>
      <c r="O479">
        <v>0</v>
      </c>
      <c r="P479" t="s">
        <v>1442</v>
      </c>
      <c r="Q479">
        <v>0</v>
      </c>
      <c r="R479" t="s">
        <v>246</v>
      </c>
      <c r="S479" t="s">
        <v>961</v>
      </c>
      <c r="T479" t="s">
        <v>774</v>
      </c>
      <c r="U479" t="s">
        <v>776</v>
      </c>
      <c r="V479" t="s">
        <v>1442</v>
      </c>
      <c r="W479" t="s">
        <v>1442</v>
      </c>
    </row>
    <row r="480" spans="1:23" x14ac:dyDescent="0.25">
      <c r="A480" s="39">
        <v>46169.7576485764</v>
      </c>
      <c r="B480" s="40">
        <v>46169</v>
      </c>
      <c r="C480" t="s">
        <v>23</v>
      </c>
      <c r="D480" t="s">
        <v>30</v>
      </c>
      <c r="E480" t="s">
        <v>31</v>
      </c>
      <c r="F480" t="s">
        <v>32</v>
      </c>
      <c r="G480" t="s">
        <v>590</v>
      </c>
      <c r="H480" t="s">
        <v>591</v>
      </c>
      <c r="I480">
        <v>0.53454000000000002</v>
      </c>
      <c r="J480">
        <v>5.9640000000000004</v>
      </c>
      <c r="K480">
        <v>-3.19</v>
      </c>
      <c r="L480">
        <v>0</v>
      </c>
      <c r="M480">
        <v>0</v>
      </c>
      <c r="N480" t="s">
        <v>26</v>
      </c>
      <c r="O480">
        <v>0</v>
      </c>
      <c r="P480" t="s">
        <v>1442</v>
      </c>
      <c r="Q480">
        <v>0</v>
      </c>
      <c r="R480" t="s">
        <v>962</v>
      </c>
      <c r="S480" t="s">
        <v>963</v>
      </c>
      <c r="T480" t="s">
        <v>1442</v>
      </c>
      <c r="U480" t="s">
        <v>1442</v>
      </c>
      <c r="V480" t="s">
        <v>1442</v>
      </c>
      <c r="W480" t="s">
        <v>1442</v>
      </c>
    </row>
    <row r="481" spans="1:23" x14ac:dyDescent="0.25">
      <c r="A481" s="39">
        <v>46169.7576485764</v>
      </c>
      <c r="B481" s="40">
        <v>46169</v>
      </c>
      <c r="C481" t="s">
        <v>23</v>
      </c>
      <c r="D481" t="s">
        <v>30</v>
      </c>
      <c r="E481" t="s">
        <v>31</v>
      </c>
      <c r="F481" t="s">
        <v>32</v>
      </c>
      <c r="G481" t="s">
        <v>590</v>
      </c>
      <c r="H481" t="s">
        <v>591</v>
      </c>
      <c r="I481">
        <v>33</v>
      </c>
      <c r="J481">
        <v>5.9640000000000004</v>
      </c>
      <c r="K481">
        <v>-196.81</v>
      </c>
      <c r="L481">
        <v>-1</v>
      </c>
      <c r="M481">
        <v>0</v>
      </c>
      <c r="N481" t="s">
        <v>26</v>
      </c>
      <c r="O481">
        <v>0</v>
      </c>
      <c r="P481" t="s">
        <v>1442</v>
      </c>
      <c r="Q481">
        <v>0</v>
      </c>
      <c r="R481" t="s">
        <v>964</v>
      </c>
      <c r="S481" t="s">
        <v>965</v>
      </c>
      <c r="T481" t="s">
        <v>1442</v>
      </c>
      <c r="U481" t="s">
        <v>1442</v>
      </c>
      <c r="V481" t="s">
        <v>1442</v>
      </c>
      <c r="W481" t="s">
        <v>1442</v>
      </c>
    </row>
    <row r="482" spans="1:23" x14ac:dyDescent="0.25">
      <c r="A482" s="39">
        <v>46169.918135266198</v>
      </c>
      <c r="B482" s="40">
        <v>46169</v>
      </c>
      <c r="C482" t="s">
        <v>23</v>
      </c>
      <c r="D482" t="s">
        <v>24</v>
      </c>
      <c r="E482" t="s">
        <v>25</v>
      </c>
      <c r="F482" t="s">
        <v>1442</v>
      </c>
      <c r="G482" t="s">
        <v>807</v>
      </c>
      <c r="H482" t="s">
        <v>1442</v>
      </c>
      <c r="I482">
        <v>0</v>
      </c>
      <c r="J482">
        <v>0</v>
      </c>
      <c r="K482">
        <v>138</v>
      </c>
      <c r="L482">
        <v>0</v>
      </c>
      <c r="M482">
        <v>0</v>
      </c>
      <c r="N482" t="s">
        <v>26</v>
      </c>
      <c r="O482">
        <v>0</v>
      </c>
      <c r="P482" t="s">
        <v>1442</v>
      </c>
      <c r="Q482">
        <v>0</v>
      </c>
      <c r="R482" t="s">
        <v>647</v>
      </c>
      <c r="S482" t="s">
        <v>966</v>
      </c>
      <c r="T482" t="s">
        <v>807</v>
      </c>
      <c r="U482" t="s">
        <v>809</v>
      </c>
      <c r="V482" t="s">
        <v>1442</v>
      </c>
      <c r="W482" t="s">
        <v>1442</v>
      </c>
    </row>
    <row r="483" spans="1:23" x14ac:dyDescent="0.25">
      <c r="A483" s="39">
        <v>46169.919193449103</v>
      </c>
      <c r="B483" s="40">
        <v>46169</v>
      </c>
      <c r="C483" t="s">
        <v>23</v>
      </c>
      <c r="D483" t="s">
        <v>24</v>
      </c>
      <c r="E483" t="s">
        <v>25</v>
      </c>
      <c r="F483" t="s">
        <v>1442</v>
      </c>
      <c r="G483" t="s">
        <v>774</v>
      </c>
      <c r="H483" t="s">
        <v>1442</v>
      </c>
      <c r="I483">
        <v>0</v>
      </c>
      <c r="J483">
        <v>0</v>
      </c>
      <c r="K483">
        <v>1</v>
      </c>
      <c r="L483">
        <v>0</v>
      </c>
      <c r="M483">
        <v>0</v>
      </c>
      <c r="N483" t="s">
        <v>26</v>
      </c>
      <c r="O483">
        <v>0</v>
      </c>
      <c r="P483" t="s">
        <v>1442</v>
      </c>
      <c r="Q483">
        <v>0</v>
      </c>
      <c r="R483" t="s">
        <v>246</v>
      </c>
      <c r="S483" t="s">
        <v>967</v>
      </c>
      <c r="T483" t="s">
        <v>774</v>
      </c>
      <c r="U483" t="s">
        <v>776</v>
      </c>
      <c r="V483" t="s">
        <v>1442</v>
      </c>
      <c r="W483" t="s">
        <v>1442</v>
      </c>
    </row>
    <row r="484" spans="1:23" x14ac:dyDescent="0.25">
      <c r="A484" s="39">
        <v>46169.919248749997</v>
      </c>
      <c r="B484" s="40">
        <v>46169</v>
      </c>
      <c r="C484" t="s">
        <v>23</v>
      </c>
      <c r="D484" t="s">
        <v>30</v>
      </c>
      <c r="E484" t="s">
        <v>31</v>
      </c>
      <c r="F484" t="s">
        <v>464</v>
      </c>
      <c r="G484" t="s">
        <v>799</v>
      </c>
      <c r="H484" t="s">
        <v>800</v>
      </c>
      <c r="I484">
        <v>0.99927500000000002</v>
      </c>
      <c r="J484">
        <v>138.1</v>
      </c>
      <c r="K484">
        <v>-138</v>
      </c>
      <c r="L484">
        <v>-1</v>
      </c>
      <c r="M484">
        <v>0</v>
      </c>
      <c r="N484" t="s">
        <v>26</v>
      </c>
      <c r="O484">
        <v>0</v>
      </c>
      <c r="P484" t="s">
        <v>1442</v>
      </c>
      <c r="Q484">
        <v>0</v>
      </c>
      <c r="R484" t="s">
        <v>968</v>
      </c>
      <c r="S484" t="s">
        <v>969</v>
      </c>
      <c r="T484" t="s">
        <v>1442</v>
      </c>
      <c r="U484" t="s">
        <v>1442</v>
      </c>
      <c r="V484" t="s">
        <v>1442</v>
      </c>
      <c r="W484" t="s">
        <v>1442</v>
      </c>
    </row>
    <row r="485" spans="1:23" x14ac:dyDescent="0.25">
      <c r="A485" s="39">
        <v>46169.9333755556</v>
      </c>
      <c r="B485" s="40">
        <v>46169</v>
      </c>
      <c r="C485" t="s">
        <v>23</v>
      </c>
      <c r="D485" t="s">
        <v>24</v>
      </c>
      <c r="E485" t="s">
        <v>25</v>
      </c>
      <c r="F485" t="s">
        <v>1442</v>
      </c>
      <c r="G485" t="s">
        <v>774</v>
      </c>
      <c r="H485" t="s">
        <v>1442</v>
      </c>
      <c r="I485">
        <v>0</v>
      </c>
      <c r="J485">
        <v>0</v>
      </c>
      <c r="K485">
        <v>101</v>
      </c>
      <c r="L485">
        <v>0</v>
      </c>
      <c r="M485">
        <v>0</v>
      </c>
      <c r="N485" t="s">
        <v>26</v>
      </c>
      <c r="O485">
        <v>0</v>
      </c>
      <c r="P485" t="s">
        <v>1442</v>
      </c>
      <c r="Q485">
        <v>0</v>
      </c>
      <c r="R485" t="s">
        <v>246</v>
      </c>
      <c r="S485" t="s">
        <v>970</v>
      </c>
      <c r="T485" t="s">
        <v>774</v>
      </c>
      <c r="U485" t="s">
        <v>776</v>
      </c>
      <c r="V485" t="s">
        <v>1442</v>
      </c>
      <c r="W485" t="s">
        <v>1442</v>
      </c>
    </row>
    <row r="486" spans="1:23" x14ac:dyDescent="0.25">
      <c r="A486" s="39">
        <v>46169.933506330999</v>
      </c>
      <c r="B486" s="40">
        <v>46169</v>
      </c>
      <c r="C486" t="s">
        <v>23</v>
      </c>
      <c r="D486" t="s">
        <v>30</v>
      </c>
      <c r="E486" t="s">
        <v>31</v>
      </c>
      <c r="F486" t="s">
        <v>464</v>
      </c>
      <c r="G486" t="s">
        <v>815</v>
      </c>
      <c r="H486" t="s">
        <v>816</v>
      </c>
      <c r="I486">
        <v>0.32399099999999997</v>
      </c>
      <c r="J486">
        <v>308.64999999999998</v>
      </c>
      <c r="K486">
        <v>-100</v>
      </c>
      <c r="L486">
        <v>-1</v>
      </c>
      <c r="M486">
        <v>0</v>
      </c>
      <c r="N486" t="s">
        <v>26</v>
      </c>
      <c r="O486">
        <v>0</v>
      </c>
      <c r="P486" t="s">
        <v>1442</v>
      </c>
      <c r="Q486">
        <v>0</v>
      </c>
      <c r="R486" t="s">
        <v>971</v>
      </c>
      <c r="S486" t="s">
        <v>972</v>
      </c>
      <c r="T486" t="s">
        <v>1442</v>
      </c>
      <c r="U486" t="s">
        <v>1442</v>
      </c>
      <c r="V486" t="s">
        <v>1442</v>
      </c>
      <c r="W486" t="s">
        <v>1442</v>
      </c>
    </row>
    <row r="487" spans="1:23" x14ac:dyDescent="0.25">
      <c r="A487" s="39">
        <v>46169.940103009299</v>
      </c>
      <c r="B487" s="40">
        <v>46169</v>
      </c>
      <c r="C487" t="s">
        <v>23</v>
      </c>
      <c r="D487" t="s">
        <v>24</v>
      </c>
      <c r="E487" t="s">
        <v>25</v>
      </c>
      <c r="F487" t="s">
        <v>1442</v>
      </c>
      <c r="G487" t="s">
        <v>774</v>
      </c>
      <c r="H487" t="s">
        <v>1442</v>
      </c>
      <c r="I487">
        <v>0</v>
      </c>
      <c r="J487">
        <v>0</v>
      </c>
      <c r="K487">
        <v>564</v>
      </c>
      <c r="L487">
        <v>0</v>
      </c>
      <c r="M487">
        <v>0</v>
      </c>
      <c r="N487" t="s">
        <v>26</v>
      </c>
      <c r="O487">
        <v>0</v>
      </c>
      <c r="P487" t="s">
        <v>1442</v>
      </c>
      <c r="Q487">
        <v>0</v>
      </c>
      <c r="R487" t="s">
        <v>246</v>
      </c>
      <c r="S487" t="s">
        <v>973</v>
      </c>
      <c r="T487" t="s">
        <v>774</v>
      </c>
      <c r="U487" t="s">
        <v>776</v>
      </c>
      <c r="V487" t="s">
        <v>1442</v>
      </c>
      <c r="W487" t="s">
        <v>1442</v>
      </c>
    </row>
    <row r="488" spans="1:23" x14ac:dyDescent="0.25">
      <c r="A488" s="39">
        <v>46169.940868356498</v>
      </c>
      <c r="B488" s="40">
        <v>46169</v>
      </c>
      <c r="C488" t="s">
        <v>23</v>
      </c>
      <c r="D488" t="s">
        <v>30</v>
      </c>
      <c r="E488" t="s">
        <v>31</v>
      </c>
      <c r="F488" t="s">
        <v>464</v>
      </c>
      <c r="G488" t="s">
        <v>526</v>
      </c>
      <c r="H488" t="s">
        <v>527</v>
      </c>
      <c r="I488">
        <v>0.37166700000000003</v>
      </c>
      <c r="J488">
        <v>696.86</v>
      </c>
      <c r="K488">
        <v>-259</v>
      </c>
      <c r="L488">
        <v>-1</v>
      </c>
      <c r="M488">
        <v>0</v>
      </c>
      <c r="N488" t="s">
        <v>26</v>
      </c>
      <c r="O488">
        <v>0</v>
      </c>
      <c r="P488" t="s">
        <v>1442</v>
      </c>
      <c r="Q488">
        <v>0</v>
      </c>
      <c r="R488" t="s">
        <v>974</v>
      </c>
      <c r="S488" t="s">
        <v>975</v>
      </c>
      <c r="T488" t="s">
        <v>1442</v>
      </c>
      <c r="U488" t="s">
        <v>1442</v>
      </c>
      <c r="V488" t="s">
        <v>1442</v>
      </c>
      <c r="W488" t="s">
        <v>1442</v>
      </c>
    </row>
    <row r="489" spans="1:23" x14ac:dyDescent="0.25">
      <c r="A489" s="39">
        <v>46169.941520104199</v>
      </c>
      <c r="B489" s="40">
        <v>46169</v>
      </c>
      <c r="C489" t="s">
        <v>23</v>
      </c>
      <c r="D489" t="s">
        <v>30</v>
      </c>
      <c r="E489" t="s">
        <v>31</v>
      </c>
      <c r="F489" t="s">
        <v>464</v>
      </c>
      <c r="G489" t="s">
        <v>465</v>
      </c>
      <c r="H489" t="s">
        <v>466</v>
      </c>
      <c r="I489">
        <v>1</v>
      </c>
      <c r="J489">
        <v>123.3</v>
      </c>
      <c r="K489">
        <v>-123.3</v>
      </c>
      <c r="L489">
        <v>-1</v>
      </c>
      <c r="M489">
        <v>0</v>
      </c>
      <c r="N489" t="s">
        <v>26</v>
      </c>
      <c r="O489">
        <v>0</v>
      </c>
      <c r="P489" t="s">
        <v>1442</v>
      </c>
      <c r="Q489">
        <v>0</v>
      </c>
      <c r="R489" t="s">
        <v>469</v>
      </c>
      <c r="S489" t="s">
        <v>976</v>
      </c>
      <c r="T489" t="s">
        <v>1442</v>
      </c>
      <c r="U489" t="s">
        <v>1442</v>
      </c>
      <c r="V489" t="s">
        <v>1442</v>
      </c>
      <c r="W489" t="s">
        <v>1442</v>
      </c>
    </row>
    <row r="490" spans="1:23" x14ac:dyDescent="0.25">
      <c r="A490" s="39">
        <v>46169.941520254601</v>
      </c>
      <c r="B490" s="40">
        <v>46169</v>
      </c>
      <c r="C490" t="s">
        <v>23</v>
      </c>
      <c r="D490" t="s">
        <v>30</v>
      </c>
      <c r="E490" t="s">
        <v>31</v>
      </c>
      <c r="F490" t="s">
        <v>464</v>
      </c>
      <c r="G490" t="s">
        <v>465</v>
      </c>
      <c r="H490" t="s">
        <v>466</v>
      </c>
      <c r="I490">
        <v>0.216643</v>
      </c>
      <c r="J490">
        <v>123.3</v>
      </c>
      <c r="K490">
        <v>-26.71</v>
      </c>
      <c r="L490">
        <v>0</v>
      </c>
      <c r="M490">
        <v>0</v>
      </c>
      <c r="N490" t="s">
        <v>26</v>
      </c>
      <c r="O490">
        <v>0</v>
      </c>
      <c r="P490" t="s">
        <v>1442</v>
      </c>
      <c r="Q490">
        <v>0</v>
      </c>
      <c r="R490" t="s">
        <v>977</v>
      </c>
      <c r="S490" t="s">
        <v>978</v>
      </c>
      <c r="T490" t="s">
        <v>1442</v>
      </c>
      <c r="U490" t="s">
        <v>1442</v>
      </c>
      <c r="V490" t="s">
        <v>1442</v>
      </c>
      <c r="W490" t="s">
        <v>1442</v>
      </c>
    </row>
    <row r="491" spans="1:23" x14ac:dyDescent="0.25">
      <c r="A491" s="39">
        <v>46169.9432940509</v>
      </c>
      <c r="B491" s="40">
        <v>46169</v>
      </c>
      <c r="C491" t="s">
        <v>23</v>
      </c>
      <c r="D491" t="s">
        <v>24</v>
      </c>
      <c r="E491" t="s">
        <v>725</v>
      </c>
      <c r="F491" t="s">
        <v>1442</v>
      </c>
      <c r="G491" t="s">
        <v>853</v>
      </c>
      <c r="H491" t="s">
        <v>1442</v>
      </c>
      <c r="I491">
        <v>0</v>
      </c>
      <c r="J491">
        <v>0</v>
      </c>
      <c r="K491">
        <v>-1</v>
      </c>
      <c r="L491">
        <v>0</v>
      </c>
      <c r="M491">
        <v>0</v>
      </c>
      <c r="N491" t="s">
        <v>26</v>
      </c>
      <c r="O491">
        <v>0</v>
      </c>
      <c r="P491" t="s">
        <v>1442</v>
      </c>
      <c r="Q491">
        <v>0</v>
      </c>
      <c r="R491" t="s">
        <v>854</v>
      </c>
      <c r="S491" t="s">
        <v>979</v>
      </c>
      <c r="T491" t="s">
        <v>853</v>
      </c>
      <c r="U491" t="s">
        <v>856</v>
      </c>
      <c r="V491" t="s">
        <v>1442</v>
      </c>
      <c r="W491" t="s">
        <v>1442</v>
      </c>
    </row>
    <row r="492" spans="1:23" x14ac:dyDescent="0.25">
      <c r="A492" s="39">
        <v>46169.947930196802</v>
      </c>
      <c r="B492" s="40">
        <v>46169</v>
      </c>
      <c r="C492" t="s">
        <v>23</v>
      </c>
      <c r="D492" t="s">
        <v>24</v>
      </c>
      <c r="E492" t="s">
        <v>25</v>
      </c>
      <c r="F492" t="s">
        <v>1442</v>
      </c>
      <c r="G492" t="s">
        <v>774</v>
      </c>
      <c r="H492" t="s">
        <v>1442</v>
      </c>
      <c r="I492">
        <v>0</v>
      </c>
      <c r="J492">
        <v>0</v>
      </c>
      <c r="K492">
        <v>101</v>
      </c>
      <c r="L492">
        <v>0</v>
      </c>
      <c r="M492">
        <v>0</v>
      </c>
      <c r="N492" t="s">
        <v>26</v>
      </c>
      <c r="O492">
        <v>0</v>
      </c>
      <c r="P492" t="s">
        <v>1442</v>
      </c>
      <c r="Q492">
        <v>0</v>
      </c>
      <c r="R492" t="s">
        <v>246</v>
      </c>
      <c r="S492" t="s">
        <v>980</v>
      </c>
      <c r="T492" t="s">
        <v>774</v>
      </c>
      <c r="U492" t="s">
        <v>776</v>
      </c>
      <c r="V492" t="s">
        <v>1442</v>
      </c>
      <c r="W492" t="s">
        <v>1442</v>
      </c>
    </row>
    <row r="493" spans="1:23" x14ac:dyDescent="0.25">
      <c r="A493" s="39">
        <v>46169.942032314801</v>
      </c>
      <c r="B493" s="40">
        <v>46169</v>
      </c>
      <c r="C493" t="s">
        <v>23</v>
      </c>
      <c r="D493" t="s">
        <v>24</v>
      </c>
      <c r="E493" t="s">
        <v>725</v>
      </c>
      <c r="F493" t="s">
        <v>1442</v>
      </c>
      <c r="G493" t="s">
        <v>845</v>
      </c>
      <c r="H493" t="s">
        <v>1442</v>
      </c>
      <c r="I493">
        <v>0</v>
      </c>
      <c r="J493">
        <v>0</v>
      </c>
      <c r="K493">
        <v>-51</v>
      </c>
      <c r="L493">
        <v>0</v>
      </c>
      <c r="M493">
        <v>0</v>
      </c>
      <c r="N493" t="s">
        <v>26</v>
      </c>
      <c r="O493">
        <v>0</v>
      </c>
      <c r="P493" t="s">
        <v>1442</v>
      </c>
      <c r="Q493">
        <v>0</v>
      </c>
      <c r="R493" t="s">
        <v>846</v>
      </c>
      <c r="S493" t="s">
        <v>981</v>
      </c>
      <c r="T493" t="s">
        <v>845</v>
      </c>
      <c r="U493" t="s">
        <v>848</v>
      </c>
      <c r="V493" t="s">
        <v>1442</v>
      </c>
      <c r="W493" t="s">
        <v>1442</v>
      </c>
    </row>
    <row r="494" spans="1:23" x14ac:dyDescent="0.25">
      <c r="A494" s="39">
        <v>46169.947983437502</v>
      </c>
      <c r="B494" s="40">
        <v>46169</v>
      </c>
      <c r="C494" t="s">
        <v>23</v>
      </c>
      <c r="D494" t="s">
        <v>30</v>
      </c>
      <c r="E494" t="s">
        <v>31</v>
      </c>
      <c r="F494" t="s">
        <v>32</v>
      </c>
      <c r="G494" t="s">
        <v>167</v>
      </c>
      <c r="H494" t="s">
        <v>168</v>
      </c>
      <c r="I494">
        <v>7.2522000000000003E-2</v>
      </c>
      <c r="J494">
        <v>1.958</v>
      </c>
      <c r="K494">
        <v>-0.14000000000000001</v>
      </c>
      <c r="L494">
        <v>0</v>
      </c>
      <c r="M494">
        <v>0</v>
      </c>
      <c r="N494" t="s">
        <v>26</v>
      </c>
      <c r="O494">
        <v>0</v>
      </c>
      <c r="P494" t="s">
        <v>1442</v>
      </c>
      <c r="Q494">
        <v>0</v>
      </c>
      <c r="R494" t="s">
        <v>982</v>
      </c>
      <c r="S494" t="s">
        <v>983</v>
      </c>
      <c r="T494" t="s">
        <v>1442</v>
      </c>
      <c r="U494" t="s">
        <v>1442</v>
      </c>
      <c r="V494" t="s">
        <v>1442</v>
      </c>
      <c r="W494" t="s">
        <v>1442</v>
      </c>
    </row>
    <row r="495" spans="1:23" x14ac:dyDescent="0.25">
      <c r="A495" s="39">
        <v>46169.947983495404</v>
      </c>
      <c r="B495" s="40">
        <v>46169</v>
      </c>
      <c r="C495" t="s">
        <v>23</v>
      </c>
      <c r="D495" t="s">
        <v>30</v>
      </c>
      <c r="E495" t="s">
        <v>31</v>
      </c>
      <c r="F495" t="s">
        <v>32</v>
      </c>
      <c r="G495" t="s">
        <v>167</v>
      </c>
      <c r="H495" t="s">
        <v>168</v>
      </c>
      <c r="I495">
        <v>51</v>
      </c>
      <c r="J495">
        <v>1.958</v>
      </c>
      <c r="K495">
        <v>-99.86</v>
      </c>
      <c r="L495">
        <v>-1</v>
      </c>
      <c r="M495">
        <v>0</v>
      </c>
      <c r="N495" t="s">
        <v>26</v>
      </c>
      <c r="O495">
        <v>0</v>
      </c>
      <c r="P495" t="s">
        <v>1442</v>
      </c>
      <c r="Q495">
        <v>0</v>
      </c>
      <c r="R495" t="s">
        <v>984</v>
      </c>
      <c r="S495" t="s">
        <v>985</v>
      </c>
      <c r="T495" t="s">
        <v>1442</v>
      </c>
      <c r="U495" t="s">
        <v>1442</v>
      </c>
      <c r="V495" t="s">
        <v>1442</v>
      </c>
      <c r="W495" t="s">
        <v>1442</v>
      </c>
    </row>
    <row r="496" spans="1:23" x14ac:dyDescent="0.25">
      <c r="A496" s="39">
        <v>46169.951570092599</v>
      </c>
      <c r="B496" s="40">
        <v>46169</v>
      </c>
      <c r="C496" t="s">
        <v>23</v>
      </c>
      <c r="D496" t="s">
        <v>24</v>
      </c>
      <c r="E496" t="s">
        <v>25</v>
      </c>
      <c r="F496" t="s">
        <v>1442</v>
      </c>
      <c r="G496" t="s">
        <v>774</v>
      </c>
      <c r="H496" t="s">
        <v>1442</v>
      </c>
      <c r="I496">
        <v>0</v>
      </c>
      <c r="J496">
        <v>0</v>
      </c>
      <c r="K496">
        <v>101</v>
      </c>
      <c r="L496">
        <v>0</v>
      </c>
      <c r="M496">
        <v>0</v>
      </c>
      <c r="N496" t="s">
        <v>26</v>
      </c>
      <c r="O496">
        <v>0</v>
      </c>
      <c r="P496" t="s">
        <v>1442</v>
      </c>
      <c r="Q496">
        <v>0</v>
      </c>
      <c r="R496" t="s">
        <v>246</v>
      </c>
      <c r="S496" t="s">
        <v>986</v>
      </c>
      <c r="T496" t="s">
        <v>774</v>
      </c>
      <c r="U496" t="s">
        <v>776</v>
      </c>
      <c r="V496" t="s">
        <v>1442</v>
      </c>
      <c r="W496" t="s">
        <v>1442</v>
      </c>
    </row>
    <row r="497" spans="1:23" x14ac:dyDescent="0.25">
      <c r="A497" s="39">
        <v>46169.942708460701</v>
      </c>
      <c r="B497" s="40">
        <v>46169</v>
      </c>
      <c r="C497" t="s">
        <v>23</v>
      </c>
      <c r="D497" t="s">
        <v>24</v>
      </c>
      <c r="E497" t="s">
        <v>725</v>
      </c>
      <c r="F497" t="s">
        <v>1442</v>
      </c>
      <c r="G497" t="s">
        <v>853</v>
      </c>
      <c r="H497" t="s">
        <v>1442</v>
      </c>
      <c r="I497">
        <v>0</v>
      </c>
      <c r="J497">
        <v>0</v>
      </c>
      <c r="K497">
        <v>-50</v>
      </c>
      <c r="L497">
        <v>0</v>
      </c>
      <c r="M497">
        <v>0</v>
      </c>
      <c r="N497" t="s">
        <v>26</v>
      </c>
      <c r="O497">
        <v>0</v>
      </c>
      <c r="P497" t="s">
        <v>1442</v>
      </c>
      <c r="Q497">
        <v>0</v>
      </c>
      <c r="R497" t="s">
        <v>854</v>
      </c>
      <c r="S497" t="s">
        <v>987</v>
      </c>
      <c r="T497" t="s">
        <v>853</v>
      </c>
      <c r="U497" t="s">
        <v>856</v>
      </c>
      <c r="V497" t="s">
        <v>1442</v>
      </c>
      <c r="W497" t="s">
        <v>1442</v>
      </c>
    </row>
    <row r="498" spans="1:23" x14ac:dyDescent="0.25">
      <c r="A498" s="39">
        <v>46169.942377974498</v>
      </c>
      <c r="B498" s="40">
        <v>46169</v>
      </c>
      <c r="C498" t="s">
        <v>23</v>
      </c>
      <c r="D498" t="s">
        <v>24</v>
      </c>
      <c r="E498" t="s">
        <v>725</v>
      </c>
      <c r="F498" t="s">
        <v>1442</v>
      </c>
      <c r="G498" t="s">
        <v>850</v>
      </c>
      <c r="H498" t="s">
        <v>1442</v>
      </c>
      <c r="I498">
        <v>0</v>
      </c>
      <c r="J498">
        <v>0</v>
      </c>
      <c r="K498">
        <v>-51</v>
      </c>
      <c r="L498">
        <v>0</v>
      </c>
      <c r="M498">
        <v>0</v>
      </c>
      <c r="N498" t="s">
        <v>26</v>
      </c>
      <c r="O498">
        <v>0</v>
      </c>
      <c r="P498" t="s">
        <v>1442</v>
      </c>
      <c r="Q498">
        <v>0</v>
      </c>
      <c r="R498" t="s">
        <v>726</v>
      </c>
      <c r="S498" t="s">
        <v>988</v>
      </c>
      <c r="T498" t="s">
        <v>850</v>
      </c>
      <c r="U498" t="s">
        <v>852</v>
      </c>
      <c r="V498" t="s">
        <v>1442</v>
      </c>
      <c r="W498" t="s">
        <v>1442</v>
      </c>
    </row>
    <row r="499" spans="1:23" x14ac:dyDescent="0.25">
      <c r="A499" s="39">
        <v>46169.951675185199</v>
      </c>
      <c r="B499" s="40">
        <v>46169</v>
      </c>
      <c r="C499" t="s">
        <v>23</v>
      </c>
      <c r="D499" t="s">
        <v>30</v>
      </c>
      <c r="E499" t="s">
        <v>31</v>
      </c>
      <c r="F499" t="s">
        <v>32</v>
      </c>
      <c r="G499" t="s">
        <v>515</v>
      </c>
      <c r="H499" t="s">
        <v>516</v>
      </c>
      <c r="I499">
        <v>8</v>
      </c>
      <c r="J499">
        <v>11.63</v>
      </c>
      <c r="K499">
        <v>-93.04</v>
      </c>
      <c r="L499">
        <v>-1</v>
      </c>
      <c r="M499">
        <v>0</v>
      </c>
      <c r="N499" t="s">
        <v>26</v>
      </c>
      <c r="O499">
        <v>0</v>
      </c>
      <c r="P499" t="s">
        <v>1442</v>
      </c>
      <c r="Q499">
        <v>0</v>
      </c>
      <c r="R499" t="s">
        <v>989</v>
      </c>
      <c r="S499" t="s">
        <v>990</v>
      </c>
      <c r="T499" t="s">
        <v>1442</v>
      </c>
      <c r="U499" t="s">
        <v>1442</v>
      </c>
      <c r="V499" t="s">
        <v>1442</v>
      </c>
      <c r="W499" t="s">
        <v>1442</v>
      </c>
    </row>
    <row r="500" spans="1:23" x14ac:dyDescent="0.25">
      <c r="A500" s="39">
        <v>46169.951677453697</v>
      </c>
      <c r="B500" s="40">
        <v>46169</v>
      </c>
      <c r="C500" t="s">
        <v>23</v>
      </c>
      <c r="D500" t="s">
        <v>30</v>
      </c>
      <c r="E500" t="s">
        <v>31</v>
      </c>
      <c r="F500" t="s">
        <v>32</v>
      </c>
      <c r="G500" t="s">
        <v>515</v>
      </c>
      <c r="H500" t="s">
        <v>516</v>
      </c>
      <c r="I500">
        <v>0.58369000000000004</v>
      </c>
      <c r="J500">
        <v>11.63</v>
      </c>
      <c r="K500">
        <v>-6.79</v>
      </c>
      <c r="L500">
        <v>0</v>
      </c>
      <c r="M500">
        <v>0</v>
      </c>
      <c r="N500" t="s">
        <v>26</v>
      </c>
      <c r="O500">
        <v>0</v>
      </c>
      <c r="P500" t="s">
        <v>1442</v>
      </c>
      <c r="Q500">
        <v>0</v>
      </c>
      <c r="R500" t="s">
        <v>991</v>
      </c>
      <c r="S500" t="s">
        <v>992</v>
      </c>
      <c r="T500" t="s">
        <v>1442</v>
      </c>
      <c r="U500" t="s">
        <v>1442</v>
      </c>
      <c r="V500" t="s">
        <v>1442</v>
      </c>
      <c r="W500" t="s">
        <v>1442</v>
      </c>
    </row>
    <row r="501" spans="1:23" x14ac:dyDescent="0.25">
      <c r="A501" s="39">
        <v>46170.844366249999</v>
      </c>
      <c r="B501" s="40">
        <v>46170</v>
      </c>
      <c r="C501" t="s">
        <v>23</v>
      </c>
      <c r="D501" t="s">
        <v>24</v>
      </c>
      <c r="E501" t="s">
        <v>25</v>
      </c>
      <c r="F501" t="s">
        <v>1442</v>
      </c>
      <c r="G501" t="s">
        <v>774</v>
      </c>
      <c r="H501" t="s">
        <v>1442</v>
      </c>
      <c r="I501">
        <v>0</v>
      </c>
      <c r="J501">
        <v>0</v>
      </c>
      <c r="K501">
        <v>601</v>
      </c>
      <c r="L501">
        <v>0</v>
      </c>
      <c r="M501">
        <v>0</v>
      </c>
      <c r="N501" t="s">
        <v>26</v>
      </c>
      <c r="O501">
        <v>0</v>
      </c>
      <c r="P501" t="s">
        <v>1442</v>
      </c>
      <c r="Q501">
        <v>0</v>
      </c>
      <c r="R501" t="s">
        <v>246</v>
      </c>
      <c r="S501" t="s">
        <v>993</v>
      </c>
      <c r="T501" t="s">
        <v>774</v>
      </c>
      <c r="U501" t="s">
        <v>776</v>
      </c>
      <c r="V501" t="s">
        <v>1442</v>
      </c>
      <c r="W501" t="s">
        <v>1442</v>
      </c>
    </row>
    <row r="502" spans="1:23" x14ac:dyDescent="0.25">
      <c r="A502" s="39">
        <v>46170.844424988398</v>
      </c>
      <c r="B502" s="40">
        <v>46170</v>
      </c>
      <c r="C502" t="s">
        <v>23</v>
      </c>
      <c r="D502" t="s">
        <v>30</v>
      </c>
      <c r="E502" t="s">
        <v>31</v>
      </c>
      <c r="F502" t="s">
        <v>464</v>
      </c>
      <c r="G502" t="s">
        <v>994</v>
      </c>
      <c r="H502" t="s">
        <v>995</v>
      </c>
      <c r="I502">
        <v>0.23700599999999999</v>
      </c>
      <c r="J502">
        <v>96.2</v>
      </c>
      <c r="K502">
        <v>-22.8</v>
      </c>
      <c r="L502">
        <v>0</v>
      </c>
      <c r="M502">
        <v>0</v>
      </c>
      <c r="N502" t="s">
        <v>26</v>
      </c>
      <c r="O502">
        <v>0</v>
      </c>
      <c r="P502" t="s">
        <v>1442</v>
      </c>
      <c r="Q502">
        <v>0</v>
      </c>
      <c r="R502" t="s">
        <v>996</v>
      </c>
      <c r="S502" t="s">
        <v>997</v>
      </c>
      <c r="T502" t="s">
        <v>1442</v>
      </c>
      <c r="U502" t="s">
        <v>1442</v>
      </c>
      <c r="V502" t="s">
        <v>1442</v>
      </c>
      <c r="W502" t="s">
        <v>1442</v>
      </c>
    </row>
    <row r="503" spans="1:23" x14ac:dyDescent="0.25">
      <c r="A503" s="39">
        <v>46170.844425000003</v>
      </c>
      <c r="B503" s="40">
        <v>46170</v>
      </c>
      <c r="C503" t="s">
        <v>23</v>
      </c>
      <c r="D503" t="s">
        <v>30</v>
      </c>
      <c r="E503" t="s">
        <v>31</v>
      </c>
      <c r="F503" t="s">
        <v>464</v>
      </c>
      <c r="G503" t="s">
        <v>994</v>
      </c>
      <c r="H503" t="s">
        <v>995</v>
      </c>
      <c r="I503">
        <v>6</v>
      </c>
      <c r="J503">
        <v>96.2</v>
      </c>
      <c r="K503">
        <v>-577.20000000000005</v>
      </c>
      <c r="L503">
        <v>-1</v>
      </c>
      <c r="M503">
        <v>0</v>
      </c>
      <c r="N503" t="s">
        <v>26</v>
      </c>
      <c r="O503">
        <v>0</v>
      </c>
      <c r="P503" t="s">
        <v>1442</v>
      </c>
      <c r="Q503">
        <v>0</v>
      </c>
      <c r="R503" t="s">
        <v>998</v>
      </c>
      <c r="S503" t="s">
        <v>999</v>
      </c>
      <c r="T503" t="s">
        <v>1442</v>
      </c>
      <c r="U503" t="s">
        <v>1442</v>
      </c>
      <c r="V503" t="s">
        <v>1442</v>
      </c>
      <c r="W503" t="s">
        <v>1442</v>
      </c>
    </row>
    <row r="504" spans="1:23" x14ac:dyDescent="0.25">
      <c r="A504" s="39">
        <v>46171.859866666702</v>
      </c>
      <c r="B504" s="40">
        <v>46171</v>
      </c>
      <c r="C504" t="s">
        <v>23</v>
      </c>
      <c r="D504" t="s">
        <v>30</v>
      </c>
      <c r="E504" t="s">
        <v>82</v>
      </c>
      <c r="F504" t="s">
        <v>32</v>
      </c>
      <c r="G504" t="s">
        <v>937</v>
      </c>
      <c r="H504" t="s">
        <v>938</v>
      </c>
      <c r="I504">
        <v>-25</v>
      </c>
      <c r="J504">
        <v>5.4050000000000002</v>
      </c>
      <c r="K504">
        <v>135.13</v>
      </c>
      <c r="L504">
        <v>-1</v>
      </c>
      <c r="M504">
        <v>0</v>
      </c>
      <c r="N504" t="s">
        <v>26</v>
      </c>
      <c r="O504">
        <v>0</v>
      </c>
      <c r="P504" t="s">
        <v>1442</v>
      </c>
      <c r="Q504">
        <v>0</v>
      </c>
      <c r="R504" t="s">
        <v>1000</v>
      </c>
      <c r="S504" t="s">
        <v>1001</v>
      </c>
      <c r="T504" t="s">
        <v>1442</v>
      </c>
      <c r="U504" t="s">
        <v>1442</v>
      </c>
      <c r="V504" t="s">
        <v>1442</v>
      </c>
      <c r="W504" t="s">
        <v>1442</v>
      </c>
    </row>
    <row r="505" spans="1:23" x14ac:dyDescent="0.25">
      <c r="A505" s="39">
        <v>46172.886413634304</v>
      </c>
      <c r="B505" s="40">
        <v>46172</v>
      </c>
      <c r="C505" t="s">
        <v>23</v>
      </c>
      <c r="D505" t="s">
        <v>24</v>
      </c>
      <c r="E505" t="s">
        <v>161</v>
      </c>
      <c r="F505" t="s">
        <v>1442</v>
      </c>
      <c r="G505" t="s">
        <v>774</v>
      </c>
      <c r="H505" t="s">
        <v>1442</v>
      </c>
      <c r="I505">
        <v>0</v>
      </c>
      <c r="J505">
        <v>0</v>
      </c>
      <c r="K505">
        <v>-134.5</v>
      </c>
      <c r="L505">
        <v>0</v>
      </c>
      <c r="M505">
        <v>0</v>
      </c>
      <c r="N505" t="s">
        <v>26</v>
      </c>
      <c r="O505">
        <v>0</v>
      </c>
      <c r="P505" t="s">
        <v>1442</v>
      </c>
      <c r="Q505">
        <v>0</v>
      </c>
      <c r="R505" t="s">
        <v>397</v>
      </c>
      <c r="S505" t="s">
        <v>1002</v>
      </c>
      <c r="T505" t="s">
        <v>774</v>
      </c>
      <c r="U505" t="s">
        <v>776</v>
      </c>
      <c r="V505" t="s">
        <v>1442</v>
      </c>
      <c r="W505" t="s">
        <v>1442</v>
      </c>
    </row>
    <row r="506" spans="1:23" x14ac:dyDescent="0.25">
      <c r="A506" s="39">
        <v>46174.351289247701</v>
      </c>
      <c r="B506" s="40">
        <v>46174</v>
      </c>
      <c r="C506" t="s">
        <v>23</v>
      </c>
      <c r="D506" t="s">
        <v>24</v>
      </c>
      <c r="E506" t="s">
        <v>25</v>
      </c>
      <c r="F506" t="s">
        <v>1442</v>
      </c>
      <c r="G506" t="s">
        <v>774</v>
      </c>
      <c r="H506" t="s">
        <v>1442</v>
      </c>
      <c r="I506">
        <v>0</v>
      </c>
      <c r="J506">
        <v>0</v>
      </c>
      <c r="K506">
        <v>301</v>
      </c>
      <c r="L506">
        <v>0</v>
      </c>
      <c r="M506">
        <v>0</v>
      </c>
      <c r="N506" t="s">
        <v>26</v>
      </c>
      <c r="O506">
        <v>0</v>
      </c>
      <c r="P506" t="s">
        <v>1442</v>
      </c>
      <c r="Q506">
        <v>0</v>
      </c>
      <c r="R506" t="s">
        <v>246</v>
      </c>
      <c r="S506" t="s">
        <v>1003</v>
      </c>
      <c r="T506" t="s">
        <v>774</v>
      </c>
      <c r="U506" t="s">
        <v>776</v>
      </c>
      <c r="V506" t="s">
        <v>1442</v>
      </c>
      <c r="W506" t="s">
        <v>1442</v>
      </c>
    </row>
    <row r="507" spans="1:23" x14ac:dyDescent="0.25">
      <c r="A507" s="39">
        <v>46174.351350474499</v>
      </c>
      <c r="B507" s="40">
        <v>46174</v>
      </c>
      <c r="C507" t="s">
        <v>23</v>
      </c>
      <c r="D507" t="s">
        <v>30</v>
      </c>
      <c r="E507" t="s">
        <v>31</v>
      </c>
      <c r="F507" t="s">
        <v>464</v>
      </c>
      <c r="G507" t="s">
        <v>1004</v>
      </c>
      <c r="H507" t="s">
        <v>1005</v>
      </c>
      <c r="I507">
        <v>0.96122300000000005</v>
      </c>
      <c r="J507">
        <v>7.3239999999999998</v>
      </c>
      <c r="K507">
        <v>-7.04</v>
      </c>
      <c r="L507">
        <v>0</v>
      </c>
      <c r="M507">
        <v>0</v>
      </c>
      <c r="N507" t="s">
        <v>26</v>
      </c>
      <c r="O507">
        <v>0</v>
      </c>
      <c r="P507" t="s">
        <v>1442</v>
      </c>
      <c r="Q507">
        <v>0</v>
      </c>
      <c r="R507" t="s">
        <v>1006</v>
      </c>
      <c r="S507" t="s">
        <v>1007</v>
      </c>
      <c r="T507" t="s">
        <v>1442</v>
      </c>
      <c r="U507" t="s">
        <v>1442</v>
      </c>
      <c r="V507" t="s">
        <v>1442</v>
      </c>
      <c r="W507" t="s">
        <v>1442</v>
      </c>
    </row>
    <row r="508" spans="1:23" x14ac:dyDescent="0.25">
      <c r="A508" s="39">
        <v>46174.351350578698</v>
      </c>
      <c r="B508" s="40">
        <v>46174</v>
      </c>
      <c r="C508" t="s">
        <v>23</v>
      </c>
      <c r="D508" t="s">
        <v>30</v>
      </c>
      <c r="E508" t="s">
        <v>31</v>
      </c>
      <c r="F508" t="s">
        <v>464</v>
      </c>
      <c r="G508" t="s">
        <v>1004</v>
      </c>
      <c r="H508" t="s">
        <v>1005</v>
      </c>
      <c r="I508">
        <v>40</v>
      </c>
      <c r="J508">
        <v>7.3239999999999998</v>
      </c>
      <c r="K508">
        <v>-292.95999999999998</v>
      </c>
      <c r="L508">
        <v>-1</v>
      </c>
      <c r="M508">
        <v>0</v>
      </c>
      <c r="N508" t="s">
        <v>26</v>
      </c>
      <c r="O508">
        <v>0</v>
      </c>
      <c r="P508" t="s">
        <v>1442</v>
      </c>
      <c r="Q508">
        <v>0</v>
      </c>
      <c r="R508" t="s">
        <v>1008</v>
      </c>
      <c r="S508" t="s">
        <v>1009</v>
      </c>
      <c r="T508" t="s">
        <v>1442</v>
      </c>
      <c r="U508" t="s">
        <v>1442</v>
      </c>
      <c r="V508" t="s">
        <v>1442</v>
      </c>
      <c r="W508" t="s">
        <v>1442</v>
      </c>
    </row>
    <row r="509" spans="1:23" x14ac:dyDescent="0.25">
      <c r="A509" s="39">
        <v>46174.352699768497</v>
      </c>
      <c r="B509" s="40">
        <v>46174</v>
      </c>
      <c r="C509" t="s">
        <v>23</v>
      </c>
      <c r="D509" t="s">
        <v>24</v>
      </c>
      <c r="E509" t="s">
        <v>25</v>
      </c>
      <c r="F509" t="s">
        <v>1442</v>
      </c>
      <c r="G509" t="s">
        <v>774</v>
      </c>
      <c r="H509" t="s">
        <v>1442</v>
      </c>
      <c r="I509">
        <v>0</v>
      </c>
      <c r="J509">
        <v>0</v>
      </c>
      <c r="K509">
        <v>301</v>
      </c>
      <c r="L509">
        <v>0</v>
      </c>
      <c r="M509">
        <v>0</v>
      </c>
      <c r="N509" t="s">
        <v>26</v>
      </c>
      <c r="O509">
        <v>0</v>
      </c>
      <c r="P509" t="s">
        <v>1442</v>
      </c>
      <c r="Q509">
        <v>0</v>
      </c>
      <c r="R509" t="s">
        <v>246</v>
      </c>
      <c r="S509" t="s">
        <v>1010</v>
      </c>
      <c r="T509" t="s">
        <v>774</v>
      </c>
      <c r="U509" t="s">
        <v>776</v>
      </c>
      <c r="V509" t="s">
        <v>1442</v>
      </c>
      <c r="W509" t="s">
        <v>1442</v>
      </c>
    </row>
    <row r="510" spans="1:23" x14ac:dyDescent="0.25">
      <c r="A510" s="39">
        <v>46174.352777604203</v>
      </c>
      <c r="B510" s="40">
        <v>46174</v>
      </c>
      <c r="C510" t="s">
        <v>23</v>
      </c>
      <c r="D510" t="s">
        <v>30</v>
      </c>
      <c r="E510" t="s">
        <v>31</v>
      </c>
      <c r="F510" t="s">
        <v>464</v>
      </c>
      <c r="G510" t="s">
        <v>1011</v>
      </c>
      <c r="H510" t="s">
        <v>1012</v>
      </c>
      <c r="I510">
        <v>6</v>
      </c>
      <c r="J510">
        <v>47.204999999999998</v>
      </c>
      <c r="K510">
        <v>-283.23</v>
      </c>
      <c r="L510">
        <v>-1</v>
      </c>
      <c r="M510">
        <v>0</v>
      </c>
      <c r="N510" t="s">
        <v>26</v>
      </c>
      <c r="O510">
        <v>0</v>
      </c>
      <c r="P510" t="s">
        <v>1442</v>
      </c>
      <c r="Q510">
        <v>0</v>
      </c>
      <c r="R510" t="s">
        <v>1013</v>
      </c>
      <c r="S510" t="s">
        <v>1014</v>
      </c>
      <c r="T510" t="s">
        <v>1442</v>
      </c>
      <c r="U510" t="s">
        <v>1442</v>
      </c>
      <c r="V510" t="s">
        <v>1442</v>
      </c>
      <c r="W510" t="s">
        <v>1442</v>
      </c>
    </row>
    <row r="511" spans="1:23" x14ac:dyDescent="0.25">
      <c r="A511" s="39">
        <v>46174.352777627297</v>
      </c>
      <c r="B511" s="40">
        <v>46174</v>
      </c>
      <c r="C511" t="s">
        <v>23</v>
      </c>
      <c r="D511" t="s">
        <v>30</v>
      </c>
      <c r="E511" t="s">
        <v>31</v>
      </c>
      <c r="F511" t="s">
        <v>464</v>
      </c>
      <c r="G511" t="s">
        <v>1011</v>
      </c>
      <c r="H511" t="s">
        <v>1012</v>
      </c>
      <c r="I511">
        <v>0.35525800000000002</v>
      </c>
      <c r="J511">
        <v>47.204999999999998</v>
      </c>
      <c r="K511">
        <v>-16.77</v>
      </c>
      <c r="L511">
        <v>0</v>
      </c>
      <c r="M511">
        <v>0</v>
      </c>
      <c r="N511" t="s">
        <v>26</v>
      </c>
      <c r="O511">
        <v>0</v>
      </c>
      <c r="P511" t="s">
        <v>1442</v>
      </c>
      <c r="Q511">
        <v>0</v>
      </c>
      <c r="R511" t="s">
        <v>1015</v>
      </c>
      <c r="S511" t="s">
        <v>1016</v>
      </c>
      <c r="T511" t="s">
        <v>1442</v>
      </c>
      <c r="U511" t="s">
        <v>1442</v>
      </c>
      <c r="V511" t="s">
        <v>1442</v>
      </c>
      <c r="W511" t="s">
        <v>1442</v>
      </c>
    </row>
    <row r="512" spans="1:23" x14ac:dyDescent="0.25">
      <c r="A512" s="39">
        <v>46174.356060844897</v>
      </c>
      <c r="B512" s="40">
        <v>46174</v>
      </c>
      <c r="C512" t="s">
        <v>23</v>
      </c>
      <c r="D512" t="s">
        <v>24</v>
      </c>
      <c r="E512" t="s">
        <v>25</v>
      </c>
      <c r="F512" t="s">
        <v>1442</v>
      </c>
      <c r="G512" t="s">
        <v>774</v>
      </c>
      <c r="H512" t="s">
        <v>1442</v>
      </c>
      <c r="I512">
        <v>0</v>
      </c>
      <c r="J512">
        <v>0</v>
      </c>
      <c r="K512">
        <v>301</v>
      </c>
      <c r="L512">
        <v>0</v>
      </c>
      <c r="M512">
        <v>0</v>
      </c>
      <c r="N512" t="s">
        <v>26</v>
      </c>
      <c r="O512">
        <v>0</v>
      </c>
      <c r="P512" t="s">
        <v>1442</v>
      </c>
      <c r="Q512">
        <v>0</v>
      </c>
      <c r="R512" t="s">
        <v>246</v>
      </c>
      <c r="S512" t="s">
        <v>1017</v>
      </c>
      <c r="T512" t="s">
        <v>774</v>
      </c>
      <c r="U512" t="s">
        <v>776</v>
      </c>
      <c r="V512" t="s">
        <v>1442</v>
      </c>
      <c r="W512" t="s">
        <v>1442</v>
      </c>
    </row>
    <row r="513" spans="1:23" x14ac:dyDescent="0.25">
      <c r="A513" s="39">
        <v>46174.356111041699</v>
      </c>
      <c r="B513" s="40">
        <v>46174</v>
      </c>
      <c r="C513" t="s">
        <v>23</v>
      </c>
      <c r="D513" t="s">
        <v>30</v>
      </c>
      <c r="E513" t="s">
        <v>31</v>
      </c>
      <c r="F513" t="s">
        <v>464</v>
      </c>
      <c r="G513" t="s">
        <v>1018</v>
      </c>
      <c r="H513" t="s">
        <v>1019</v>
      </c>
      <c r="I513">
        <v>5</v>
      </c>
      <c r="J513">
        <v>57.5</v>
      </c>
      <c r="K513">
        <v>-287.5</v>
      </c>
      <c r="L513">
        <v>-1</v>
      </c>
      <c r="M513">
        <v>0</v>
      </c>
      <c r="N513" t="s">
        <v>26</v>
      </c>
      <c r="O513">
        <v>0</v>
      </c>
      <c r="P513" t="s">
        <v>1442</v>
      </c>
      <c r="Q513">
        <v>0</v>
      </c>
      <c r="R513" t="s">
        <v>1020</v>
      </c>
      <c r="S513" t="s">
        <v>1021</v>
      </c>
      <c r="T513" t="s">
        <v>1442</v>
      </c>
      <c r="U513" t="s">
        <v>1442</v>
      </c>
      <c r="V513" t="s">
        <v>1442</v>
      </c>
      <c r="W513" t="s">
        <v>1442</v>
      </c>
    </row>
    <row r="514" spans="1:23" x14ac:dyDescent="0.25">
      <c r="A514" s="39">
        <v>46174.356111053203</v>
      </c>
      <c r="B514" s="40">
        <v>46174</v>
      </c>
      <c r="C514" t="s">
        <v>23</v>
      </c>
      <c r="D514" t="s">
        <v>30</v>
      </c>
      <c r="E514" t="s">
        <v>31</v>
      </c>
      <c r="F514" t="s">
        <v>464</v>
      </c>
      <c r="G514" t="s">
        <v>1018</v>
      </c>
      <c r="H514" t="s">
        <v>1019</v>
      </c>
      <c r="I514">
        <v>0.217391</v>
      </c>
      <c r="J514">
        <v>57.5</v>
      </c>
      <c r="K514">
        <v>-12.5</v>
      </c>
      <c r="L514">
        <v>0</v>
      </c>
      <c r="M514">
        <v>0</v>
      </c>
      <c r="N514" t="s">
        <v>26</v>
      </c>
      <c r="O514">
        <v>0</v>
      </c>
      <c r="P514" t="s">
        <v>1442</v>
      </c>
      <c r="Q514">
        <v>0</v>
      </c>
      <c r="R514" t="s">
        <v>1022</v>
      </c>
      <c r="S514" t="s">
        <v>1023</v>
      </c>
      <c r="T514" t="s">
        <v>1442</v>
      </c>
      <c r="U514" t="s">
        <v>1442</v>
      </c>
      <c r="V514" t="s">
        <v>1442</v>
      </c>
      <c r="W514" t="s">
        <v>1442</v>
      </c>
    </row>
    <row r="515" spans="1:23" x14ac:dyDescent="0.25">
      <c r="A515" s="39">
        <v>46175.419293414401</v>
      </c>
      <c r="B515" s="40">
        <v>46175</v>
      </c>
      <c r="C515" t="s">
        <v>23</v>
      </c>
      <c r="D515" t="s">
        <v>24</v>
      </c>
      <c r="E515" t="s">
        <v>25</v>
      </c>
      <c r="F515" t="s">
        <v>1442</v>
      </c>
      <c r="G515" t="s">
        <v>774</v>
      </c>
      <c r="H515" t="s">
        <v>1442</v>
      </c>
      <c r="I515">
        <v>0</v>
      </c>
      <c r="J515">
        <v>0</v>
      </c>
      <c r="K515">
        <v>101</v>
      </c>
      <c r="L515">
        <v>0</v>
      </c>
      <c r="M515">
        <v>0</v>
      </c>
      <c r="N515" t="s">
        <v>26</v>
      </c>
      <c r="O515">
        <v>0</v>
      </c>
      <c r="P515" t="s">
        <v>1442</v>
      </c>
      <c r="Q515">
        <v>0</v>
      </c>
      <c r="R515" t="s">
        <v>246</v>
      </c>
      <c r="S515" t="s">
        <v>1024</v>
      </c>
      <c r="T515" t="s">
        <v>774</v>
      </c>
      <c r="U515" t="s">
        <v>776</v>
      </c>
      <c r="V515" t="s">
        <v>1442</v>
      </c>
      <c r="W515" t="s">
        <v>1442</v>
      </c>
    </row>
    <row r="516" spans="1:23" x14ac:dyDescent="0.25">
      <c r="A516" s="39">
        <v>46175.419402048603</v>
      </c>
      <c r="B516" s="40">
        <v>46175</v>
      </c>
      <c r="C516" t="s">
        <v>23</v>
      </c>
      <c r="D516" t="s">
        <v>30</v>
      </c>
      <c r="E516" t="s">
        <v>31</v>
      </c>
      <c r="F516" t="s">
        <v>32</v>
      </c>
      <c r="G516" t="s">
        <v>262</v>
      </c>
      <c r="H516" t="s">
        <v>263</v>
      </c>
      <c r="I516">
        <v>3</v>
      </c>
      <c r="J516">
        <v>33.33</v>
      </c>
      <c r="K516">
        <v>-99.99</v>
      </c>
      <c r="L516">
        <v>-1</v>
      </c>
      <c r="M516">
        <v>0</v>
      </c>
      <c r="N516" t="s">
        <v>26</v>
      </c>
      <c r="O516">
        <v>0</v>
      </c>
      <c r="P516" t="s">
        <v>1442</v>
      </c>
      <c r="Q516">
        <v>0</v>
      </c>
      <c r="R516" t="s">
        <v>1025</v>
      </c>
      <c r="S516" t="s">
        <v>1026</v>
      </c>
      <c r="T516" t="s">
        <v>1442</v>
      </c>
      <c r="U516" t="s">
        <v>1442</v>
      </c>
      <c r="V516" t="s">
        <v>1442</v>
      </c>
      <c r="W516" t="s">
        <v>1442</v>
      </c>
    </row>
    <row r="517" spans="1:23" x14ac:dyDescent="0.25">
      <c r="A517" s="39">
        <v>46175.6815225463</v>
      </c>
      <c r="B517" s="40">
        <v>46175</v>
      </c>
      <c r="C517" t="s">
        <v>23</v>
      </c>
      <c r="D517" t="s">
        <v>24</v>
      </c>
      <c r="E517" t="s">
        <v>25</v>
      </c>
      <c r="F517" t="s">
        <v>1442</v>
      </c>
      <c r="G517" t="s">
        <v>774</v>
      </c>
      <c r="H517" t="s">
        <v>1442</v>
      </c>
      <c r="I517">
        <v>0</v>
      </c>
      <c r="J517">
        <v>0</v>
      </c>
      <c r="K517">
        <v>51</v>
      </c>
      <c r="L517">
        <v>0</v>
      </c>
      <c r="M517">
        <v>0</v>
      </c>
      <c r="N517" t="s">
        <v>26</v>
      </c>
      <c r="O517">
        <v>0</v>
      </c>
      <c r="P517" t="s">
        <v>1442</v>
      </c>
      <c r="Q517">
        <v>0</v>
      </c>
      <c r="R517" t="s">
        <v>246</v>
      </c>
      <c r="S517" t="s">
        <v>1027</v>
      </c>
      <c r="T517" t="s">
        <v>774</v>
      </c>
      <c r="U517" t="s">
        <v>776</v>
      </c>
      <c r="V517" t="s">
        <v>1442</v>
      </c>
      <c r="W517" t="s">
        <v>1442</v>
      </c>
    </row>
    <row r="518" spans="1:23" x14ac:dyDescent="0.25">
      <c r="A518" s="39">
        <v>46175.685721238398</v>
      </c>
      <c r="B518" s="40">
        <v>46175</v>
      </c>
      <c r="C518" t="s">
        <v>23</v>
      </c>
      <c r="D518" t="s">
        <v>30</v>
      </c>
      <c r="E518" t="s">
        <v>31</v>
      </c>
      <c r="F518" t="s">
        <v>464</v>
      </c>
      <c r="G518" t="s">
        <v>948</v>
      </c>
      <c r="H518" t="s">
        <v>949</v>
      </c>
      <c r="I518">
        <v>0.46720200000000001</v>
      </c>
      <c r="J518">
        <v>106.96</v>
      </c>
      <c r="K518">
        <v>-49.97</v>
      </c>
      <c r="L518">
        <v>-1</v>
      </c>
      <c r="M518">
        <v>0</v>
      </c>
      <c r="N518" t="s">
        <v>26</v>
      </c>
      <c r="O518">
        <v>0</v>
      </c>
      <c r="P518" t="s">
        <v>1442</v>
      </c>
      <c r="Q518">
        <v>0</v>
      </c>
      <c r="R518" t="s">
        <v>1028</v>
      </c>
      <c r="S518" t="s">
        <v>1029</v>
      </c>
      <c r="T518" t="s">
        <v>1442</v>
      </c>
      <c r="U518" t="s">
        <v>1442</v>
      </c>
      <c r="V518" t="s">
        <v>1442</v>
      </c>
      <c r="W518" t="s">
        <v>1442</v>
      </c>
    </row>
    <row r="519" spans="1:23" x14ac:dyDescent="0.25">
      <c r="A519" s="39">
        <v>46175.753800161998</v>
      </c>
      <c r="B519" s="40">
        <v>46175</v>
      </c>
      <c r="C519" t="s">
        <v>23</v>
      </c>
      <c r="D519" t="s">
        <v>24</v>
      </c>
      <c r="E519" t="s">
        <v>25</v>
      </c>
      <c r="F519" t="s">
        <v>1442</v>
      </c>
      <c r="G519" t="s">
        <v>774</v>
      </c>
      <c r="H519" t="s">
        <v>1442</v>
      </c>
      <c r="I519">
        <v>0</v>
      </c>
      <c r="J519">
        <v>0</v>
      </c>
      <c r="K519">
        <v>67</v>
      </c>
      <c r="L519">
        <v>0</v>
      </c>
      <c r="M519">
        <v>0</v>
      </c>
      <c r="N519" t="s">
        <v>26</v>
      </c>
      <c r="O519">
        <v>0</v>
      </c>
      <c r="P519" t="s">
        <v>1442</v>
      </c>
      <c r="Q519">
        <v>0</v>
      </c>
      <c r="R519" t="s">
        <v>246</v>
      </c>
      <c r="S519" t="s">
        <v>1030</v>
      </c>
      <c r="T519" t="s">
        <v>774</v>
      </c>
      <c r="U519" t="s">
        <v>776</v>
      </c>
      <c r="V519" t="s">
        <v>1442</v>
      </c>
      <c r="W519" t="s">
        <v>1442</v>
      </c>
    </row>
    <row r="520" spans="1:23" x14ac:dyDescent="0.25">
      <c r="A520" s="39">
        <v>46175.753855405099</v>
      </c>
      <c r="B520" s="40">
        <v>46175</v>
      </c>
      <c r="C520" t="s">
        <v>23</v>
      </c>
      <c r="D520" t="s">
        <v>30</v>
      </c>
      <c r="E520" t="s">
        <v>31</v>
      </c>
      <c r="F520" t="s">
        <v>64</v>
      </c>
      <c r="G520" t="s">
        <v>65</v>
      </c>
      <c r="H520" t="s">
        <v>66</v>
      </c>
      <c r="I520">
        <v>1</v>
      </c>
      <c r="J520">
        <v>66.027000000000001</v>
      </c>
      <c r="K520">
        <v>-66.03</v>
      </c>
      <c r="L520">
        <v>-1</v>
      </c>
      <c r="M520">
        <v>0</v>
      </c>
      <c r="N520" t="s">
        <v>26</v>
      </c>
      <c r="O520">
        <v>0</v>
      </c>
      <c r="P520" t="s">
        <v>1442</v>
      </c>
      <c r="Q520">
        <v>0</v>
      </c>
      <c r="R520" t="s">
        <v>572</v>
      </c>
      <c r="S520" t="s">
        <v>1031</v>
      </c>
      <c r="T520" t="s">
        <v>1442</v>
      </c>
      <c r="U520" t="s">
        <v>1442</v>
      </c>
      <c r="V520" t="s">
        <v>1442</v>
      </c>
      <c r="W520" t="s">
        <v>1442</v>
      </c>
    </row>
    <row r="521" spans="1:23" x14ac:dyDescent="0.25">
      <c r="A521" s="39">
        <v>46176.951337580998</v>
      </c>
      <c r="B521" s="40">
        <v>46176</v>
      </c>
      <c r="C521" t="s">
        <v>23</v>
      </c>
      <c r="D521" t="s">
        <v>24</v>
      </c>
      <c r="E521" t="s">
        <v>25</v>
      </c>
      <c r="F521" t="s">
        <v>1442</v>
      </c>
      <c r="G521" t="s">
        <v>774</v>
      </c>
      <c r="H521" t="s">
        <v>1442</v>
      </c>
      <c r="I521">
        <v>0</v>
      </c>
      <c r="J521">
        <v>0</v>
      </c>
      <c r="K521">
        <v>38</v>
      </c>
      <c r="L521">
        <v>0</v>
      </c>
      <c r="M521">
        <v>0</v>
      </c>
      <c r="N521" t="s">
        <v>26</v>
      </c>
      <c r="O521">
        <v>0</v>
      </c>
      <c r="P521" t="s">
        <v>1442</v>
      </c>
      <c r="Q521">
        <v>0</v>
      </c>
      <c r="R521" t="s">
        <v>246</v>
      </c>
      <c r="S521" t="s">
        <v>1032</v>
      </c>
      <c r="T521" t="s">
        <v>774</v>
      </c>
      <c r="U521" t="s">
        <v>776</v>
      </c>
      <c r="V521" t="s">
        <v>1442</v>
      </c>
      <c r="W521" t="s">
        <v>1442</v>
      </c>
    </row>
    <row r="522" spans="1:23" x14ac:dyDescent="0.25">
      <c r="A522" s="39">
        <v>46176.951422939797</v>
      </c>
      <c r="B522" s="40">
        <v>46176</v>
      </c>
      <c r="C522" t="s">
        <v>23</v>
      </c>
      <c r="D522" t="s">
        <v>30</v>
      </c>
      <c r="E522" t="s">
        <v>31</v>
      </c>
      <c r="F522" t="s">
        <v>32</v>
      </c>
      <c r="G522" t="s">
        <v>211</v>
      </c>
      <c r="H522" t="s">
        <v>212</v>
      </c>
      <c r="I522">
        <v>10</v>
      </c>
      <c r="J522">
        <v>3.63</v>
      </c>
      <c r="K522">
        <v>-36.299999999999997</v>
      </c>
      <c r="L522">
        <v>-1</v>
      </c>
      <c r="M522">
        <v>0</v>
      </c>
      <c r="N522" t="s">
        <v>26</v>
      </c>
      <c r="O522">
        <v>0</v>
      </c>
      <c r="P522" t="s">
        <v>1442</v>
      </c>
      <c r="Q522">
        <v>0</v>
      </c>
      <c r="R522" t="s">
        <v>934</v>
      </c>
      <c r="S522" t="s">
        <v>1033</v>
      </c>
      <c r="T522" t="s">
        <v>1442</v>
      </c>
      <c r="U522" t="s">
        <v>1442</v>
      </c>
      <c r="V522" t="s">
        <v>1442</v>
      </c>
      <c r="W522" t="s">
        <v>1442</v>
      </c>
    </row>
    <row r="523" spans="1:23" x14ac:dyDescent="0.25">
      <c r="A523" s="39">
        <v>46177.324554247702</v>
      </c>
      <c r="B523" s="40">
        <v>46177</v>
      </c>
      <c r="C523" t="s">
        <v>23</v>
      </c>
      <c r="D523" t="s">
        <v>24</v>
      </c>
      <c r="E523" t="s">
        <v>25</v>
      </c>
      <c r="F523" t="s">
        <v>1442</v>
      </c>
      <c r="G523" t="s">
        <v>774</v>
      </c>
      <c r="H523" t="s">
        <v>1442</v>
      </c>
      <c r="I523">
        <v>0</v>
      </c>
      <c r="J523">
        <v>0</v>
      </c>
      <c r="K523">
        <v>50</v>
      </c>
      <c r="L523">
        <v>0</v>
      </c>
      <c r="M523">
        <v>0</v>
      </c>
      <c r="N523" t="s">
        <v>26</v>
      </c>
      <c r="O523">
        <v>0</v>
      </c>
      <c r="P523" t="s">
        <v>1442</v>
      </c>
      <c r="Q523">
        <v>0</v>
      </c>
      <c r="R523" t="s">
        <v>246</v>
      </c>
      <c r="S523" t="s">
        <v>1034</v>
      </c>
      <c r="T523" t="s">
        <v>774</v>
      </c>
      <c r="U523" t="s">
        <v>776</v>
      </c>
      <c r="V523" t="s">
        <v>1442</v>
      </c>
      <c r="W523" t="s">
        <v>1442</v>
      </c>
    </row>
    <row r="524" spans="1:23" x14ac:dyDescent="0.25">
      <c r="A524" s="39">
        <v>46177.327481018503</v>
      </c>
      <c r="B524" s="40">
        <v>46177</v>
      </c>
      <c r="C524" t="s">
        <v>23</v>
      </c>
      <c r="D524" t="s">
        <v>24</v>
      </c>
      <c r="E524" t="s">
        <v>25</v>
      </c>
      <c r="F524" t="s">
        <v>1442</v>
      </c>
      <c r="G524" t="s">
        <v>774</v>
      </c>
      <c r="H524" t="s">
        <v>1442</v>
      </c>
      <c r="I524">
        <v>0</v>
      </c>
      <c r="J524">
        <v>0</v>
      </c>
      <c r="K524">
        <v>419.37</v>
      </c>
      <c r="L524">
        <v>0</v>
      </c>
      <c r="M524">
        <v>0</v>
      </c>
      <c r="N524" t="s">
        <v>26</v>
      </c>
      <c r="O524">
        <v>0</v>
      </c>
      <c r="P524" t="s">
        <v>1442</v>
      </c>
      <c r="Q524">
        <v>0</v>
      </c>
      <c r="R524" t="s">
        <v>246</v>
      </c>
      <c r="S524" t="s">
        <v>1035</v>
      </c>
      <c r="T524" t="s">
        <v>774</v>
      </c>
      <c r="U524" t="s">
        <v>776</v>
      </c>
      <c r="V524" t="s">
        <v>1442</v>
      </c>
      <c r="W524" t="s">
        <v>1442</v>
      </c>
    </row>
    <row r="525" spans="1:23" x14ac:dyDescent="0.25">
      <c r="A525" s="39">
        <v>46177.328674201402</v>
      </c>
      <c r="B525" s="40">
        <v>46177</v>
      </c>
      <c r="C525" t="s">
        <v>23</v>
      </c>
      <c r="D525" t="s">
        <v>30</v>
      </c>
      <c r="E525" t="s">
        <v>31</v>
      </c>
      <c r="F525" t="s">
        <v>32</v>
      </c>
      <c r="G525" t="s">
        <v>167</v>
      </c>
      <c r="H525" t="s">
        <v>168</v>
      </c>
      <c r="I525">
        <v>0.32240400000000002</v>
      </c>
      <c r="J525">
        <v>1.83</v>
      </c>
      <c r="K525">
        <v>-0.59</v>
      </c>
      <c r="L525">
        <v>0</v>
      </c>
      <c r="M525">
        <v>0</v>
      </c>
      <c r="N525" t="s">
        <v>26</v>
      </c>
      <c r="O525">
        <v>0</v>
      </c>
      <c r="P525" t="s">
        <v>1442</v>
      </c>
      <c r="Q525">
        <v>0</v>
      </c>
      <c r="R525" t="s">
        <v>1036</v>
      </c>
      <c r="S525" t="s">
        <v>1037</v>
      </c>
      <c r="T525" t="s">
        <v>1442</v>
      </c>
      <c r="U525" t="s">
        <v>1442</v>
      </c>
      <c r="V525" t="s">
        <v>1442</v>
      </c>
      <c r="W525" t="s">
        <v>1442</v>
      </c>
    </row>
    <row r="526" spans="1:23" x14ac:dyDescent="0.25">
      <c r="A526" s="39">
        <v>46177.328674213</v>
      </c>
      <c r="B526" s="40">
        <v>46177</v>
      </c>
      <c r="C526" t="s">
        <v>23</v>
      </c>
      <c r="D526" t="s">
        <v>30</v>
      </c>
      <c r="E526" t="s">
        <v>31</v>
      </c>
      <c r="F526" t="s">
        <v>32</v>
      </c>
      <c r="G526" t="s">
        <v>167</v>
      </c>
      <c r="H526" t="s">
        <v>168</v>
      </c>
      <c r="I526">
        <v>27</v>
      </c>
      <c r="J526">
        <v>1.83</v>
      </c>
      <c r="K526">
        <v>-49.41</v>
      </c>
      <c r="L526">
        <v>-1</v>
      </c>
      <c r="M526">
        <v>0</v>
      </c>
      <c r="N526" t="s">
        <v>26</v>
      </c>
      <c r="O526">
        <v>0</v>
      </c>
      <c r="P526" t="s">
        <v>1442</v>
      </c>
      <c r="Q526">
        <v>0</v>
      </c>
      <c r="R526" t="s">
        <v>898</v>
      </c>
      <c r="S526" t="s">
        <v>1038</v>
      </c>
      <c r="T526" t="s">
        <v>1442</v>
      </c>
      <c r="U526" t="s">
        <v>1442</v>
      </c>
      <c r="V526" t="s">
        <v>1442</v>
      </c>
      <c r="W526" t="s">
        <v>1442</v>
      </c>
    </row>
    <row r="527" spans="1:23" x14ac:dyDescent="0.25">
      <c r="A527" s="39">
        <v>46177.329673692097</v>
      </c>
      <c r="B527" s="40">
        <v>46177</v>
      </c>
      <c r="C527" t="s">
        <v>23</v>
      </c>
      <c r="D527" t="s">
        <v>30</v>
      </c>
      <c r="E527" t="s">
        <v>31</v>
      </c>
      <c r="F527" t="s">
        <v>32</v>
      </c>
      <c r="G527" t="s">
        <v>747</v>
      </c>
      <c r="H527" t="s">
        <v>748</v>
      </c>
      <c r="I527">
        <v>1</v>
      </c>
      <c r="J527">
        <v>70.819999999999993</v>
      </c>
      <c r="K527">
        <v>-70.819999999999993</v>
      </c>
      <c r="L527">
        <v>-1</v>
      </c>
      <c r="M527">
        <v>0</v>
      </c>
      <c r="N527" t="s">
        <v>26</v>
      </c>
      <c r="O527">
        <v>0</v>
      </c>
      <c r="P527" t="s">
        <v>1442</v>
      </c>
      <c r="Q527">
        <v>0</v>
      </c>
      <c r="R527" t="s">
        <v>878</v>
      </c>
      <c r="S527" t="s">
        <v>1039</v>
      </c>
      <c r="T527" t="s">
        <v>1442</v>
      </c>
      <c r="U527" t="s">
        <v>1442</v>
      </c>
      <c r="V527" t="s">
        <v>1442</v>
      </c>
      <c r="W527" t="s">
        <v>1442</v>
      </c>
    </row>
    <row r="528" spans="1:23" x14ac:dyDescent="0.25">
      <c r="A528" s="39">
        <v>46177.330057384301</v>
      </c>
      <c r="B528" s="40">
        <v>46177</v>
      </c>
      <c r="C528" t="s">
        <v>23</v>
      </c>
      <c r="D528" t="s">
        <v>30</v>
      </c>
      <c r="E528" t="s">
        <v>31</v>
      </c>
      <c r="F528" t="s">
        <v>464</v>
      </c>
      <c r="G528" t="s">
        <v>948</v>
      </c>
      <c r="H528" t="s">
        <v>949</v>
      </c>
      <c r="I528">
        <v>0.50818099999999999</v>
      </c>
      <c r="J528">
        <v>98.49</v>
      </c>
      <c r="K528">
        <v>-50.05</v>
      </c>
      <c r="L528">
        <v>-1</v>
      </c>
      <c r="M528">
        <v>0</v>
      </c>
      <c r="N528" t="s">
        <v>26</v>
      </c>
      <c r="O528">
        <v>0</v>
      </c>
      <c r="P528" t="s">
        <v>1442</v>
      </c>
      <c r="Q528">
        <v>0</v>
      </c>
      <c r="R528" t="s">
        <v>1040</v>
      </c>
      <c r="S528" t="s">
        <v>1041</v>
      </c>
      <c r="T528" t="s">
        <v>1442</v>
      </c>
      <c r="U528" t="s">
        <v>1442</v>
      </c>
      <c r="V528" t="s">
        <v>1442</v>
      </c>
      <c r="W528" t="s">
        <v>1442</v>
      </c>
    </row>
    <row r="529" spans="1:23" x14ac:dyDescent="0.25">
      <c r="A529" s="39">
        <v>46177.331998611102</v>
      </c>
      <c r="B529" s="40">
        <v>46177</v>
      </c>
      <c r="C529" t="s">
        <v>23</v>
      </c>
      <c r="D529" t="s">
        <v>30</v>
      </c>
      <c r="E529" t="s">
        <v>31</v>
      </c>
      <c r="F529" t="s">
        <v>32</v>
      </c>
      <c r="G529" t="s">
        <v>154</v>
      </c>
      <c r="H529" t="s">
        <v>155</v>
      </c>
      <c r="I529">
        <v>2</v>
      </c>
      <c r="J529">
        <v>23.51</v>
      </c>
      <c r="K529">
        <v>-47.02</v>
      </c>
      <c r="L529">
        <v>-1</v>
      </c>
      <c r="M529">
        <v>0</v>
      </c>
      <c r="N529" t="s">
        <v>26</v>
      </c>
      <c r="O529">
        <v>0</v>
      </c>
      <c r="P529" t="s">
        <v>1442</v>
      </c>
      <c r="Q529">
        <v>0</v>
      </c>
      <c r="R529" t="s">
        <v>173</v>
      </c>
      <c r="S529" t="s">
        <v>1042</v>
      </c>
      <c r="T529" t="s">
        <v>1442</v>
      </c>
      <c r="U529" t="s">
        <v>1442</v>
      </c>
      <c r="V529" t="s">
        <v>1442</v>
      </c>
      <c r="W529" t="s">
        <v>1442</v>
      </c>
    </row>
    <row r="530" spans="1:23" x14ac:dyDescent="0.25">
      <c r="A530" s="39">
        <v>46177.3319986227</v>
      </c>
      <c r="B530" s="40">
        <v>46177</v>
      </c>
      <c r="C530" t="s">
        <v>23</v>
      </c>
      <c r="D530" t="s">
        <v>30</v>
      </c>
      <c r="E530" t="s">
        <v>31</v>
      </c>
      <c r="F530" t="s">
        <v>32</v>
      </c>
      <c r="G530" t="s">
        <v>154</v>
      </c>
      <c r="H530" t="s">
        <v>155</v>
      </c>
      <c r="I530">
        <v>0.12675400000000001</v>
      </c>
      <c r="J530">
        <v>23.51</v>
      </c>
      <c r="K530">
        <v>-2.98</v>
      </c>
      <c r="L530">
        <v>0</v>
      </c>
      <c r="M530">
        <v>0</v>
      </c>
      <c r="N530" t="s">
        <v>26</v>
      </c>
      <c r="O530">
        <v>0</v>
      </c>
      <c r="P530" t="s">
        <v>1442</v>
      </c>
      <c r="Q530">
        <v>0</v>
      </c>
      <c r="R530" t="s">
        <v>1043</v>
      </c>
      <c r="S530" t="s">
        <v>1044</v>
      </c>
      <c r="T530" t="s">
        <v>1442</v>
      </c>
      <c r="U530" t="s">
        <v>1442</v>
      </c>
      <c r="V530" t="s">
        <v>1442</v>
      </c>
      <c r="W530" t="s">
        <v>1442</v>
      </c>
    </row>
    <row r="531" spans="1:23" x14ac:dyDescent="0.25">
      <c r="A531" s="39">
        <v>46177.34760375</v>
      </c>
      <c r="B531" s="40">
        <v>46177</v>
      </c>
      <c r="C531" t="s">
        <v>23</v>
      </c>
      <c r="D531" t="s">
        <v>24</v>
      </c>
      <c r="E531" t="s">
        <v>161</v>
      </c>
      <c r="F531" t="s">
        <v>1442</v>
      </c>
      <c r="G531" t="s">
        <v>807</v>
      </c>
      <c r="H531" t="s">
        <v>1442</v>
      </c>
      <c r="I531">
        <v>0</v>
      </c>
      <c r="J531">
        <v>0</v>
      </c>
      <c r="K531">
        <v>-45.21</v>
      </c>
      <c r="L531">
        <v>0</v>
      </c>
      <c r="M531">
        <v>0</v>
      </c>
      <c r="N531" t="s">
        <v>26</v>
      </c>
      <c r="O531">
        <v>0</v>
      </c>
      <c r="P531" t="s">
        <v>1442</v>
      </c>
      <c r="Q531">
        <v>0</v>
      </c>
      <c r="R531" t="s">
        <v>661</v>
      </c>
      <c r="S531" t="s">
        <v>1045</v>
      </c>
      <c r="T531" t="s">
        <v>807</v>
      </c>
      <c r="U531" t="s">
        <v>809</v>
      </c>
      <c r="V531" t="s">
        <v>1442</v>
      </c>
      <c r="W531" t="s">
        <v>1442</v>
      </c>
    </row>
    <row r="532" spans="1:23" x14ac:dyDescent="0.25">
      <c r="A532" s="39">
        <v>46177.4931173843</v>
      </c>
      <c r="B532" s="40">
        <v>46177</v>
      </c>
      <c r="C532" t="s">
        <v>23</v>
      </c>
      <c r="D532" t="s">
        <v>30</v>
      </c>
      <c r="E532" t="s">
        <v>31</v>
      </c>
      <c r="F532" t="s">
        <v>64</v>
      </c>
      <c r="G532" t="s">
        <v>65</v>
      </c>
      <c r="H532" t="s">
        <v>66</v>
      </c>
      <c r="I532">
        <v>1</v>
      </c>
      <c r="J532">
        <v>59.058999999999997</v>
      </c>
      <c r="K532">
        <v>-59.06</v>
      </c>
      <c r="L532">
        <v>-1</v>
      </c>
      <c r="M532">
        <v>0</v>
      </c>
      <c r="N532" t="s">
        <v>26</v>
      </c>
      <c r="O532">
        <v>0</v>
      </c>
      <c r="P532" t="s">
        <v>1442</v>
      </c>
      <c r="Q532">
        <v>0</v>
      </c>
      <c r="R532" t="s">
        <v>572</v>
      </c>
      <c r="S532" t="s">
        <v>1046</v>
      </c>
      <c r="T532" t="s">
        <v>1442</v>
      </c>
      <c r="U532" t="s">
        <v>1442</v>
      </c>
      <c r="V532" t="s">
        <v>1442</v>
      </c>
      <c r="W532" t="s">
        <v>1442</v>
      </c>
    </row>
    <row r="533" spans="1:23" x14ac:dyDescent="0.25">
      <c r="A533" s="39">
        <v>46177.493557592599</v>
      </c>
      <c r="B533" s="40">
        <v>46177</v>
      </c>
      <c r="C533" t="s">
        <v>23</v>
      </c>
      <c r="D533" t="s">
        <v>30</v>
      </c>
      <c r="E533" t="s">
        <v>31</v>
      </c>
      <c r="F533" t="s">
        <v>64</v>
      </c>
      <c r="G533" t="s">
        <v>69</v>
      </c>
      <c r="H533" t="s">
        <v>69</v>
      </c>
      <c r="I533">
        <v>38.094856</v>
      </c>
      <c r="J533">
        <v>0.99757099999999999</v>
      </c>
      <c r="K533">
        <v>-38</v>
      </c>
      <c r="L533">
        <v>-1</v>
      </c>
      <c r="M533">
        <v>0</v>
      </c>
      <c r="N533" t="s">
        <v>26</v>
      </c>
      <c r="O533">
        <v>0</v>
      </c>
      <c r="P533" t="s">
        <v>1442</v>
      </c>
      <c r="Q533">
        <v>0</v>
      </c>
      <c r="R533" t="s">
        <v>1047</v>
      </c>
      <c r="S533" t="s">
        <v>1048</v>
      </c>
      <c r="T533" t="s">
        <v>1442</v>
      </c>
      <c r="U533" t="s">
        <v>1442</v>
      </c>
      <c r="V533" t="s">
        <v>1442</v>
      </c>
      <c r="W533" t="s">
        <v>1442</v>
      </c>
    </row>
    <row r="534" spans="1:23" x14ac:dyDescent="0.25">
      <c r="A534" s="39">
        <v>46177.8471822801</v>
      </c>
      <c r="B534" s="40">
        <v>46177</v>
      </c>
      <c r="C534" t="s">
        <v>23</v>
      </c>
      <c r="D534" t="s">
        <v>30</v>
      </c>
      <c r="E534" t="s">
        <v>31</v>
      </c>
      <c r="F534" t="s">
        <v>64</v>
      </c>
      <c r="G534" t="s">
        <v>72</v>
      </c>
      <c r="H534" t="s">
        <v>73</v>
      </c>
      <c r="I534">
        <v>310.01599599999997</v>
      </c>
      <c r="J534">
        <v>0.16129299999999999</v>
      </c>
      <c r="K534">
        <v>-50</v>
      </c>
      <c r="L534">
        <v>-1</v>
      </c>
      <c r="M534">
        <v>0</v>
      </c>
      <c r="N534" t="s">
        <v>26</v>
      </c>
      <c r="O534">
        <v>0</v>
      </c>
      <c r="P534" t="s">
        <v>1442</v>
      </c>
      <c r="Q534">
        <v>0</v>
      </c>
      <c r="R534" t="s">
        <v>1049</v>
      </c>
      <c r="S534" t="s">
        <v>1050</v>
      </c>
      <c r="T534" t="s">
        <v>1442</v>
      </c>
      <c r="U534" t="s">
        <v>1442</v>
      </c>
      <c r="V534" t="s">
        <v>1442</v>
      </c>
      <c r="W534" t="s">
        <v>1442</v>
      </c>
    </row>
    <row r="535" spans="1:23" x14ac:dyDescent="0.25">
      <c r="A535" s="39">
        <v>46177.873931354203</v>
      </c>
      <c r="B535" s="40">
        <v>46177</v>
      </c>
      <c r="C535" t="s">
        <v>23</v>
      </c>
      <c r="D535" t="s">
        <v>24</v>
      </c>
      <c r="E535" t="s">
        <v>25</v>
      </c>
      <c r="F535" t="s">
        <v>1442</v>
      </c>
      <c r="G535" t="s">
        <v>807</v>
      </c>
      <c r="H535" t="s">
        <v>1442</v>
      </c>
      <c r="I535">
        <v>0</v>
      </c>
      <c r="J535">
        <v>0</v>
      </c>
      <c r="K535">
        <v>2</v>
      </c>
      <c r="L535">
        <v>0</v>
      </c>
      <c r="M535">
        <v>0</v>
      </c>
      <c r="N535" t="s">
        <v>26</v>
      </c>
      <c r="O535">
        <v>0</v>
      </c>
      <c r="P535" t="s">
        <v>1442</v>
      </c>
      <c r="Q535">
        <v>0</v>
      </c>
      <c r="R535" t="s">
        <v>647</v>
      </c>
      <c r="S535" t="s">
        <v>1051</v>
      </c>
      <c r="T535" t="s">
        <v>807</v>
      </c>
      <c r="U535" t="s">
        <v>809</v>
      </c>
      <c r="V535" t="s">
        <v>1442</v>
      </c>
      <c r="W535" t="s">
        <v>1442</v>
      </c>
    </row>
    <row r="536" spans="1:23" x14ac:dyDescent="0.25">
      <c r="A536" s="39">
        <v>46177.890543796297</v>
      </c>
      <c r="B536" s="40">
        <v>46177</v>
      </c>
      <c r="C536" t="s">
        <v>23</v>
      </c>
      <c r="D536" t="s">
        <v>30</v>
      </c>
      <c r="E536" t="s">
        <v>31</v>
      </c>
      <c r="F536" t="s">
        <v>464</v>
      </c>
      <c r="G536" t="s">
        <v>1004</v>
      </c>
      <c r="H536" t="s">
        <v>1005</v>
      </c>
      <c r="I536">
        <v>7</v>
      </c>
      <c r="J536">
        <v>7.13</v>
      </c>
      <c r="K536">
        <v>-49.91</v>
      </c>
      <c r="L536">
        <v>-1</v>
      </c>
      <c r="M536">
        <v>0</v>
      </c>
      <c r="N536" t="s">
        <v>26</v>
      </c>
      <c r="O536">
        <v>0</v>
      </c>
      <c r="P536" t="s">
        <v>1442</v>
      </c>
      <c r="Q536">
        <v>0</v>
      </c>
      <c r="R536" t="s">
        <v>1052</v>
      </c>
      <c r="S536" t="s">
        <v>1053</v>
      </c>
      <c r="T536" t="s">
        <v>1442</v>
      </c>
      <c r="U536" t="s">
        <v>1442</v>
      </c>
      <c r="V536" t="s">
        <v>1442</v>
      </c>
      <c r="W536" t="s">
        <v>1442</v>
      </c>
    </row>
    <row r="537" spans="1:23" x14ac:dyDescent="0.25">
      <c r="A537" s="39">
        <v>46177.890543807902</v>
      </c>
      <c r="B537" s="40">
        <v>46177</v>
      </c>
      <c r="C537" t="s">
        <v>23</v>
      </c>
      <c r="D537" t="s">
        <v>30</v>
      </c>
      <c r="E537" t="s">
        <v>31</v>
      </c>
      <c r="F537" t="s">
        <v>464</v>
      </c>
      <c r="G537" t="s">
        <v>1004</v>
      </c>
      <c r="H537" t="s">
        <v>1005</v>
      </c>
      <c r="I537">
        <v>1.2622E-2</v>
      </c>
      <c r="J537">
        <v>7.13</v>
      </c>
      <c r="K537">
        <v>-0.09</v>
      </c>
      <c r="L537">
        <v>0</v>
      </c>
      <c r="M537">
        <v>0</v>
      </c>
      <c r="N537" t="s">
        <v>26</v>
      </c>
      <c r="O537">
        <v>0</v>
      </c>
      <c r="P537" t="s">
        <v>1442</v>
      </c>
      <c r="Q537">
        <v>0</v>
      </c>
      <c r="R537" t="s">
        <v>1054</v>
      </c>
      <c r="S537" t="s">
        <v>1055</v>
      </c>
      <c r="T537" t="s">
        <v>1442</v>
      </c>
      <c r="U537" t="s">
        <v>1442</v>
      </c>
      <c r="V537" t="s">
        <v>1442</v>
      </c>
      <c r="W537" t="s">
        <v>1442</v>
      </c>
    </row>
    <row r="538" spans="1:23" x14ac:dyDescent="0.25">
      <c r="A538" s="39">
        <v>46177.891498495403</v>
      </c>
      <c r="B538" s="40">
        <v>46177</v>
      </c>
      <c r="C538" t="s">
        <v>23</v>
      </c>
      <c r="D538" t="s">
        <v>24</v>
      </c>
      <c r="E538" t="s">
        <v>161</v>
      </c>
      <c r="F538" t="s">
        <v>1442</v>
      </c>
      <c r="G538" t="s">
        <v>807</v>
      </c>
      <c r="H538" t="s">
        <v>1442</v>
      </c>
      <c r="I538">
        <v>0</v>
      </c>
      <c r="J538">
        <v>0</v>
      </c>
      <c r="K538">
        <v>-0.94</v>
      </c>
      <c r="L538">
        <v>0</v>
      </c>
      <c r="M538">
        <v>0</v>
      </c>
      <c r="N538" t="s">
        <v>26</v>
      </c>
      <c r="O538">
        <v>0</v>
      </c>
      <c r="P538" t="s">
        <v>1442</v>
      </c>
      <c r="Q538">
        <v>0</v>
      </c>
      <c r="R538" t="s">
        <v>661</v>
      </c>
      <c r="S538" t="s">
        <v>1056</v>
      </c>
      <c r="T538" t="s">
        <v>807</v>
      </c>
      <c r="U538" t="s">
        <v>809</v>
      </c>
      <c r="V538" t="s">
        <v>1442</v>
      </c>
      <c r="W538" t="s">
        <v>1442</v>
      </c>
    </row>
    <row r="539" spans="1:23" x14ac:dyDescent="0.25">
      <c r="A539" s="39">
        <v>46178.672507939802</v>
      </c>
      <c r="B539" s="40">
        <v>46178</v>
      </c>
      <c r="C539" t="s">
        <v>23</v>
      </c>
      <c r="D539" t="s">
        <v>30</v>
      </c>
      <c r="E539" t="s">
        <v>82</v>
      </c>
      <c r="F539" t="s">
        <v>32</v>
      </c>
      <c r="G539" t="s">
        <v>590</v>
      </c>
      <c r="H539" t="s">
        <v>591</v>
      </c>
      <c r="I539">
        <v>-33.53454</v>
      </c>
      <c r="J539">
        <v>6.2910000000000004</v>
      </c>
      <c r="K539">
        <v>210.97</v>
      </c>
      <c r="L539">
        <v>-1</v>
      </c>
      <c r="M539">
        <v>0</v>
      </c>
      <c r="N539" t="s">
        <v>26</v>
      </c>
      <c r="O539">
        <v>0</v>
      </c>
      <c r="P539" t="s">
        <v>1442</v>
      </c>
      <c r="Q539">
        <v>0</v>
      </c>
      <c r="R539" t="s">
        <v>1057</v>
      </c>
      <c r="S539" t="s">
        <v>1058</v>
      </c>
      <c r="T539" t="s">
        <v>1442</v>
      </c>
      <c r="U539" t="s">
        <v>1442</v>
      </c>
      <c r="V539" t="s">
        <v>1442</v>
      </c>
      <c r="W539" t="s">
        <v>1442</v>
      </c>
    </row>
    <row r="540" spans="1:23" x14ac:dyDescent="0.25">
      <c r="A540" s="39">
        <v>46178.696529594898</v>
      </c>
      <c r="B540" s="40">
        <v>46178</v>
      </c>
      <c r="C540" t="s">
        <v>23</v>
      </c>
      <c r="D540" t="s">
        <v>30</v>
      </c>
      <c r="E540" t="s">
        <v>31</v>
      </c>
      <c r="F540" t="s">
        <v>464</v>
      </c>
      <c r="G540" t="s">
        <v>948</v>
      </c>
      <c r="H540" t="s">
        <v>949</v>
      </c>
      <c r="I540">
        <v>0.52246599999999999</v>
      </c>
      <c r="J540">
        <v>95.8</v>
      </c>
      <c r="K540">
        <v>-50.05</v>
      </c>
      <c r="L540">
        <v>-1</v>
      </c>
      <c r="M540">
        <v>0</v>
      </c>
      <c r="N540" t="s">
        <v>26</v>
      </c>
      <c r="O540">
        <v>0</v>
      </c>
      <c r="P540" t="s">
        <v>1442</v>
      </c>
      <c r="Q540">
        <v>0</v>
      </c>
      <c r="R540" t="s">
        <v>1059</v>
      </c>
      <c r="S540" t="s">
        <v>1060</v>
      </c>
      <c r="T540" t="s">
        <v>1442</v>
      </c>
      <c r="U540" t="s">
        <v>1442</v>
      </c>
      <c r="V540" t="s">
        <v>1442</v>
      </c>
      <c r="W540" t="s">
        <v>1442</v>
      </c>
    </row>
    <row r="541" spans="1:23" x14ac:dyDescent="0.25">
      <c r="A541" s="39">
        <v>46178.699263032402</v>
      </c>
      <c r="B541" s="40">
        <v>46178</v>
      </c>
      <c r="C541" t="s">
        <v>23</v>
      </c>
      <c r="D541" t="s">
        <v>30</v>
      </c>
      <c r="E541" t="s">
        <v>31</v>
      </c>
      <c r="F541" t="s">
        <v>464</v>
      </c>
      <c r="G541" t="s">
        <v>1004</v>
      </c>
      <c r="H541" t="s">
        <v>1005</v>
      </c>
      <c r="I541">
        <v>0.599939</v>
      </c>
      <c r="J541">
        <v>6.5789999999999997</v>
      </c>
      <c r="K541">
        <v>-3.95</v>
      </c>
      <c r="L541">
        <v>0</v>
      </c>
      <c r="M541">
        <v>0</v>
      </c>
      <c r="N541" t="s">
        <v>26</v>
      </c>
      <c r="O541">
        <v>0</v>
      </c>
      <c r="P541" t="s">
        <v>1442</v>
      </c>
      <c r="Q541">
        <v>0</v>
      </c>
      <c r="R541" t="s">
        <v>1061</v>
      </c>
      <c r="S541" t="s">
        <v>1062</v>
      </c>
      <c r="T541" t="s">
        <v>1442</v>
      </c>
      <c r="U541" t="s">
        <v>1442</v>
      </c>
      <c r="V541" t="s">
        <v>1442</v>
      </c>
      <c r="W541" t="s">
        <v>1442</v>
      </c>
    </row>
    <row r="542" spans="1:23" x14ac:dyDescent="0.25">
      <c r="A542" s="39">
        <v>46178.699263044</v>
      </c>
      <c r="B542" s="40">
        <v>46178</v>
      </c>
      <c r="C542" t="s">
        <v>23</v>
      </c>
      <c r="D542" t="s">
        <v>30</v>
      </c>
      <c r="E542" t="s">
        <v>31</v>
      </c>
      <c r="F542" t="s">
        <v>464</v>
      </c>
      <c r="G542" t="s">
        <v>1004</v>
      </c>
      <c r="H542" t="s">
        <v>1005</v>
      </c>
      <c r="I542">
        <v>7</v>
      </c>
      <c r="J542">
        <v>6.5789999999999997</v>
      </c>
      <c r="K542">
        <v>-46.05</v>
      </c>
      <c r="L542">
        <v>-1</v>
      </c>
      <c r="M542">
        <v>0</v>
      </c>
      <c r="N542" t="s">
        <v>26</v>
      </c>
      <c r="O542">
        <v>0</v>
      </c>
      <c r="P542" t="s">
        <v>1442</v>
      </c>
      <c r="Q542">
        <v>0</v>
      </c>
      <c r="R542" t="s">
        <v>1052</v>
      </c>
      <c r="S542" t="s">
        <v>1063</v>
      </c>
      <c r="T542" t="s">
        <v>1442</v>
      </c>
      <c r="U542" t="s">
        <v>1442</v>
      </c>
      <c r="V542" t="s">
        <v>1442</v>
      </c>
      <c r="W542" t="s">
        <v>1442</v>
      </c>
    </row>
    <row r="543" spans="1:23" x14ac:dyDescent="0.25">
      <c r="A543" s="39">
        <v>46178.802286585596</v>
      </c>
      <c r="B543" s="40">
        <v>46178</v>
      </c>
      <c r="C543" t="s">
        <v>23</v>
      </c>
      <c r="D543" t="s">
        <v>30</v>
      </c>
      <c r="E543" t="s">
        <v>31</v>
      </c>
      <c r="F543" t="s">
        <v>32</v>
      </c>
      <c r="G543" t="s">
        <v>211</v>
      </c>
      <c r="H543" t="s">
        <v>212</v>
      </c>
      <c r="I543">
        <v>13</v>
      </c>
      <c r="J543">
        <v>3.64</v>
      </c>
      <c r="K543">
        <v>-47.32</v>
      </c>
      <c r="L543">
        <v>-1</v>
      </c>
      <c r="M543">
        <v>0</v>
      </c>
      <c r="N543" t="s">
        <v>26</v>
      </c>
      <c r="O543">
        <v>0</v>
      </c>
      <c r="P543" t="s">
        <v>1442</v>
      </c>
      <c r="Q543">
        <v>0</v>
      </c>
      <c r="R543" t="s">
        <v>1064</v>
      </c>
      <c r="S543" t="s">
        <v>1065</v>
      </c>
      <c r="T543" t="s">
        <v>1442</v>
      </c>
      <c r="U543" t="s">
        <v>1442</v>
      </c>
      <c r="V543" t="s">
        <v>1442</v>
      </c>
      <c r="W543" t="s">
        <v>1442</v>
      </c>
    </row>
    <row r="544" spans="1:23" x14ac:dyDescent="0.25">
      <c r="A544" s="39">
        <v>46178.886892661998</v>
      </c>
      <c r="B544" s="40">
        <v>46178</v>
      </c>
      <c r="C544" t="s">
        <v>23</v>
      </c>
      <c r="D544" t="s">
        <v>24</v>
      </c>
      <c r="E544" t="s">
        <v>25</v>
      </c>
      <c r="F544" t="s">
        <v>1442</v>
      </c>
      <c r="G544" t="s">
        <v>774</v>
      </c>
      <c r="H544" t="s">
        <v>1442</v>
      </c>
      <c r="I544">
        <v>0</v>
      </c>
      <c r="J544">
        <v>0</v>
      </c>
      <c r="K544">
        <v>400</v>
      </c>
      <c r="L544">
        <v>0</v>
      </c>
      <c r="M544">
        <v>0</v>
      </c>
      <c r="N544" t="s">
        <v>26</v>
      </c>
      <c r="O544">
        <v>0</v>
      </c>
      <c r="P544" t="s">
        <v>1442</v>
      </c>
      <c r="Q544">
        <v>0</v>
      </c>
      <c r="R544" t="s">
        <v>246</v>
      </c>
      <c r="S544" t="s">
        <v>1066</v>
      </c>
      <c r="T544" t="s">
        <v>774</v>
      </c>
      <c r="U544" t="s">
        <v>776</v>
      </c>
      <c r="V544" t="s">
        <v>1442</v>
      </c>
      <c r="W544" t="s">
        <v>1442</v>
      </c>
    </row>
    <row r="545" spans="1:23" x14ac:dyDescent="0.25">
      <c r="A545" s="39">
        <v>46178.931196747697</v>
      </c>
      <c r="B545" s="40">
        <v>46178</v>
      </c>
      <c r="C545" t="s">
        <v>23</v>
      </c>
      <c r="D545" t="s">
        <v>30</v>
      </c>
      <c r="E545" t="s">
        <v>31</v>
      </c>
      <c r="F545" t="s">
        <v>464</v>
      </c>
      <c r="G545" t="s">
        <v>526</v>
      </c>
      <c r="H545" t="s">
        <v>527</v>
      </c>
      <c r="I545">
        <v>0.37703399999999998</v>
      </c>
      <c r="J545">
        <v>686.62</v>
      </c>
      <c r="K545">
        <v>-258.88</v>
      </c>
      <c r="L545">
        <v>-1</v>
      </c>
      <c r="M545">
        <v>0</v>
      </c>
      <c r="N545" t="s">
        <v>26</v>
      </c>
      <c r="O545">
        <v>0</v>
      </c>
      <c r="P545" t="s">
        <v>1442</v>
      </c>
      <c r="Q545">
        <v>0</v>
      </c>
      <c r="R545" t="s">
        <v>1067</v>
      </c>
      <c r="S545" t="s">
        <v>1068</v>
      </c>
      <c r="T545" t="s">
        <v>1442</v>
      </c>
      <c r="U545" t="s">
        <v>1442</v>
      </c>
      <c r="V545" t="s">
        <v>1442</v>
      </c>
      <c r="W545" t="s">
        <v>1442</v>
      </c>
    </row>
    <row r="546" spans="1:23" x14ac:dyDescent="0.25">
      <c r="A546" s="39">
        <v>46178.931478368097</v>
      </c>
      <c r="B546" s="40">
        <v>46178</v>
      </c>
      <c r="C546" t="s">
        <v>23</v>
      </c>
      <c r="D546" t="s">
        <v>30</v>
      </c>
      <c r="E546" t="s">
        <v>31</v>
      </c>
      <c r="F546" t="s">
        <v>464</v>
      </c>
      <c r="G546" t="s">
        <v>799</v>
      </c>
      <c r="H546" t="s">
        <v>800</v>
      </c>
      <c r="I546">
        <v>0.72223000000000004</v>
      </c>
      <c r="J546">
        <v>138.44</v>
      </c>
      <c r="K546">
        <v>-99.99</v>
      </c>
      <c r="L546">
        <v>-1</v>
      </c>
      <c r="M546">
        <v>0</v>
      </c>
      <c r="N546" t="s">
        <v>26</v>
      </c>
      <c r="O546">
        <v>0</v>
      </c>
      <c r="P546" t="s">
        <v>1442</v>
      </c>
      <c r="Q546">
        <v>0</v>
      </c>
      <c r="R546" t="s">
        <v>1069</v>
      </c>
      <c r="S546" t="s">
        <v>1070</v>
      </c>
      <c r="T546" t="s">
        <v>1442</v>
      </c>
      <c r="U546" t="s">
        <v>1442</v>
      </c>
      <c r="V546" t="s">
        <v>1442</v>
      </c>
      <c r="W546" t="s">
        <v>1442</v>
      </c>
    </row>
    <row r="547" spans="1:23" x14ac:dyDescent="0.25">
      <c r="A547" s="39">
        <v>46178.932106979199</v>
      </c>
      <c r="B547" s="40">
        <v>46178</v>
      </c>
      <c r="C547" t="s">
        <v>23</v>
      </c>
      <c r="D547" t="s">
        <v>30</v>
      </c>
      <c r="E547" t="s">
        <v>82</v>
      </c>
      <c r="F547" t="s">
        <v>32</v>
      </c>
      <c r="G547" t="s">
        <v>937</v>
      </c>
      <c r="H547" t="s">
        <v>938</v>
      </c>
      <c r="I547">
        <v>-0.73486200000000002</v>
      </c>
      <c r="J547">
        <v>3.782</v>
      </c>
      <c r="K547">
        <v>2.78</v>
      </c>
      <c r="L547">
        <v>0</v>
      </c>
      <c r="M547">
        <v>0</v>
      </c>
      <c r="N547" t="s">
        <v>26</v>
      </c>
      <c r="O547">
        <v>0</v>
      </c>
      <c r="P547" t="s">
        <v>1442</v>
      </c>
      <c r="Q547">
        <v>0</v>
      </c>
      <c r="R547" t="s">
        <v>1071</v>
      </c>
      <c r="S547" t="s">
        <v>1072</v>
      </c>
      <c r="T547" t="s">
        <v>1442</v>
      </c>
      <c r="U547" t="s">
        <v>1442</v>
      </c>
      <c r="V547" t="s">
        <v>1442</v>
      </c>
      <c r="W547" t="s">
        <v>1442</v>
      </c>
    </row>
    <row r="548" spans="1:23" x14ac:dyDescent="0.25">
      <c r="A548" s="39">
        <v>46178.932107036999</v>
      </c>
      <c r="B548" s="40">
        <v>46178</v>
      </c>
      <c r="C548" t="s">
        <v>23</v>
      </c>
      <c r="D548" t="s">
        <v>30</v>
      </c>
      <c r="E548" t="s">
        <v>82</v>
      </c>
      <c r="F548" t="s">
        <v>32</v>
      </c>
      <c r="G548" t="s">
        <v>937</v>
      </c>
      <c r="H548" t="s">
        <v>938</v>
      </c>
      <c r="I548">
        <v>-38</v>
      </c>
      <c r="J548">
        <v>3.782</v>
      </c>
      <c r="K548">
        <v>143.72</v>
      </c>
      <c r="L548">
        <v>-1</v>
      </c>
      <c r="M548">
        <v>0</v>
      </c>
      <c r="N548" t="s">
        <v>26</v>
      </c>
      <c r="O548">
        <v>0</v>
      </c>
      <c r="P548" t="s">
        <v>1442</v>
      </c>
      <c r="Q548">
        <v>0</v>
      </c>
      <c r="R548" t="s">
        <v>1073</v>
      </c>
      <c r="S548" t="s">
        <v>1074</v>
      </c>
      <c r="T548" t="s">
        <v>1442</v>
      </c>
      <c r="U548" t="s">
        <v>1442</v>
      </c>
      <c r="V548" t="s">
        <v>1442</v>
      </c>
      <c r="W548" t="s">
        <v>1442</v>
      </c>
    </row>
    <row r="549" spans="1:23" x14ac:dyDescent="0.25">
      <c r="A549" s="39">
        <v>46178.933205127301</v>
      </c>
      <c r="B549" s="40">
        <v>46178</v>
      </c>
      <c r="C549" t="s">
        <v>23</v>
      </c>
      <c r="D549" t="s">
        <v>30</v>
      </c>
      <c r="E549" t="s">
        <v>31</v>
      </c>
      <c r="F549" t="s">
        <v>32</v>
      </c>
      <c r="G549" t="s">
        <v>154</v>
      </c>
      <c r="H549" t="s">
        <v>155</v>
      </c>
      <c r="I549">
        <v>3</v>
      </c>
      <c r="J549">
        <v>20.440000000000001</v>
      </c>
      <c r="K549">
        <v>-61.32</v>
      </c>
      <c r="L549">
        <v>-1</v>
      </c>
      <c r="M549">
        <v>0</v>
      </c>
      <c r="N549" t="s">
        <v>26</v>
      </c>
      <c r="O549">
        <v>0</v>
      </c>
      <c r="P549" t="s">
        <v>1442</v>
      </c>
      <c r="Q549">
        <v>0</v>
      </c>
      <c r="R549" t="s">
        <v>929</v>
      </c>
      <c r="S549" t="s">
        <v>1075</v>
      </c>
      <c r="T549" t="s">
        <v>1442</v>
      </c>
      <c r="U549" t="s">
        <v>1442</v>
      </c>
      <c r="V549" t="s">
        <v>1442</v>
      </c>
      <c r="W549" t="s">
        <v>1442</v>
      </c>
    </row>
    <row r="550" spans="1:23" x14ac:dyDescent="0.25">
      <c r="A550" s="39">
        <v>46178.934394131902</v>
      </c>
      <c r="B550" s="40">
        <v>46178</v>
      </c>
      <c r="C550" t="s">
        <v>23</v>
      </c>
      <c r="D550" t="s">
        <v>30</v>
      </c>
      <c r="E550" t="s">
        <v>31</v>
      </c>
      <c r="F550" t="s">
        <v>464</v>
      </c>
      <c r="G550" t="s">
        <v>994</v>
      </c>
      <c r="H550" t="s">
        <v>995</v>
      </c>
      <c r="I550">
        <v>1</v>
      </c>
      <c r="J550">
        <v>93.54</v>
      </c>
      <c r="K550">
        <v>-93.54</v>
      </c>
      <c r="L550">
        <v>-1</v>
      </c>
      <c r="M550">
        <v>0</v>
      </c>
      <c r="N550" t="s">
        <v>26</v>
      </c>
      <c r="O550">
        <v>0</v>
      </c>
      <c r="P550" t="s">
        <v>1442</v>
      </c>
      <c r="Q550">
        <v>0</v>
      </c>
      <c r="R550" t="s">
        <v>1076</v>
      </c>
      <c r="S550" t="s">
        <v>1077</v>
      </c>
      <c r="T550" t="s">
        <v>1442</v>
      </c>
      <c r="U550" t="s">
        <v>1442</v>
      </c>
      <c r="V550" t="s">
        <v>1442</v>
      </c>
      <c r="W550" t="s">
        <v>1442</v>
      </c>
    </row>
    <row r="551" spans="1:23" x14ac:dyDescent="0.25">
      <c r="A551" s="39">
        <v>46178.937073923596</v>
      </c>
      <c r="B551" s="40">
        <v>46178</v>
      </c>
      <c r="C551" t="s">
        <v>23</v>
      </c>
      <c r="D551" t="s">
        <v>30</v>
      </c>
      <c r="E551" t="s">
        <v>31</v>
      </c>
      <c r="F551" t="s">
        <v>464</v>
      </c>
      <c r="G551" t="s">
        <v>1011</v>
      </c>
      <c r="H551" t="s">
        <v>1012</v>
      </c>
      <c r="I551">
        <v>1.117443</v>
      </c>
      <c r="J551">
        <v>44.75</v>
      </c>
      <c r="K551">
        <v>-50.01</v>
      </c>
      <c r="L551">
        <v>-1</v>
      </c>
      <c r="M551">
        <v>0</v>
      </c>
      <c r="N551" t="s">
        <v>26</v>
      </c>
      <c r="O551">
        <v>0</v>
      </c>
      <c r="P551" t="s">
        <v>1442</v>
      </c>
      <c r="Q551">
        <v>0</v>
      </c>
      <c r="R551" t="s">
        <v>1078</v>
      </c>
      <c r="S551" t="s">
        <v>1079</v>
      </c>
      <c r="T551" t="s">
        <v>1442</v>
      </c>
      <c r="U551" t="s">
        <v>1442</v>
      </c>
      <c r="V551" t="s">
        <v>1442</v>
      </c>
      <c r="W551" t="s">
        <v>1442</v>
      </c>
    </row>
    <row r="552" spans="1:23" x14ac:dyDescent="0.25">
      <c r="A552" s="39">
        <v>46178.937667708298</v>
      </c>
      <c r="B552" s="40">
        <v>46178</v>
      </c>
      <c r="C552" t="s">
        <v>23</v>
      </c>
      <c r="D552" t="s">
        <v>30</v>
      </c>
      <c r="E552" t="s">
        <v>31</v>
      </c>
      <c r="F552" t="s">
        <v>32</v>
      </c>
      <c r="G552" t="s">
        <v>211</v>
      </c>
      <c r="H552" t="s">
        <v>212</v>
      </c>
      <c r="I552">
        <v>9</v>
      </c>
      <c r="J552">
        <v>3.6</v>
      </c>
      <c r="K552">
        <v>-32.4</v>
      </c>
      <c r="L552">
        <v>-1</v>
      </c>
      <c r="M552">
        <v>0</v>
      </c>
      <c r="N552" t="s">
        <v>26</v>
      </c>
      <c r="O552">
        <v>0</v>
      </c>
      <c r="P552" t="s">
        <v>1442</v>
      </c>
      <c r="Q552">
        <v>0</v>
      </c>
      <c r="R552" t="s">
        <v>1080</v>
      </c>
      <c r="S552" t="s">
        <v>1081</v>
      </c>
      <c r="T552" t="s">
        <v>1442</v>
      </c>
      <c r="U552" t="s">
        <v>1442</v>
      </c>
      <c r="V552" t="s">
        <v>1442</v>
      </c>
      <c r="W552" t="s">
        <v>1442</v>
      </c>
    </row>
    <row r="553" spans="1:23" x14ac:dyDescent="0.25">
      <c r="A553" s="39">
        <v>46178.937667719903</v>
      </c>
      <c r="B553" s="40">
        <v>46178</v>
      </c>
      <c r="C553" t="s">
        <v>23</v>
      </c>
      <c r="D553" t="s">
        <v>30</v>
      </c>
      <c r="E553" t="s">
        <v>31</v>
      </c>
      <c r="F553" t="s">
        <v>32</v>
      </c>
      <c r="G553" t="s">
        <v>211</v>
      </c>
      <c r="H553" t="s">
        <v>212</v>
      </c>
      <c r="I553">
        <v>0.44444400000000001</v>
      </c>
      <c r="J553">
        <v>3.6</v>
      </c>
      <c r="K553">
        <v>-1.6</v>
      </c>
      <c r="L553">
        <v>0</v>
      </c>
      <c r="M553">
        <v>0</v>
      </c>
      <c r="N553" t="s">
        <v>26</v>
      </c>
      <c r="O553">
        <v>0</v>
      </c>
      <c r="P553" t="s">
        <v>1442</v>
      </c>
      <c r="Q553">
        <v>0</v>
      </c>
      <c r="R553" t="s">
        <v>1082</v>
      </c>
      <c r="S553" t="s">
        <v>1083</v>
      </c>
      <c r="T553" t="s">
        <v>1442</v>
      </c>
      <c r="U553" t="s">
        <v>1442</v>
      </c>
      <c r="V553" t="s">
        <v>1442</v>
      </c>
      <c r="W553" t="s">
        <v>1442</v>
      </c>
    </row>
    <row r="554" spans="1:23" x14ac:dyDescent="0.25">
      <c r="A554" s="39">
        <v>46178.943812303201</v>
      </c>
      <c r="B554" s="40">
        <v>46178</v>
      </c>
      <c r="C554" t="s">
        <v>23</v>
      </c>
      <c r="D554" t="s">
        <v>24</v>
      </c>
      <c r="E554" t="s">
        <v>25</v>
      </c>
      <c r="F554" t="s">
        <v>1442</v>
      </c>
      <c r="G554" t="s">
        <v>774</v>
      </c>
      <c r="H554" t="s">
        <v>1442</v>
      </c>
      <c r="I554">
        <v>0</v>
      </c>
      <c r="J554">
        <v>0</v>
      </c>
      <c r="K554">
        <v>34</v>
      </c>
      <c r="L554">
        <v>0</v>
      </c>
      <c r="M554">
        <v>0</v>
      </c>
      <c r="N554" t="s">
        <v>26</v>
      </c>
      <c r="O554">
        <v>0</v>
      </c>
      <c r="P554" t="s">
        <v>1442</v>
      </c>
      <c r="Q554">
        <v>0</v>
      </c>
      <c r="R554" t="s">
        <v>246</v>
      </c>
      <c r="S554" t="s">
        <v>1084</v>
      </c>
      <c r="T554" t="s">
        <v>774</v>
      </c>
      <c r="U554" t="s">
        <v>776</v>
      </c>
      <c r="V554" t="s">
        <v>1442</v>
      </c>
      <c r="W554" t="s">
        <v>1442</v>
      </c>
    </row>
    <row r="555" spans="1:23" x14ac:dyDescent="0.25">
      <c r="A555" s="39">
        <v>46178.943869722199</v>
      </c>
      <c r="B555" s="40">
        <v>46178</v>
      </c>
      <c r="C555" t="s">
        <v>23</v>
      </c>
      <c r="D555" t="s">
        <v>30</v>
      </c>
      <c r="E555" t="s">
        <v>31</v>
      </c>
      <c r="F555" t="s">
        <v>32</v>
      </c>
      <c r="G555" t="s">
        <v>515</v>
      </c>
      <c r="H555" t="s">
        <v>516</v>
      </c>
      <c r="I555">
        <v>3</v>
      </c>
      <c r="J555">
        <v>11.14</v>
      </c>
      <c r="K555">
        <v>-33.42</v>
      </c>
      <c r="L555">
        <v>-1</v>
      </c>
      <c r="M555">
        <v>0</v>
      </c>
      <c r="N555" t="s">
        <v>26</v>
      </c>
      <c r="O555">
        <v>0</v>
      </c>
      <c r="P555" t="s">
        <v>1442</v>
      </c>
      <c r="Q555">
        <v>0</v>
      </c>
      <c r="R555" t="s">
        <v>1085</v>
      </c>
      <c r="S555" t="s">
        <v>1086</v>
      </c>
      <c r="T555" t="s">
        <v>1442</v>
      </c>
      <c r="U555" t="s">
        <v>1442</v>
      </c>
      <c r="V555" t="s">
        <v>1442</v>
      </c>
      <c r="W555" t="s">
        <v>1442</v>
      </c>
    </row>
    <row r="556" spans="1:23" x14ac:dyDescent="0.25">
      <c r="A556" s="39">
        <v>46178.956111168998</v>
      </c>
      <c r="B556" s="40">
        <v>46178</v>
      </c>
      <c r="C556" t="s">
        <v>23</v>
      </c>
      <c r="D556" t="s">
        <v>24</v>
      </c>
      <c r="E556" t="s">
        <v>25</v>
      </c>
      <c r="F556" t="s">
        <v>1442</v>
      </c>
      <c r="G556" t="s">
        <v>774</v>
      </c>
      <c r="H556" t="s">
        <v>1442</v>
      </c>
      <c r="I556">
        <v>0</v>
      </c>
      <c r="J556">
        <v>0</v>
      </c>
      <c r="K556">
        <v>51</v>
      </c>
      <c r="L556">
        <v>0</v>
      </c>
      <c r="M556">
        <v>0</v>
      </c>
      <c r="N556" t="s">
        <v>26</v>
      </c>
      <c r="O556">
        <v>0</v>
      </c>
      <c r="P556" t="s">
        <v>1442</v>
      </c>
      <c r="Q556">
        <v>0</v>
      </c>
      <c r="R556" t="s">
        <v>246</v>
      </c>
      <c r="S556" t="s">
        <v>1087</v>
      </c>
      <c r="T556" t="s">
        <v>774</v>
      </c>
      <c r="U556" t="s">
        <v>776</v>
      </c>
      <c r="V556" t="s">
        <v>1442</v>
      </c>
      <c r="W556" t="s">
        <v>1442</v>
      </c>
    </row>
    <row r="557" spans="1:23" x14ac:dyDescent="0.25">
      <c r="A557" s="39">
        <v>46178.956170370402</v>
      </c>
      <c r="B557" s="40">
        <v>46178</v>
      </c>
      <c r="C557" t="s">
        <v>23</v>
      </c>
      <c r="D557" t="s">
        <v>30</v>
      </c>
      <c r="E557" t="s">
        <v>31</v>
      </c>
      <c r="F557" t="s">
        <v>464</v>
      </c>
      <c r="G557" t="s">
        <v>1018</v>
      </c>
      <c r="H557" t="s">
        <v>1019</v>
      </c>
      <c r="I557">
        <v>0.94357400000000002</v>
      </c>
      <c r="J557">
        <v>52.89</v>
      </c>
      <c r="K557">
        <v>-49.91</v>
      </c>
      <c r="L557">
        <v>-1</v>
      </c>
      <c r="M557">
        <v>0</v>
      </c>
      <c r="N557" t="s">
        <v>26</v>
      </c>
      <c r="O557">
        <v>0</v>
      </c>
      <c r="P557" t="s">
        <v>1442</v>
      </c>
      <c r="Q557">
        <v>0</v>
      </c>
      <c r="R557" t="s">
        <v>1088</v>
      </c>
      <c r="S557" t="s">
        <v>1089</v>
      </c>
      <c r="T557" t="s">
        <v>1442</v>
      </c>
      <c r="U557" t="s">
        <v>1442</v>
      </c>
      <c r="V557" t="s">
        <v>1442</v>
      </c>
      <c r="W557" t="s">
        <v>1442</v>
      </c>
    </row>
    <row r="558" spans="1:23" x14ac:dyDescent="0.25">
      <c r="A558" s="39">
        <v>46179.340913437503</v>
      </c>
      <c r="B558" s="40">
        <v>46179</v>
      </c>
      <c r="C558" t="s">
        <v>23</v>
      </c>
      <c r="D558" t="s">
        <v>24</v>
      </c>
      <c r="E558" t="s">
        <v>25</v>
      </c>
      <c r="F558" t="s">
        <v>1442</v>
      </c>
      <c r="G558" t="s">
        <v>774</v>
      </c>
      <c r="H558" t="s">
        <v>1442</v>
      </c>
      <c r="I558">
        <v>0</v>
      </c>
      <c r="J558">
        <v>0</v>
      </c>
      <c r="K558">
        <v>55</v>
      </c>
      <c r="L558">
        <v>0</v>
      </c>
      <c r="M558">
        <v>0</v>
      </c>
      <c r="N558" t="s">
        <v>26</v>
      </c>
      <c r="O558">
        <v>0</v>
      </c>
      <c r="P558" t="s">
        <v>1442</v>
      </c>
      <c r="Q558">
        <v>0</v>
      </c>
      <c r="R558" t="s">
        <v>246</v>
      </c>
      <c r="S558" t="s">
        <v>1090</v>
      </c>
      <c r="T558" t="s">
        <v>774</v>
      </c>
      <c r="U558" t="s">
        <v>776</v>
      </c>
      <c r="V558" t="s">
        <v>1442</v>
      </c>
      <c r="W558" t="s">
        <v>1442</v>
      </c>
    </row>
    <row r="559" spans="1:23" x14ac:dyDescent="0.25">
      <c r="A559" s="39">
        <v>46179.340965543997</v>
      </c>
      <c r="B559" s="40">
        <v>46179</v>
      </c>
      <c r="C559" t="s">
        <v>23</v>
      </c>
      <c r="D559" t="s">
        <v>30</v>
      </c>
      <c r="E559" t="s">
        <v>31</v>
      </c>
      <c r="F559" t="s">
        <v>64</v>
      </c>
      <c r="G559" t="s">
        <v>65</v>
      </c>
      <c r="H559" t="s">
        <v>66</v>
      </c>
      <c r="I559">
        <v>1</v>
      </c>
      <c r="J559">
        <v>54.796999999999997</v>
      </c>
      <c r="K559">
        <v>-54.8</v>
      </c>
      <c r="L559">
        <v>-1</v>
      </c>
      <c r="M559">
        <v>0</v>
      </c>
      <c r="N559" t="s">
        <v>26</v>
      </c>
      <c r="O559">
        <v>0</v>
      </c>
      <c r="P559" t="s">
        <v>1442</v>
      </c>
      <c r="Q559">
        <v>0</v>
      </c>
      <c r="R559" t="s">
        <v>572</v>
      </c>
      <c r="S559" t="s">
        <v>1091</v>
      </c>
      <c r="T559" t="s">
        <v>1442</v>
      </c>
      <c r="U559" t="s">
        <v>1442</v>
      </c>
      <c r="V559" t="s">
        <v>1442</v>
      </c>
      <c r="W559" t="s">
        <v>1442</v>
      </c>
    </row>
    <row r="560" spans="1:23" x14ac:dyDescent="0.25">
      <c r="A560" s="39">
        <v>46182.828904143498</v>
      </c>
      <c r="B560" s="40">
        <v>46182</v>
      </c>
      <c r="C560" t="s">
        <v>23</v>
      </c>
      <c r="D560" t="s">
        <v>24</v>
      </c>
      <c r="E560" t="s">
        <v>25</v>
      </c>
      <c r="F560" t="s">
        <v>1442</v>
      </c>
      <c r="G560" t="s">
        <v>774</v>
      </c>
      <c r="H560" t="s">
        <v>1442</v>
      </c>
      <c r="I560">
        <v>0</v>
      </c>
      <c r="J560">
        <v>0</v>
      </c>
      <c r="K560">
        <v>47</v>
      </c>
      <c r="L560">
        <v>0</v>
      </c>
      <c r="M560">
        <v>0</v>
      </c>
      <c r="N560" t="s">
        <v>26</v>
      </c>
      <c r="O560">
        <v>0</v>
      </c>
      <c r="P560" t="s">
        <v>1442</v>
      </c>
      <c r="Q560">
        <v>0</v>
      </c>
      <c r="R560" t="s">
        <v>246</v>
      </c>
      <c r="S560" t="s">
        <v>1092</v>
      </c>
      <c r="T560" t="s">
        <v>774</v>
      </c>
      <c r="U560" t="s">
        <v>776</v>
      </c>
      <c r="V560" t="s">
        <v>1442</v>
      </c>
      <c r="W560" t="s">
        <v>1442</v>
      </c>
    </row>
    <row r="561" spans="1:23" x14ac:dyDescent="0.25">
      <c r="A561" s="39">
        <v>46182.8813433912</v>
      </c>
      <c r="B561" s="40">
        <v>46182</v>
      </c>
      <c r="C561" t="s">
        <v>23</v>
      </c>
      <c r="D561" t="s">
        <v>24</v>
      </c>
      <c r="E561" t="s">
        <v>161</v>
      </c>
      <c r="F561" t="s">
        <v>1442</v>
      </c>
      <c r="G561" t="s">
        <v>774</v>
      </c>
      <c r="H561" t="s">
        <v>1442</v>
      </c>
      <c r="I561">
        <v>0</v>
      </c>
      <c r="J561">
        <v>0</v>
      </c>
      <c r="K561">
        <v>-47.23</v>
      </c>
      <c r="L561">
        <v>0</v>
      </c>
      <c r="M561">
        <v>0</v>
      </c>
      <c r="N561" t="s">
        <v>26</v>
      </c>
      <c r="O561">
        <v>0</v>
      </c>
      <c r="P561" t="s">
        <v>1442</v>
      </c>
      <c r="Q561">
        <v>0</v>
      </c>
      <c r="R561" t="s">
        <v>397</v>
      </c>
      <c r="S561" t="s">
        <v>1093</v>
      </c>
      <c r="T561" t="s">
        <v>774</v>
      </c>
      <c r="U561" t="s">
        <v>776</v>
      </c>
      <c r="V561" t="s">
        <v>1442</v>
      </c>
      <c r="W561" t="s">
        <v>1442</v>
      </c>
    </row>
    <row r="562" spans="1:23" x14ac:dyDescent="0.25">
      <c r="A562" s="39">
        <v>46184.823018668998</v>
      </c>
      <c r="B562" s="40">
        <v>46184</v>
      </c>
      <c r="C562" t="s">
        <v>23</v>
      </c>
      <c r="D562" t="s">
        <v>24</v>
      </c>
      <c r="E562" t="s">
        <v>25</v>
      </c>
      <c r="F562" t="s">
        <v>1442</v>
      </c>
      <c r="G562" t="s">
        <v>807</v>
      </c>
      <c r="H562" t="s">
        <v>1442</v>
      </c>
      <c r="I562">
        <v>0</v>
      </c>
      <c r="J562">
        <v>0</v>
      </c>
      <c r="K562">
        <v>200</v>
      </c>
      <c r="L562">
        <v>0</v>
      </c>
      <c r="M562">
        <v>0</v>
      </c>
      <c r="N562" t="s">
        <v>26</v>
      </c>
      <c r="O562">
        <v>0</v>
      </c>
      <c r="P562" t="s">
        <v>1442</v>
      </c>
      <c r="Q562">
        <v>0</v>
      </c>
      <c r="R562" t="s">
        <v>647</v>
      </c>
      <c r="S562" t="s">
        <v>1094</v>
      </c>
      <c r="T562" t="s">
        <v>807</v>
      </c>
      <c r="U562" t="s">
        <v>809</v>
      </c>
      <c r="V562" t="s">
        <v>1442</v>
      </c>
      <c r="W562" t="s">
        <v>1442</v>
      </c>
    </row>
    <row r="563" spans="1:23" x14ac:dyDescent="0.25">
      <c r="A563" s="39">
        <v>46184.8254243056</v>
      </c>
      <c r="B563" s="40">
        <v>46184</v>
      </c>
      <c r="C563" t="s">
        <v>23</v>
      </c>
      <c r="D563" t="s">
        <v>30</v>
      </c>
      <c r="E563" t="s">
        <v>31</v>
      </c>
      <c r="F563" t="s">
        <v>32</v>
      </c>
      <c r="G563" t="s">
        <v>515</v>
      </c>
      <c r="H563" t="s">
        <v>516</v>
      </c>
      <c r="I563">
        <v>11</v>
      </c>
      <c r="J563">
        <v>9.08</v>
      </c>
      <c r="K563">
        <v>-99.88</v>
      </c>
      <c r="L563">
        <v>-1</v>
      </c>
      <c r="M563">
        <v>0</v>
      </c>
      <c r="N563" t="s">
        <v>26</v>
      </c>
      <c r="O563">
        <v>0</v>
      </c>
      <c r="P563" t="s">
        <v>1442</v>
      </c>
      <c r="Q563">
        <v>0</v>
      </c>
      <c r="R563" t="s">
        <v>1095</v>
      </c>
      <c r="S563" t="s">
        <v>1096</v>
      </c>
      <c r="T563" t="s">
        <v>1442</v>
      </c>
      <c r="U563" t="s">
        <v>1442</v>
      </c>
      <c r="V563" t="s">
        <v>1442</v>
      </c>
      <c r="W563" t="s">
        <v>1442</v>
      </c>
    </row>
    <row r="564" spans="1:23" x14ac:dyDescent="0.25">
      <c r="A564" s="39">
        <v>46184.825681099501</v>
      </c>
      <c r="B564" s="40">
        <v>46184</v>
      </c>
      <c r="C564" t="s">
        <v>23</v>
      </c>
      <c r="D564" t="s">
        <v>30</v>
      </c>
      <c r="E564" t="s">
        <v>31</v>
      </c>
      <c r="F564" t="s">
        <v>32</v>
      </c>
      <c r="G564" t="s">
        <v>167</v>
      </c>
      <c r="H564" t="s">
        <v>168</v>
      </c>
      <c r="I564">
        <v>29</v>
      </c>
      <c r="J564">
        <v>1.6884999999999999</v>
      </c>
      <c r="K564">
        <v>-48.97</v>
      </c>
      <c r="L564">
        <v>-1</v>
      </c>
      <c r="M564">
        <v>0</v>
      </c>
      <c r="N564" t="s">
        <v>26</v>
      </c>
      <c r="O564">
        <v>0</v>
      </c>
      <c r="P564" t="s">
        <v>1442</v>
      </c>
      <c r="Q564">
        <v>0</v>
      </c>
      <c r="R564" t="s">
        <v>1097</v>
      </c>
      <c r="S564" t="s">
        <v>1098</v>
      </c>
      <c r="T564" t="s">
        <v>1442</v>
      </c>
      <c r="U564" t="s">
        <v>1442</v>
      </c>
      <c r="V564" t="s">
        <v>1442</v>
      </c>
      <c r="W564" t="s">
        <v>1442</v>
      </c>
    </row>
    <row r="565" spans="1:23" x14ac:dyDescent="0.25">
      <c r="A565" s="39">
        <v>46184.825681111099</v>
      </c>
      <c r="B565" s="40">
        <v>46184</v>
      </c>
      <c r="C565" t="s">
        <v>23</v>
      </c>
      <c r="D565" t="s">
        <v>30</v>
      </c>
      <c r="E565" t="s">
        <v>31</v>
      </c>
      <c r="F565" t="s">
        <v>32</v>
      </c>
      <c r="G565" t="s">
        <v>167</v>
      </c>
      <c r="H565" t="s">
        <v>168</v>
      </c>
      <c r="I565">
        <v>0.61208099999999999</v>
      </c>
      <c r="J565">
        <v>1.6884999999999999</v>
      </c>
      <c r="K565">
        <v>-1.03</v>
      </c>
      <c r="L565">
        <v>0</v>
      </c>
      <c r="M565">
        <v>0</v>
      </c>
      <c r="N565" t="s">
        <v>26</v>
      </c>
      <c r="O565">
        <v>0</v>
      </c>
      <c r="P565" t="s">
        <v>1442</v>
      </c>
      <c r="Q565">
        <v>0</v>
      </c>
      <c r="R565" t="s">
        <v>1099</v>
      </c>
      <c r="S565" t="s">
        <v>1100</v>
      </c>
      <c r="T565" t="s">
        <v>1442</v>
      </c>
      <c r="U565" t="s">
        <v>1442</v>
      </c>
      <c r="V565" t="s">
        <v>1442</v>
      </c>
      <c r="W565" t="s">
        <v>1442</v>
      </c>
    </row>
    <row r="566" spans="1:23" x14ac:dyDescent="0.25">
      <c r="A566" s="39">
        <v>46184.827821655097</v>
      </c>
      <c r="B566" s="40">
        <v>46184</v>
      </c>
      <c r="C566" t="s">
        <v>23</v>
      </c>
      <c r="D566" t="s">
        <v>30</v>
      </c>
      <c r="E566" t="s">
        <v>31</v>
      </c>
      <c r="F566" t="s">
        <v>32</v>
      </c>
      <c r="G566" t="s">
        <v>211</v>
      </c>
      <c r="H566" t="s">
        <v>212</v>
      </c>
      <c r="I566">
        <v>0.40105499999999999</v>
      </c>
      <c r="J566">
        <v>3.8</v>
      </c>
      <c r="K566">
        <v>-1.52</v>
      </c>
      <c r="L566">
        <v>0</v>
      </c>
      <c r="M566">
        <v>0</v>
      </c>
      <c r="N566" t="s">
        <v>26</v>
      </c>
      <c r="O566">
        <v>0</v>
      </c>
      <c r="P566" t="s">
        <v>1442</v>
      </c>
      <c r="Q566">
        <v>0</v>
      </c>
      <c r="R566" t="s">
        <v>1101</v>
      </c>
      <c r="S566" t="s">
        <v>1102</v>
      </c>
      <c r="T566" t="s">
        <v>1442</v>
      </c>
      <c r="U566" t="s">
        <v>1442</v>
      </c>
      <c r="V566" t="s">
        <v>1442</v>
      </c>
      <c r="W566" t="s">
        <v>1442</v>
      </c>
    </row>
    <row r="567" spans="1:23" x14ac:dyDescent="0.25">
      <c r="A567" s="39">
        <v>46184.827821840299</v>
      </c>
      <c r="B567" s="40">
        <v>46184</v>
      </c>
      <c r="C567" t="s">
        <v>23</v>
      </c>
      <c r="D567" t="s">
        <v>30</v>
      </c>
      <c r="E567" t="s">
        <v>31</v>
      </c>
      <c r="F567" t="s">
        <v>32</v>
      </c>
      <c r="G567" t="s">
        <v>211</v>
      </c>
      <c r="H567" t="s">
        <v>212</v>
      </c>
      <c r="I567">
        <v>12</v>
      </c>
      <c r="J567">
        <v>3.8</v>
      </c>
      <c r="K567">
        <v>-45.6</v>
      </c>
      <c r="L567">
        <v>-1</v>
      </c>
      <c r="M567">
        <v>0</v>
      </c>
      <c r="N567" t="s">
        <v>26</v>
      </c>
      <c r="O567">
        <v>0</v>
      </c>
      <c r="P567" t="s">
        <v>1442</v>
      </c>
      <c r="Q567">
        <v>0</v>
      </c>
      <c r="R567" t="s">
        <v>534</v>
      </c>
      <c r="S567" t="s">
        <v>1103</v>
      </c>
      <c r="T567" t="s">
        <v>1442</v>
      </c>
      <c r="U567" t="s">
        <v>1442</v>
      </c>
      <c r="V567" t="s">
        <v>1442</v>
      </c>
      <c r="W567" t="s">
        <v>1442</v>
      </c>
    </row>
    <row r="568" spans="1:23" x14ac:dyDescent="0.25">
      <c r="A568" s="39">
        <v>46188.724286261597</v>
      </c>
      <c r="B568" s="40">
        <v>46188</v>
      </c>
      <c r="C568" t="s">
        <v>23</v>
      </c>
      <c r="D568" t="s">
        <v>30</v>
      </c>
      <c r="E568" t="s">
        <v>82</v>
      </c>
      <c r="F568" t="s">
        <v>32</v>
      </c>
      <c r="G568" t="s">
        <v>211</v>
      </c>
      <c r="H568" t="s">
        <v>212</v>
      </c>
      <c r="I568">
        <v>-147.77105399999999</v>
      </c>
      <c r="J568">
        <v>4.92</v>
      </c>
      <c r="K568">
        <v>727.03</v>
      </c>
      <c r="L568">
        <v>-1</v>
      </c>
      <c r="M568">
        <v>0</v>
      </c>
      <c r="N568" t="s">
        <v>26</v>
      </c>
      <c r="O568">
        <v>0</v>
      </c>
      <c r="P568" t="s">
        <v>1442</v>
      </c>
      <c r="Q568">
        <v>0</v>
      </c>
      <c r="R568" t="s">
        <v>1104</v>
      </c>
      <c r="S568" t="s">
        <v>1105</v>
      </c>
      <c r="T568" t="s">
        <v>1442</v>
      </c>
      <c r="U568" t="s">
        <v>1442</v>
      </c>
      <c r="V568" t="s">
        <v>1442</v>
      </c>
      <c r="W568" t="s">
        <v>1442</v>
      </c>
    </row>
    <row r="569" spans="1:23" x14ac:dyDescent="0.25">
      <c r="A569" s="39">
        <v>46188.820106319399</v>
      </c>
      <c r="B569" s="40">
        <v>46188</v>
      </c>
      <c r="C569" t="s">
        <v>23</v>
      </c>
      <c r="D569" t="s">
        <v>24</v>
      </c>
      <c r="E569" t="s">
        <v>25</v>
      </c>
      <c r="F569" t="s">
        <v>1442</v>
      </c>
      <c r="G569" t="s">
        <v>774</v>
      </c>
      <c r="H569" t="s">
        <v>1442</v>
      </c>
      <c r="I569">
        <v>0</v>
      </c>
      <c r="J569">
        <v>0</v>
      </c>
      <c r="K569">
        <v>51</v>
      </c>
      <c r="L569">
        <v>0</v>
      </c>
      <c r="M569">
        <v>0</v>
      </c>
      <c r="N569" t="s">
        <v>26</v>
      </c>
      <c r="O569">
        <v>0</v>
      </c>
      <c r="P569" t="s">
        <v>1442</v>
      </c>
      <c r="Q569">
        <v>0</v>
      </c>
      <c r="R569" t="s">
        <v>246</v>
      </c>
      <c r="S569" t="s">
        <v>1106</v>
      </c>
      <c r="T569" t="s">
        <v>774</v>
      </c>
      <c r="U569" t="s">
        <v>776</v>
      </c>
      <c r="V569" t="s">
        <v>1442</v>
      </c>
      <c r="W569" t="s">
        <v>1442</v>
      </c>
    </row>
    <row r="570" spans="1:23" x14ac:dyDescent="0.25">
      <c r="A570" s="39">
        <v>46189.424367129599</v>
      </c>
      <c r="B570" s="40">
        <v>46189</v>
      </c>
      <c r="C570" t="s">
        <v>23</v>
      </c>
      <c r="D570" t="s">
        <v>24</v>
      </c>
      <c r="E570" t="s">
        <v>1107</v>
      </c>
      <c r="F570" t="s">
        <v>1442</v>
      </c>
      <c r="G570" t="s">
        <v>774</v>
      </c>
      <c r="H570" t="s">
        <v>1442</v>
      </c>
      <c r="I570">
        <v>0</v>
      </c>
      <c r="J570">
        <v>0</v>
      </c>
      <c r="K570">
        <v>-726.03</v>
      </c>
      <c r="L570">
        <v>0</v>
      </c>
      <c r="M570">
        <v>0</v>
      </c>
      <c r="N570" t="s">
        <v>26</v>
      </c>
      <c r="O570">
        <v>0</v>
      </c>
      <c r="P570" t="s">
        <v>1442</v>
      </c>
      <c r="Q570">
        <v>0</v>
      </c>
      <c r="R570" t="s">
        <v>397</v>
      </c>
      <c r="S570" t="s">
        <v>1108</v>
      </c>
      <c r="T570" t="s">
        <v>774</v>
      </c>
      <c r="U570" t="s">
        <v>776</v>
      </c>
      <c r="V570" t="s">
        <v>1442</v>
      </c>
      <c r="W570" t="s">
        <v>1442</v>
      </c>
    </row>
    <row r="571" spans="1:23" x14ac:dyDescent="0.25">
      <c r="A571" s="39">
        <v>46189.7624645139</v>
      </c>
      <c r="B571" s="40">
        <v>46189</v>
      </c>
      <c r="C571" t="s">
        <v>23</v>
      </c>
      <c r="D571" t="s">
        <v>24</v>
      </c>
      <c r="E571" t="s">
        <v>25</v>
      </c>
      <c r="F571" t="s">
        <v>1442</v>
      </c>
      <c r="G571" t="s">
        <v>807</v>
      </c>
      <c r="H571" t="s">
        <v>1442</v>
      </c>
      <c r="I571">
        <v>0</v>
      </c>
      <c r="J571">
        <v>0</v>
      </c>
      <c r="K571">
        <v>51</v>
      </c>
      <c r="L571">
        <v>0</v>
      </c>
      <c r="M571">
        <v>0</v>
      </c>
      <c r="N571" t="s">
        <v>26</v>
      </c>
      <c r="O571">
        <v>0</v>
      </c>
      <c r="P571" t="s">
        <v>1442</v>
      </c>
      <c r="Q571">
        <v>0</v>
      </c>
      <c r="R571" t="s">
        <v>647</v>
      </c>
      <c r="S571" t="s">
        <v>1109</v>
      </c>
      <c r="T571" t="s">
        <v>807</v>
      </c>
      <c r="U571" t="s">
        <v>809</v>
      </c>
      <c r="V571" t="s">
        <v>1442</v>
      </c>
      <c r="W571" t="s">
        <v>1442</v>
      </c>
    </row>
    <row r="572" spans="1:23" x14ac:dyDescent="0.25">
      <c r="A572" s="39">
        <v>46189.803727835599</v>
      </c>
      <c r="B572" s="40">
        <v>46189</v>
      </c>
      <c r="C572" t="s">
        <v>23</v>
      </c>
      <c r="D572" t="s">
        <v>30</v>
      </c>
      <c r="E572" t="s">
        <v>31</v>
      </c>
      <c r="F572" t="s">
        <v>464</v>
      </c>
      <c r="G572" t="s">
        <v>948</v>
      </c>
      <c r="H572" t="s">
        <v>949</v>
      </c>
      <c r="I572">
        <v>0.58268200000000003</v>
      </c>
      <c r="J572">
        <v>85.81</v>
      </c>
      <c r="K572">
        <v>-50</v>
      </c>
      <c r="L572">
        <v>-1</v>
      </c>
      <c r="M572">
        <v>0</v>
      </c>
      <c r="N572" t="s">
        <v>26</v>
      </c>
      <c r="O572">
        <v>0</v>
      </c>
      <c r="P572" t="s">
        <v>1442</v>
      </c>
      <c r="Q572">
        <v>0</v>
      </c>
      <c r="R572" t="s">
        <v>1110</v>
      </c>
      <c r="S572" t="s">
        <v>1111</v>
      </c>
      <c r="T572" t="s">
        <v>1442</v>
      </c>
      <c r="U572" t="s">
        <v>1442</v>
      </c>
      <c r="V572" t="s">
        <v>1442</v>
      </c>
      <c r="W572" t="s">
        <v>1442</v>
      </c>
    </row>
    <row r="573" spans="1:23" x14ac:dyDescent="0.25">
      <c r="A573" s="39">
        <v>46189.805898483799</v>
      </c>
      <c r="B573" s="40">
        <v>46189</v>
      </c>
      <c r="C573" t="s">
        <v>23</v>
      </c>
      <c r="D573" t="s">
        <v>30</v>
      </c>
      <c r="E573" t="s">
        <v>31</v>
      </c>
      <c r="F573" t="s">
        <v>464</v>
      </c>
      <c r="G573" t="s">
        <v>1004</v>
      </c>
      <c r="H573" t="s">
        <v>1005</v>
      </c>
      <c r="I573">
        <v>8.7458449999999992</v>
      </c>
      <c r="J573">
        <v>5.6980000000000004</v>
      </c>
      <c r="K573">
        <v>-49.83</v>
      </c>
      <c r="L573">
        <v>-1</v>
      </c>
      <c r="M573">
        <v>0</v>
      </c>
      <c r="N573" t="s">
        <v>26</v>
      </c>
      <c r="O573">
        <v>0</v>
      </c>
      <c r="P573" t="s">
        <v>1442</v>
      </c>
      <c r="Q573">
        <v>0</v>
      </c>
      <c r="R573" t="s">
        <v>1112</v>
      </c>
      <c r="S573" t="s">
        <v>1113</v>
      </c>
      <c r="T573" t="s">
        <v>1442</v>
      </c>
      <c r="U573" t="s">
        <v>1442</v>
      </c>
      <c r="V573" t="s">
        <v>1442</v>
      </c>
      <c r="W573" t="s">
        <v>1442</v>
      </c>
    </row>
    <row r="574" spans="1:23" x14ac:dyDescent="0.25">
      <c r="A574" s="39">
        <v>46195.7291731597</v>
      </c>
      <c r="B574" s="40">
        <v>46195</v>
      </c>
      <c r="C574" t="s">
        <v>23</v>
      </c>
      <c r="D574" t="s">
        <v>24</v>
      </c>
      <c r="E574" t="s">
        <v>25</v>
      </c>
      <c r="F574" t="s">
        <v>1442</v>
      </c>
      <c r="G574" t="s">
        <v>774</v>
      </c>
      <c r="H574" t="s">
        <v>1442</v>
      </c>
      <c r="I574">
        <v>0</v>
      </c>
      <c r="J574">
        <v>0</v>
      </c>
      <c r="K574">
        <v>66</v>
      </c>
      <c r="L574">
        <v>0</v>
      </c>
      <c r="M574">
        <v>0</v>
      </c>
      <c r="N574" t="s">
        <v>26</v>
      </c>
      <c r="O574">
        <v>0</v>
      </c>
      <c r="P574" t="s">
        <v>1442</v>
      </c>
      <c r="Q574">
        <v>0</v>
      </c>
      <c r="R574" t="s">
        <v>246</v>
      </c>
      <c r="S574" t="s">
        <v>1114</v>
      </c>
      <c r="T574" t="s">
        <v>774</v>
      </c>
      <c r="U574" t="s">
        <v>776</v>
      </c>
      <c r="V574" t="s">
        <v>1442</v>
      </c>
      <c r="W574" t="s">
        <v>1442</v>
      </c>
    </row>
    <row r="575" spans="1:23" x14ac:dyDescent="0.25">
      <c r="A575" s="39">
        <v>46195.729271134303</v>
      </c>
      <c r="B575" s="40">
        <v>46195</v>
      </c>
      <c r="C575" t="s">
        <v>23</v>
      </c>
      <c r="D575" t="s">
        <v>30</v>
      </c>
      <c r="E575" t="s">
        <v>31</v>
      </c>
      <c r="F575" t="s">
        <v>32</v>
      </c>
      <c r="G575" t="s">
        <v>747</v>
      </c>
      <c r="H575" t="s">
        <v>748</v>
      </c>
      <c r="I575">
        <v>1</v>
      </c>
      <c r="J575">
        <v>64.5</v>
      </c>
      <c r="K575">
        <v>-64.5</v>
      </c>
      <c r="L575">
        <v>-1</v>
      </c>
      <c r="M575">
        <v>0</v>
      </c>
      <c r="N575" t="s">
        <v>26</v>
      </c>
      <c r="O575">
        <v>0</v>
      </c>
      <c r="P575" t="s">
        <v>1442</v>
      </c>
      <c r="Q575">
        <v>0</v>
      </c>
      <c r="R575" t="s">
        <v>878</v>
      </c>
      <c r="S575" t="s">
        <v>1115</v>
      </c>
      <c r="T575" t="s">
        <v>1442</v>
      </c>
      <c r="U575" t="s">
        <v>1442</v>
      </c>
      <c r="V575" t="s">
        <v>1442</v>
      </c>
      <c r="W575" t="s">
        <v>1442</v>
      </c>
    </row>
    <row r="576" spans="1:23" x14ac:dyDescent="0.25">
      <c r="A576" s="39">
        <v>46196.468794594897</v>
      </c>
      <c r="B576" s="40">
        <v>46196</v>
      </c>
      <c r="C576" t="s">
        <v>23</v>
      </c>
      <c r="D576" t="s">
        <v>24</v>
      </c>
      <c r="E576" t="s">
        <v>25</v>
      </c>
      <c r="F576" t="s">
        <v>1442</v>
      </c>
      <c r="G576" t="s">
        <v>807</v>
      </c>
      <c r="H576" t="s">
        <v>1442</v>
      </c>
      <c r="I576">
        <v>0</v>
      </c>
      <c r="J576">
        <v>0</v>
      </c>
      <c r="K576">
        <v>51</v>
      </c>
      <c r="L576">
        <v>0</v>
      </c>
      <c r="M576">
        <v>0</v>
      </c>
      <c r="N576" t="s">
        <v>26</v>
      </c>
      <c r="O576">
        <v>0</v>
      </c>
      <c r="P576" t="s">
        <v>1442</v>
      </c>
      <c r="Q576">
        <v>0</v>
      </c>
      <c r="R576" t="s">
        <v>647</v>
      </c>
      <c r="S576" t="s">
        <v>1116</v>
      </c>
      <c r="T576" t="s">
        <v>807</v>
      </c>
      <c r="U576" t="s">
        <v>809</v>
      </c>
      <c r="V576" t="s">
        <v>1442</v>
      </c>
      <c r="W576" t="s">
        <v>1442</v>
      </c>
    </row>
    <row r="577" spans="1:23" x14ac:dyDescent="0.25">
      <c r="A577" s="39">
        <v>46196.469075902802</v>
      </c>
      <c r="B577" s="40">
        <v>46196</v>
      </c>
      <c r="C577" t="s">
        <v>23</v>
      </c>
      <c r="D577" t="s">
        <v>30</v>
      </c>
      <c r="E577" t="s">
        <v>31</v>
      </c>
      <c r="F577" t="s">
        <v>464</v>
      </c>
      <c r="G577" t="s">
        <v>948</v>
      </c>
      <c r="H577" t="s">
        <v>949</v>
      </c>
      <c r="I577">
        <v>0.63123300000000004</v>
      </c>
      <c r="J577">
        <v>79.19</v>
      </c>
      <c r="K577">
        <v>-49.99</v>
      </c>
      <c r="L577">
        <v>-1</v>
      </c>
      <c r="M577">
        <v>0</v>
      </c>
      <c r="N577" t="s">
        <v>26</v>
      </c>
      <c r="O577">
        <v>0</v>
      </c>
      <c r="P577" t="s">
        <v>1442</v>
      </c>
      <c r="Q577">
        <v>0</v>
      </c>
      <c r="R577" t="s">
        <v>1117</v>
      </c>
      <c r="S577" t="s">
        <v>1118</v>
      </c>
      <c r="T577" t="s">
        <v>1442</v>
      </c>
      <c r="U577" t="s">
        <v>1442</v>
      </c>
      <c r="V577" t="s">
        <v>1442</v>
      </c>
      <c r="W577" t="s">
        <v>1442</v>
      </c>
    </row>
    <row r="578" spans="1:23" x14ac:dyDescent="0.25">
      <c r="A578" s="39">
        <v>46196.471251713003</v>
      </c>
      <c r="B578" s="40">
        <v>46196</v>
      </c>
      <c r="C578" t="s">
        <v>23</v>
      </c>
      <c r="D578" t="s">
        <v>24</v>
      </c>
      <c r="E578" t="s">
        <v>25</v>
      </c>
      <c r="F578" t="s">
        <v>1442</v>
      </c>
      <c r="G578" t="s">
        <v>774</v>
      </c>
      <c r="H578" t="s">
        <v>1442</v>
      </c>
      <c r="I578">
        <v>0</v>
      </c>
      <c r="J578">
        <v>0</v>
      </c>
      <c r="K578">
        <v>51</v>
      </c>
      <c r="L578">
        <v>0</v>
      </c>
      <c r="M578">
        <v>0</v>
      </c>
      <c r="N578" t="s">
        <v>26</v>
      </c>
      <c r="O578">
        <v>0</v>
      </c>
      <c r="P578" t="s">
        <v>1442</v>
      </c>
      <c r="Q578">
        <v>0</v>
      </c>
      <c r="R578" t="s">
        <v>246</v>
      </c>
      <c r="S578" t="s">
        <v>1119</v>
      </c>
      <c r="T578" t="s">
        <v>774</v>
      </c>
      <c r="U578" t="s">
        <v>776</v>
      </c>
      <c r="V578" t="s">
        <v>1442</v>
      </c>
      <c r="W578" t="s">
        <v>1442</v>
      </c>
    </row>
    <row r="579" spans="1:23" x14ac:dyDescent="0.25">
      <c r="A579" s="39">
        <v>46196.471315578703</v>
      </c>
      <c r="B579" s="40">
        <v>46196</v>
      </c>
      <c r="C579" t="s">
        <v>23</v>
      </c>
      <c r="D579" t="s">
        <v>30</v>
      </c>
      <c r="E579" t="s">
        <v>31</v>
      </c>
      <c r="F579" t="s">
        <v>464</v>
      </c>
      <c r="G579" t="s">
        <v>1004</v>
      </c>
      <c r="H579" t="s">
        <v>1005</v>
      </c>
      <c r="I579">
        <v>9.2867750000000004</v>
      </c>
      <c r="J579">
        <v>5.3840000000000003</v>
      </c>
      <c r="K579">
        <v>-50</v>
      </c>
      <c r="L579">
        <v>-1</v>
      </c>
      <c r="M579">
        <v>0</v>
      </c>
      <c r="N579" t="s">
        <v>26</v>
      </c>
      <c r="O579">
        <v>0</v>
      </c>
      <c r="P579" t="s">
        <v>1442</v>
      </c>
      <c r="Q579">
        <v>0</v>
      </c>
      <c r="R579" t="s">
        <v>1120</v>
      </c>
      <c r="S579" t="s">
        <v>1121</v>
      </c>
      <c r="T579" t="s">
        <v>1442</v>
      </c>
      <c r="U579" t="s">
        <v>1442</v>
      </c>
      <c r="V579" t="s">
        <v>1442</v>
      </c>
      <c r="W579" t="s">
        <v>1442</v>
      </c>
    </row>
    <row r="580" spans="1:23" x14ac:dyDescent="0.25">
      <c r="A580" s="39">
        <v>46196.679517384298</v>
      </c>
      <c r="B580" s="40">
        <v>46196</v>
      </c>
      <c r="C580" t="s">
        <v>23</v>
      </c>
      <c r="D580" t="s">
        <v>24</v>
      </c>
      <c r="E580" t="s">
        <v>25</v>
      </c>
      <c r="F580" t="s">
        <v>1442</v>
      </c>
      <c r="G580" t="s">
        <v>774</v>
      </c>
      <c r="H580" t="s">
        <v>1442</v>
      </c>
      <c r="I580">
        <v>0</v>
      </c>
      <c r="J580">
        <v>0</v>
      </c>
      <c r="K580">
        <v>51</v>
      </c>
      <c r="L580">
        <v>0</v>
      </c>
      <c r="M580">
        <v>0</v>
      </c>
      <c r="N580" t="s">
        <v>26</v>
      </c>
      <c r="O580">
        <v>0</v>
      </c>
      <c r="P580" t="s">
        <v>1442</v>
      </c>
      <c r="Q580">
        <v>0</v>
      </c>
      <c r="R580" t="s">
        <v>246</v>
      </c>
      <c r="S580" t="s">
        <v>1122</v>
      </c>
      <c r="T580" t="s">
        <v>774</v>
      </c>
      <c r="U580" t="s">
        <v>776</v>
      </c>
      <c r="V580" t="s">
        <v>1442</v>
      </c>
      <c r="W580" t="s">
        <v>1442</v>
      </c>
    </row>
    <row r="581" spans="1:23" x14ac:dyDescent="0.25">
      <c r="A581" s="39">
        <v>46196.679584004603</v>
      </c>
      <c r="B581" s="40">
        <v>46196</v>
      </c>
      <c r="C581" t="s">
        <v>23</v>
      </c>
      <c r="D581" t="s">
        <v>30</v>
      </c>
      <c r="E581" t="s">
        <v>31</v>
      </c>
      <c r="F581" t="s">
        <v>32</v>
      </c>
      <c r="G581" t="s">
        <v>167</v>
      </c>
      <c r="H581" t="s">
        <v>168</v>
      </c>
      <c r="I581">
        <v>31.269542999999999</v>
      </c>
      <c r="J581">
        <v>1.5994999999999999</v>
      </c>
      <c r="K581">
        <v>-50.02</v>
      </c>
      <c r="L581">
        <v>-1</v>
      </c>
      <c r="M581">
        <v>0</v>
      </c>
      <c r="N581" t="s">
        <v>26</v>
      </c>
      <c r="O581">
        <v>0</v>
      </c>
      <c r="P581" t="s">
        <v>1442</v>
      </c>
      <c r="Q581">
        <v>0</v>
      </c>
      <c r="R581" t="s">
        <v>1123</v>
      </c>
      <c r="S581" t="s">
        <v>1124</v>
      </c>
      <c r="T581" t="s">
        <v>1442</v>
      </c>
      <c r="U581" t="s">
        <v>1442</v>
      </c>
      <c r="V581" t="s">
        <v>1442</v>
      </c>
      <c r="W581" t="s">
        <v>1442</v>
      </c>
    </row>
    <row r="582" spans="1:23" x14ac:dyDescent="0.25">
      <c r="A582" s="39">
        <v>46198.409106747698</v>
      </c>
      <c r="B582" s="40">
        <v>46198</v>
      </c>
      <c r="C582" t="s">
        <v>23</v>
      </c>
      <c r="D582" t="s">
        <v>24</v>
      </c>
      <c r="E582" t="s">
        <v>25</v>
      </c>
      <c r="F582" t="s">
        <v>1442</v>
      </c>
      <c r="G582" t="s">
        <v>774</v>
      </c>
      <c r="H582" t="s">
        <v>1442</v>
      </c>
      <c r="I582">
        <v>0</v>
      </c>
      <c r="J582">
        <v>0</v>
      </c>
      <c r="K582">
        <v>51</v>
      </c>
      <c r="L582">
        <v>0</v>
      </c>
      <c r="M582">
        <v>0</v>
      </c>
      <c r="N582" t="s">
        <v>26</v>
      </c>
      <c r="O582">
        <v>0</v>
      </c>
      <c r="P582" t="s">
        <v>1442</v>
      </c>
      <c r="Q582">
        <v>0</v>
      </c>
      <c r="R582" t="s">
        <v>246</v>
      </c>
      <c r="S582" t="s">
        <v>1125</v>
      </c>
      <c r="T582" t="s">
        <v>774</v>
      </c>
      <c r="U582" t="s">
        <v>776</v>
      </c>
      <c r="V582" t="s">
        <v>1442</v>
      </c>
      <c r="W582" t="s">
        <v>1442</v>
      </c>
    </row>
    <row r="583" spans="1:23" x14ac:dyDescent="0.25">
      <c r="A583" s="39">
        <v>46198.410265590297</v>
      </c>
      <c r="B583" s="40">
        <v>46198</v>
      </c>
      <c r="C583" t="s">
        <v>23</v>
      </c>
      <c r="D583" t="s">
        <v>30</v>
      </c>
      <c r="E583" t="s">
        <v>31</v>
      </c>
      <c r="F583" t="s">
        <v>32</v>
      </c>
      <c r="G583" t="s">
        <v>167</v>
      </c>
      <c r="H583" t="s">
        <v>168</v>
      </c>
      <c r="I583">
        <v>34.843204999999998</v>
      </c>
      <c r="J583">
        <v>1.4339999999999999</v>
      </c>
      <c r="K583">
        <v>-49.97</v>
      </c>
      <c r="L583">
        <v>-1</v>
      </c>
      <c r="M583">
        <v>0</v>
      </c>
      <c r="N583" t="s">
        <v>26</v>
      </c>
      <c r="O583">
        <v>0</v>
      </c>
      <c r="P583" t="s">
        <v>1442</v>
      </c>
      <c r="Q583">
        <v>0</v>
      </c>
      <c r="R583" t="s">
        <v>1126</v>
      </c>
      <c r="S583" t="s">
        <v>1127</v>
      </c>
      <c r="T583" t="s">
        <v>1442</v>
      </c>
      <c r="U583" t="s">
        <v>1442</v>
      </c>
      <c r="V583" t="s">
        <v>1442</v>
      </c>
      <c r="W583" t="s">
        <v>1442</v>
      </c>
    </row>
    <row r="584" spans="1:23" x14ac:dyDescent="0.25">
      <c r="A584" s="39">
        <v>46198.678419664298</v>
      </c>
      <c r="B584" s="40">
        <v>46198</v>
      </c>
      <c r="C584" t="s">
        <v>23</v>
      </c>
      <c r="D584" t="s">
        <v>30</v>
      </c>
      <c r="E584" t="s">
        <v>82</v>
      </c>
      <c r="F584" t="s">
        <v>32</v>
      </c>
      <c r="G584" t="s">
        <v>262</v>
      </c>
      <c r="H584" t="s">
        <v>263</v>
      </c>
      <c r="I584">
        <v>-13.410273</v>
      </c>
      <c r="J584">
        <v>46.32</v>
      </c>
      <c r="K584">
        <v>621.16</v>
      </c>
      <c r="L584">
        <v>-1</v>
      </c>
      <c r="M584">
        <v>0</v>
      </c>
      <c r="N584" t="s">
        <v>26</v>
      </c>
      <c r="O584">
        <v>0</v>
      </c>
      <c r="P584" t="s">
        <v>1442</v>
      </c>
      <c r="Q584">
        <v>0</v>
      </c>
      <c r="R584" t="s">
        <v>1128</v>
      </c>
      <c r="S584" t="s">
        <v>1129</v>
      </c>
      <c r="T584" t="s">
        <v>1442</v>
      </c>
      <c r="U584" t="s">
        <v>1442</v>
      </c>
      <c r="V584" t="s">
        <v>1442</v>
      </c>
      <c r="W584" t="s">
        <v>1442</v>
      </c>
    </row>
    <row r="585" spans="1:23" x14ac:dyDescent="0.25">
      <c r="A585" s="39">
        <v>46198.814820208303</v>
      </c>
      <c r="B585" s="40">
        <v>46198</v>
      </c>
      <c r="C585" t="s">
        <v>23</v>
      </c>
      <c r="D585" t="s">
        <v>30</v>
      </c>
      <c r="E585" t="s">
        <v>31</v>
      </c>
      <c r="F585" t="s">
        <v>464</v>
      </c>
      <c r="G585" t="s">
        <v>1018</v>
      </c>
      <c r="H585" t="s">
        <v>1019</v>
      </c>
      <c r="I585">
        <v>1.021137</v>
      </c>
      <c r="J585">
        <v>49.045000000000002</v>
      </c>
      <c r="K585">
        <v>-50.08</v>
      </c>
      <c r="L585">
        <v>-1</v>
      </c>
      <c r="M585">
        <v>0</v>
      </c>
      <c r="N585" t="s">
        <v>26</v>
      </c>
      <c r="O585">
        <v>0</v>
      </c>
      <c r="P585" t="s">
        <v>1442</v>
      </c>
      <c r="Q585">
        <v>0</v>
      </c>
      <c r="R585" t="s">
        <v>1130</v>
      </c>
      <c r="S585" t="s">
        <v>1131</v>
      </c>
      <c r="T585" t="s">
        <v>1442</v>
      </c>
      <c r="U585" t="s">
        <v>1442</v>
      </c>
      <c r="V585" t="s">
        <v>1442</v>
      </c>
      <c r="W585" t="s">
        <v>1442</v>
      </c>
    </row>
    <row r="586" spans="1:23" x14ac:dyDescent="0.25">
      <c r="A586" s="39">
        <v>46198.815215567098</v>
      </c>
      <c r="B586" s="40">
        <v>46198</v>
      </c>
      <c r="C586" t="s">
        <v>23</v>
      </c>
      <c r="D586" t="s">
        <v>30</v>
      </c>
      <c r="E586" t="s">
        <v>31</v>
      </c>
      <c r="F586" t="s">
        <v>464</v>
      </c>
      <c r="G586" t="s">
        <v>1004</v>
      </c>
      <c r="H586" t="s">
        <v>1005</v>
      </c>
      <c r="I586">
        <v>10.078613000000001</v>
      </c>
      <c r="J586">
        <v>4.9684999999999997</v>
      </c>
      <c r="K586">
        <v>-50.08</v>
      </c>
      <c r="L586">
        <v>-1</v>
      </c>
      <c r="M586">
        <v>0</v>
      </c>
      <c r="N586" t="s">
        <v>26</v>
      </c>
      <c r="O586">
        <v>0</v>
      </c>
      <c r="P586" t="s">
        <v>1442</v>
      </c>
      <c r="Q586">
        <v>0</v>
      </c>
      <c r="R586" t="s">
        <v>1132</v>
      </c>
      <c r="S586" t="s">
        <v>1133</v>
      </c>
      <c r="T586" t="s">
        <v>1442</v>
      </c>
      <c r="U586" t="s">
        <v>1442</v>
      </c>
      <c r="V586" t="s">
        <v>1442</v>
      </c>
      <c r="W586" t="s">
        <v>1442</v>
      </c>
    </row>
    <row r="587" spans="1:23" x14ac:dyDescent="0.25">
      <c r="A587" s="39">
        <v>46198.851645104201</v>
      </c>
      <c r="B587" s="40">
        <v>46198</v>
      </c>
      <c r="C587" t="s">
        <v>23</v>
      </c>
      <c r="D587" t="s">
        <v>30</v>
      </c>
      <c r="E587" t="s">
        <v>31</v>
      </c>
      <c r="F587" t="s">
        <v>64</v>
      </c>
      <c r="G587" t="s">
        <v>69</v>
      </c>
      <c r="H587" t="s">
        <v>69</v>
      </c>
      <c r="I587">
        <v>19</v>
      </c>
      <c r="J587">
        <v>0.91832800000000003</v>
      </c>
      <c r="K587">
        <v>-17.45</v>
      </c>
      <c r="L587">
        <v>-1</v>
      </c>
      <c r="M587">
        <v>0</v>
      </c>
      <c r="N587" t="s">
        <v>26</v>
      </c>
      <c r="O587">
        <v>0</v>
      </c>
      <c r="P587" t="s">
        <v>1442</v>
      </c>
      <c r="Q587">
        <v>0</v>
      </c>
      <c r="R587" t="s">
        <v>1134</v>
      </c>
      <c r="S587" t="s">
        <v>1135</v>
      </c>
      <c r="T587" t="s">
        <v>1442</v>
      </c>
      <c r="U587" t="s">
        <v>1442</v>
      </c>
      <c r="V587" t="s">
        <v>1442</v>
      </c>
      <c r="W587" t="s">
        <v>1442</v>
      </c>
    </row>
    <row r="588" spans="1:23" x14ac:dyDescent="0.25">
      <c r="A588" s="39">
        <v>46199.648148553199</v>
      </c>
      <c r="B588" s="40">
        <v>46199</v>
      </c>
      <c r="C588" t="s">
        <v>23</v>
      </c>
      <c r="D588" t="s">
        <v>24</v>
      </c>
      <c r="E588" t="s">
        <v>178</v>
      </c>
      <c r="F588" t="s">
        <v>32</v>
      </c>
      <c r="G588" t="s">
        <v>590</v>
      </c>
      <c r="H588" t="s">
        <v>591</v>
      </c>
      <c r="I588">
        <v>47.271608999999998</v>
      </c>
      <c r="J588">
        <v>0</v>
      </c>
      <c r="K588">
        <v>3.4</v>
      </c>
      <c r="L588">
        <v>0</v>
      </c>
      <c r="M588">
        <v>0</v>
      </c>
      <c r="N588" t="s">
        <v>26</v>
      </c>
      <c r="O588">
        <v>2.92</v>
      </c>
      <c r="P588" t="s">
        <v>1136</v>
      </c>
      <c r="Q588">
        <v>1.1627909999999999</v>
      </c>
      <c r="R588" t="s">
        <v>1137</v>
      </c>
      <c r="S588" t="s">
        <v>1138</v>
      </c>
      <c r="T588" t="s">
        <v>1442</v>
      </c>
      <c r="U588" t="s">
        <v>1442</v>
      </c>
      <c r="V588" t="s">
        <v>1442</v>
      </c>
      <c r="W588" t="s">
        <v>1442</v>
      </c>
    </row>
    <row r="589" spans="1:23" x14ac:dyDescent="0.25">
      <c r="A589" s="39">
        <v>46199.657092419002</v>
      </c>
      <c r="B589" s="40">
        <v>46199</v>
      </c>
      <c r="C589" t="s">
        <v>23</v>
      </c>
      <c r="D589" t="s">
        <v>30</v>
      </c>
      <c r="E589" t="s">
        <v>31</v>
      </c>
      <c r="F589" t="s">
        <v>32</v>
      </c>
      <c r="G589" t="s">
        <v>167</v>
      </c>
      <c r="H589" t="s">
        <v>168</v>
      </c>
      <c r="I589">
        <v>38.639876000000001</v>
      </c>
      <c r="J589">
        <v>1.296</v>
      </c>
      <c r="K589">
        <v>-50.08</v>
      </c>
      <c r="L589">
        <v>-1</v>
      </c>
      <c r="M589">
        <v>0</v>
      </c>
      <c r="N589" t="s">
        <v>26</v>
      </c>
      <c r="O589">
        <v>0</v>
      </c>
      <c r="P589" t="s">
        <v>1442</v>
      </c>
      <c r="Q589">
        <v>0</v>
      </c>
      <c r="R589" t="s">
        <v>1139</v>
      </c>
      <c r="S589" t="s">
        <v>1140</v>
      </c>
      <c r="T589" t="s">
        <v>1442</v>
      </c>
      <c r="U589" t="s">
        <v>1442</v>
      </c>
      <c r="V589" t="s">
        <v>1442</v>
      </c>
      <c r="W589" t="s">
        <v>1442</v>
      </c>
    </row>
    <row r="590" spans="1:23" x14ac:dyDescent="0.25">
      <c r="A590" s="39">
        <v>46199.662699108798</v>
      </c>
      <c r="B590" s="40">
        <v>46199</v>
      </c>
      <c r="C590" t="s">
        <v>23</v>
      </c>
      <c r="D590" t="s">
        <v>30</v>
      </c>
      <c r="E590" t="s">
        <v>31</v>
      </c>
      <c r="F590" t="s">
        <v>464</v>
      </c>
      <c r="G590" t="s">
        <v>955</v>
      </c>
      <c r="H590" t="s">
        <v>956</v>
      </c>
      <c r="I590">
        <v>1.9256690000000001</v>
      </c>
      <c r="J590">
        <v>25.94</v>
      </c>
      <c r="K590">
        <v>-49.95</v>
      </c>
      <c r="L590">
        <v>-1</v>
      </c>
      <c r="M590">
        <v>0</v>
      </c>
      <c r="N590" t="s">
        <v>26</v>
      </c>
      <c r="O590">
        <v>0</v>
      </c>
      <c r="P590" t="s">
        <v>1442</v>
      </c>
      <c r="Q590">
        <v>0</v>
      </c>
      <c r="R590" t="s">
        <v>1141</v>
      </c>
      <c r="S590" t="s">
        <v>1142</v>
      </c>
      <c r="T590" t="s">
        <v>1442</v>
      </c>
      <c r="U590" t="s">
        <v>1442</v>
      </c>
      <c r="V590" t="s">
        <v>1442</v>
      </c>
      <c r="W590" t="s">
        <v>1442</v>
      </c>
    </row>
    <row r="591" spans="1:23" x14ac:dyDescent="0.25">
      <c r="A591" s="39">
        <v>46199.6633167361</v>
      </c>
      <c r="B591" s="40">
        <v>46199</v>
      </c>
      <c r="C591" t="s">
        <v>23</v>
      </c>
      <c r="D591" t="s">
        <v>30</v>
      </c>
      <c r="E591" t="s">
        <v>31</v>
      </c>
      <c r="F591" t="s">
        <v>32</v>
      </c>
      <c r="G591" t="s">
        <v>154</v>
      </c>
      <c r="H591" t="s">
        <v>155</v>
      </c>
      <c r="I591">
        <v>3</v>
      </c>
      <c r="J591">
        <v>18.75</v>
      </c>
      <c r="K591">
        <v>-56.25</v>
      </c>
      <c r="L591">
        <v>-1</v>
      </c>
      <c r="M591">
        <v>0</v>
      </c>
      <c r="N591" t="s">
        <v>26</v>
      </c>
      <c r="O591">
        <v>0</v>
      </c>
      <c r="P591" t="s">
        <v>1442</v>
      </c>
      <c r="Q591">
        <v>0</v>
      </c>
      <c r="R591" t="s">
        <v>929</v>
      </c>
      <c r="S591" t="s">
        <v>1143</v>
      </c>
      <c r="T591" t="s">
        <v>1442</v>
      </c>
      <c r="U591" t="s">
        <v>1442</v>
      </c>
      <c r="V591" t="s">
        <v>1442</v>
      </c>
      <c r="W591" t="s">
        <v>1442</v>
      </c>
    </row>
    <row r="592" spans="1:23" x14ac:dyDescent="0.25">
      <c r="A592" s="39">
        <v>46199.675997835599</v>
      </c>
      <c r="B592" s="40">
        <v>46199</v>
      </c>
      <c r="C592" t="s">
        <v>23</v>
      </c>
      <c r="D592" t="s">
        <v>30</v>
      </c>
      <c r="E592" t="s">
        <v>31</v>
      </c>
      <c r="F592" t="s">
        <v>464</v>
      </c>
      <c r="G592" t="s">
        <v>465</v>
      </c>
      <c r="H592" t="s">
        <v>466</v>
      </c>
      <c r="I592">
        <v>1.2159040000000001</v>
      </c>
      <c r="J592">
        <v>123.35</v>
      </c>
      <c r="K592">
        <v>-149.97999999999999</v>
      </c>
      <c r="L592">
        <v>-1</v>
      </c>
      <c r="M592">
        <v>0</v>
      </c>
      <c r="N592" t="s">
        <v>26</v>
      </c>
      <c r="O592">
        <v>0</v>
      </c>
      <c r="P592" t="s">
        <v>1442</v>
      </c>
      <c r="Q592">
        <v>0</v>
      </c>
      <c r="R592" t="s">
        <v>1144</v>
      </c>
      <c r="S592" t="s">
        <v>1145</v>
      </c>
      <c r="T592" t="s">
        <v>1442</v>
      </c>
      <c r="U592" t="s">
        <v>1442</v>
      </c>
      <c r="V592" t="s">
        <v>1442</v>
      </c>
      <c r="W592" t="s">
        <v>1442</v>
      </c>
    </row>
    <row r="593" spans="1:23" x14ac:dyDescent="0.25">
      <c r="A593" s="39">
        <v>46199.676906967601</v>
      </c>
      <c r="B593" s="40">
        <v>46199</v>
      </c>
      <c r="C593" t="s">
        <v>23</v>
      </c>
      <c r="D593" t="s">
        <v>24</v>
      </c>
      <c r="E593" t="s">
        <v>725</v>
      </c>
      <c r="F593" t="s">
        <v>1442</v>
      </c>
      <c r="G593" t="s">
        <v>845</v>
      </c>
      <c r="H593" t="s">
        <v>1442</v>
      </c>
      <c r="I593">
        <v>0</v>
      </c>
      <c r="J593">
        <v>0</v>
      </c>
      <c r="K593">
        <v>-51</v>
      </c>
      <c r="L593">
        <v>0</v>
      </c>
      <c r="M593">
        <v>0</v>
      </c>
      <c r="N593" t="s">
        <v>26</v>
      </c>
      <c r="O593">
        <v>0</v>
      </c>
      <c r="P593" t="s">
        <v>1442</v>
      </c>
      <c r="Q593">
        <v>0</v>
      </c>
      <c r="R593" t="s">
        <v>846</v>
      </c>
      <c r="S593" t="s">
        <v>1146</v>
      </c>
      <c r="T593" t="s">
        <v>845</v>
      </c>
      <c r="U593" t="s">
        <v>848</v>
      </c>
      <c r="V593" t="s">
        <v>1442</v>
      </c>
      <c r="W593" t="s">
        <v>1442</v>
      </c>
    </row>
    <row r="594" spans="1:23" x14ac:dyDescent="0.25">
      <c r="A594" s="39">
        <v>46199.677712349498</v>
      </c>
      <c r="B594" s="40">
        <v>46199</v>
      </c>
      <c r="C594" t="s">
        <v>23</v>
      </c>
      <c r="D594" t="s">
        <v>24</v>
      </c>
      <c r="E594" t="s">
        <v>725</v>
      </c>
      <c r="F594" t="s">
        <v>1442</v>
      </c>
      <c r="G594" t="s">
        <v>850</v>
      </c>
      <c r="H594" t="s">
        <v>1442</v>
      </c>
      <c r="I594">
        <v>0</v>
      </c>
      <c r="J594">
        <v>0</v>
      </c>
      <c r="K594">
        <v>-51</v>
      </c>
      <c r="L594">
        <v>0</v>
      </c>
      <c r="M594">
        <v>0</v>
      </c>
      <c r="N594" t="s">
        <v>26</v>
      </c>
      <c r="O594">
        <v>0</v>
      </c>
      <c r="P594" t="s">
        <v>1442</v>
      </c>
      <c r="Q594">
        <v>0</v>
      </c>
      <c r="R594" t="s">
        <v>726</v>
      </c>
      <c r="S594" t="s">
        <v>1147</v>
      </c>
      <c r="T594" t="s">
        <v>850</v>
      </c>
      <c r="U594" t="s">
        <v>852</v>
      </c>
      <c r="V594" t="s">
        <v>1442</v>
      </c>
      <c r="W594" t="s">
        <v>1442</v>
      </c>
    </row>
    <row r="595" spans="1:23" x14ac:dyDescent="0.25">
      <c r="A595" s="39">
        <v>46199.6781793634</v>
      </c>
      <c r="B595" s="40">
        <v>46199</v>
      </c>
      <c r="C595" t="s">
        <v>23</v>
      </c>
      <c r="D595" t="s">
        <v>24</v>
      </c>
      <c r="E595" t="s">
        <v>725</v>
      </c>
      <c r="F595" t="s">
        <v>1442</v>
      </c>
      <c r="G595" t="s">
        <v>853</v>
      </c>
      <c r="H595" t="s">
        <v>1442</v>
      </c>
      <c r="I595">
        <v>0</v>
      </c>
      <c r="J595">
        <v>0</v>
      </c>
      <c r="K595">
        <v>-51</v>
      </c>
      <c r="L595">
        <v>0</v>
      </c>
      <c r="M595">
        <v>0</v>
      </c>
      <c r="N595" t="s">
        <v>26</v>
      </c>
      <c r="O595">
        <v>0</v>
      </c>
      <c r="P595" t="s">
        <v>1442</v>
      </c>
      <c r="Q595">
        <v>0</v>
      </c>
      <c r="R595" t="s">
        <v>854</v>
      </c>
      <c r="S595" t="s">
        <v>1148</v>
      </c>
      <c r="T595" t="s">
        <v>853</v>
      </c>
      <c r="U595" t="s">
        <v>856</v>
      </c>
      <c r="V595" t="s">
        <v>1442</v>
      </c>
      <c r="W595" t="s">
        <v>1442</v>
      </c>
    </row>
    <row r="596" spans="1:23" x14ac:dyDescent="0.25">
      <c r="A596" s="39">
        <v>46199.6893512963</v>
      </c>
      <c r="B596" s="40">
        <v>46199</v>
      </c>
      <c r="C596" t="s">
        <v>23</v>
      </c>
      <c r="D596" t="s">
        <v>24</v>
      </c>
      <c r="E596" t="s">
        <v>25</v>
      </c>
      <c r="F596" t="s">
        <v>1442</v>
      </c>
      <c r="G596" t="s">
        <v>774</v>
      </c>
      <c r="H596" t="s">
        <v>1442</v>
      </c>
      <c r="I596">
        <v>0</v>
      </c>
      <c r="J596">
        <v>0</v>
      </c>
      <c r="K596">
        <v>147</v>
      </c>
      <c r="L596">
        <v>0</v>
      </c>
      <c r="M596">
        <v>0</v>
      </c>
      <c r="N596" t="s">
        <v>26</v>
      </c>
      <c r="O596">
        <v>0</v>
      </c>
      <c r="P596" t="s">
        <v>1442</v>
      </c>
      <c r="Q596">
        <v>0</v>
      </c>
      <c r="R596" t="s">
        <v>246</v>
      </c>
      <c r="S596" t="s">
        <v>1149</v>
      </c>
      <c r="T596" t="s">
        <v>774</v>
      </c>
      <c r="U596" t="s">
        <v>776</v>
      </c>
      <c r="V596" t="s">
        <v>1442</v>
      </c>
      <c r="W596" t="s">
        <v>1442</v>
      </c>
    </row>
    <row r="597" spans="1:23" x14ac:dyDescent="0.25">
      <c r="A597" s="39">
        <v>46199.689741169001</v>
      </c>
      <c r="B597" s="40">
        <v>46199</v>
      </c>
      <c r="C597" t="s">
        <v>23</v>
      </c>
      <c r="D597" t="s">
        <v>30</v>
      </c>
      <c r="E597" t="s">
        <v>31</v>
      </c>
      <c r="F597" t="s">
        <v>464</v>
      </c>
      <c r="G597" t="s">
        <v>815</v>
      </c>
      <c r="H597" t="s">
        <v>816</v>
      </c>
      <c r="I597">
        <v>0.32082100000000002</v>
      </c>
      <c r="J597">
        <v>311.64999999999998</v>
      </c>
      <c r="K597">
        <v>-99.98</v>
      </c>
      <c r="L597">
        <v>-1</v>
      </c>
      <c r="M597">
        <v>0</v>
      </c>
      <c r="N597" t="s">
        <v>26</v>
      </c>
      <c r="O597">
        <v>0</v>
      </c>
      <c r="P597" t="s">
        <v>1442</v>
      </c>
      <c r="Q597">
        <v>0</v>
      </c>
      <c r="R597" t="s">
        <v>1150</v>
      </c>
      <c r="S597" t="s">
        <v>1151</v>
      </c>
      <c r="T597" t="s">
        <v>1442</v>
      </c>
      <c r="U597" t="s">
        <v>1442</v>
      </c>
      <c r="V597" t="s">
        <v>1442</v>
      </c>
      <c r="W597" t="s">
        <v>1442</v>
      </c>
    </row>
    <row r="598" spans="1:23" x14ac:dyDescent="0.25">
      <c r="A598" s="39">
        <v>46199.951070648101</v>
      </c>
      <c r="B598" s="40">
        <v>46199</v>
      </c>
      <c r="C598" t="s">
        <v>23</v>
      </c>
      <c r="D598" t="s">
        <v>24</v>
      </c>
      <c r="E598" t="s">
        <v>161</v>
      </c>
      <c r="F598" t="s">
        <v>1442</v>
      </c>
      <c r="G598" t="s">
        <v>807</v>
      </c>
      <c r="H598" t="s">
        <v>1442</v>
      </c>
      <c r="I598">
        <v>0</v>
      </c>
      <c r="J598">
        <v>0</v>
      </c>
      <c r="K598">
        <v>-86.4</v>
      </c>
      <c r="L598">
        <v>0</v>
      </c>
      <c r="M598">
        <v>0</v>
      </c>
      <c r="N598" t="s">
        <v>26</v>
      </c>
      <c r="O598">
        <v>0</v>
      </c>
      <c r="P598" t="s">
        <v>1442</v>
      </c>
      <c r="Q598">
        <v>0</v>
      </c>
      <c r="R598" t="s">
        <v>661</v>
      </c>
      <c r="S598" t="s">
        <v>1152</v>
      </c>
      <c r="T598" t="s">
        <v>807</v>
      </c>
      <c r="U598" t="s">
        <v>809</v>
      </c>
      <c r="V598" t="s">
        <v>1442</v>
      </c>
      <c r="W598" t="s">
        <v>1442</v>
      </c>
    </row>
    <row r="599" spans="1:23" x14ac:dyDescent="0.25">
      <c r="A599" s="39">
        <v>46202.942366840303</v>
      </c>
      <c r="B599" s="40">
        <v>46202</v>
      </c>
      <c r="C599" t="s">
        <v>23</v>
      </c>
      <c r="D599" t="s">
        <v>24</v>
      </c>
      <c r="E599" t="s">
        <v>25</v>
      </c>
      <c r="F599" t="s">
        <v>1442</v>
      </c>
      <c r="G599" t="s">
        <v>774</v>
      </c>
      <c r="H599" t="s">
        <v>1442</v>
      </c>
      <c r="I599">
        <v>0</v>
      </c>
      <c r="J599">
        <v>0</v>
      </c>
      <c r="K599">
        <v>701</v>
      </c>
      <c r="L599">
        <v>0</v>
      </c>
      <c r="M599">
        <v>0</v>
      </c>
      <c r="N599" t="s">
        <v>26</v>
      </c>
      <c r="O599">
        <v>0</v>
      </c>
      <c r="P599" t="s">
        <v>1442</v>
      </c>
      <c r="Q599">
        <v>0</v>
      </c>
      <c r="R599" t="s">
        <v>246</v>
      </c>
      <c r="S599" t="s">
        <v>1153</v>
      </c>
      <c r="T599" t="s">
        <v>774</v>
      </c>
      <c r="U599" t="s">
        <v>776</v>
      </c>
      <c r="V599" t="s">
        <v>1442</v>
      </c>
      <c r="W599" t="s">
        <v>1442</v>
      </c>
    </row>
    <row r="600" spans="1:23" x14ac:dyDescent="0.25">
      <c r="A600" s="39">
        <v>46202.9426791898</v>
      </c>
      <c r="B600" s="40">
        <v>46202</v>
      </c>
      <c r="C600" t="s">
        <v>23</v>
      </c>
      <c r="D600" t="s">
        <v>30</v>
      </c>
      <c r="E600" t="s">
        <v>31</v>
      </c>
      <c r="F600" t="s">
        <v>464</v>
      </c>
      <c r="G600" t="s">
        <v>1154</v>
      </c>
      <c r="H600" t="s">
        <v>1155</v>
      </c>
      <c r="I600">
        <v>14.461017</v>
      </c>
      <c r="J600">
        <v>48.273000000000003</v>
      </c>
      <c r="K600">
        <v>-698.08</v>
      </c>
      <c r="L600">
        <v>-1</v>
      </c>
      <c r="M600">
        <v>0</v>
      </c>
      <c r="N600" t="s">
        <v>26</v>
      </c>
      <c r="O600">
        <v>0</v>
      </c>
      <c r="P600" t="s">
        <v>1442</v>
      </c>
      <c r="Q600">
        <v>0</v>
      </c>
      <c r="R600" t="s">
        <v>1156</v>
      </c>
      <c r="S600" t="s">
        <v>1157</v>
      </c>
      <c r="T600" t="s">
        <v>1442</v>
      </c>
      <c r="U600" t="s">
        <v>1442</v>
      </c>
      <c r="V600" t="s">
        <v>1442</v>
      </c>
      <c r="W600" t="s">
        <v>1442</v>
      </c>
    </row>
    <row r="601" spans="1:23" x14ac:dyDescent="0.25">
      <c r="A601" s="39">
        <v>46205.3792463426</v>
      </c>
      <c r="B601" s="40">
        <v>46205</v>
      </c>
      <c r="C601" t="s">
        <v>23</v>
      </c>
      <c r="D601" t="s">
        <v>24</v>
      </c>
      <c r="E601" t="s">
        <v>25</v>
      </c>
      <c r="F601" t="s">
        <v>1442</v>
      </c>
      <c r="G601" t="s">
        <v>774</v>
      </c>
      <c r="H601" t="s">
        <v>1442</v>
      </c>
      <c r="I601">
        <v>0</v>
      </c>
      <c r="J601">
        <v>0</v>
      </c>
      <c r="K601">
        <v>78.510000000000005</v>
      </c>
      <c r="L601">
        <v>0</v>
      </c>
      <c r="M601">
        <v>0</v>
      </c>
      <c r="N601" t="s">
        <v>26</v>
      </c>
      <c r="O601">
        <v>0</v>
      </c>
      <c r="P601" t="s">
        <v>1442</v>
      </c>
      <c r="Q601">
        <v>0</v>
      </c>
      <c r="R601" t="s">
        <v>246</v>
      </c>
      <c r="S601" t="s">
        <v>1158</v>
      </c>
      <c r="T601" t="s">
        <v>774</v>
      </c>
      <c r="U601" t="s">
        <v>776</v>
      </c>
      <c r="V601" t="s">
        <v>1442</v>
      </c>
      <c r="W601" t="s">
        <v>1442</v>
      </c>
    </row>
    <row r="602" spans="1:23" x14ac:dyDescent="0.25">
      <c r="A602" s="39">
        <v>46205.507902557903</v>
      </c>
      <c r="B602" s="40">
        <v>46205</v>
      </c>
      <c r="C602" t="s">
        <v>23</v>
      </c>
      <c r="D602" t="s">
        <v>30</v>
      </c>
      <c r="E602" t="s">
        <v>31</v>
      </c>
      <c r="F602" t="s">
        <v>32</v>
      </c>
      <c r="G602" t="s">
        <v>515</v>
      </c>
      <c r="H602" t="s">
        <v>516</v>
      </c>
      <c r="I602">
        <v>8.4763940000000009</v>
      </c>
      <c r="J602">
        <v>9.32</v>
      </c>
      <c r="K602">
        <v>-79</v>
      </c>
      <c r="L602">
        <v>-1</v>
      </c>
      <c r="M602">
        <v>0</v>
      </c>
      <c r="N602" t="s">
        <v>26</v>
      </c>
      <c r="O602">
        <v>0</v>
      </c>
      <c r="P602" t="s">
        <v>1442</v>
      </c>
      <c r="Q602">
        <v>0</v>
      </c>
      <c r="R602" t="s">
        <v>1159</v>
      </c>
      <c r="S602" t="s">
        <v>1160</v>
      </c>
      <c r="T602" t="s">
        <v>1442</v>
      </c>
      <c r="U602" t="s">
        <v>1442</v>
      </c>
      <c r="V602" t="s">
        <v>1442</v>
      </c>
      <c r="W602" t="s">
        <v>1442</v>
      </c>
    </row>
    <row r="603" spans="1:23" x14ac:dyDescent="0.25">
      <c r="A603" s="39">
        <v>46217.363658715301</v>
      </c>
      <c r="B603" s="40">
        <v>46217</v>
      </c>
      <c r="C603" t="s">
        <v>23</v>
      </c>
      <c r="D603" t="s">
        <v>24</v>
      </c>
      <c r="E603" t="s">
        <v>25</v>
      </c>
      <c r="F603" t="s">
        <v>1442</v>
      </c>
      <c r="G603" t="s">
        <v>774</v>
      </c>
      <c r="H603" t="s">
        <v>1442</v>
      </c>
      <c r="I603">
        <v>0</v>
      </c>
      <c r="J603">
        <v>0</v>
      </c>
      <c r="K603">
        <v>102</v>
      </c>
      <c r="L603">
        <v>0</v>
      </c>
      <c r="M603">
        <v>0</v>
      </c>
      <c r="N603" t="s">
        <v>26</v>
      </c>
      <c r="O603">
        <v>0</v>
      </c>
      <c r="P603" t="s">
        <v>1442</v>
      </c>
      <c r="Q603">
        <v>0</v>
      </c>
      <c r="R603" t="s">
        <v>246</v>
      </c>
      <c r="S603" t="s">
        <v>1161</v>
      </c>
      <c r="T603" t="s">
        <v>774</v>
      </c>
      <c r="U603" t="s">
        <v>776</v>
      </c>
      <c r="V603" t="s">
        <v>1442</v>
      </c>
      <c r="W603" t="s">
        <v>1442</v>
      </c>
    </row>
    <row r="604" spans="1:23" x14ac:dyDescent="0.25">
      <c r="A604" s="39">
        <v>46217.436528541701</v>
      </c>
      <c r="B604" s="40">
        <v>46217</v>
      </c>
      <c r="C604" t="s">
        <v>23</v>
      </c>
      <c r="D604" t="s">
        <v>30</v>
      </c>
      <c r="E604" t="s">
        <v>31</v>
      </c>
      <c r="F604" t="s">
        <v>32</v>
      </c>
      <c r="G604" t="s">
        <v>154</v>
      </c>
      <c r="H604" t="s">
        <v>155</v>
      </c>
      <c r="I604">
        <v>6</v>
      </c>
      <c r="J604">
        <v>16.739999999999998</v>
      </c>
      <c r="K604">
        <v>-100.44</v>
      </c>
      <c r="L604">
        <v>-1</v>
      </c>
      <c r="M604">
        <v>0</v>
      </c>
      <c r="N604" t="s">
        <v>26</v>
      </c>
      <c r="O604">
        <v>0</v>
      </c>
      <c r="P604" t="s">
        <v>1442</v>
      </c>
      <c r="Q604">
        <v>0</v>
      </c>
      <c r="R604" t="s">
        <v>779</v>
      </c>
      <c r="S604" t="s">
        <v>1162</v>
      </c>
      <c r="T604" t="s">
        <v>1442</v>
      </c>
      <c r="U604" t="s">
        <v>1442</v>
      </c>
      <c r="V604" t="s">
        <v>1442</v>
      </c>
      <c r="W604" t="s">
        <v>1442</v>
      </c>
    </row>
    <row r="605" spans="1:23" x14ac:dyDescent="0.25">
      <c r="A605" s="39">
        <v>46219.8984199306</v>
      </c>
      <c r="B605" s="40">
        <v>46219</v>
      </c>
      <c r="C605" t="s">
        <v>23</v>
      </c>
      <c r="D605" t="s">
        <v>24</v>
      </c>
      <c r="E605" t="s">
        <v>25</v>
      </c>
      <c r="F605" t="s">
        <v>1442</v>
      </c>
      <c r="G605" t="s">
        <v>774</v>
      </c>
      <c r="H605" t="s">
        <v>1442</v>
      </c>
      <c r="I605">
        <v>0</v>
      </c>
      <c r="J605">
        <v>0</v>
      </c>
      <c r="K605">
        <v>51</v>
      </c>
      <c r="L605">
        <v>0</v>
      </c>
      <c r="M605">
        <v>0</v>
      </c>
      <c r="N605" t="s">
        <v>26</v>
      </c>
      <c r="O605">
        <v>0</v>
      </c>
      <c r="P605" t="s">
        <v>1442</v>
      </c>
      <c r="Q605">
        <v>0</v>
      </c>
      <c r="R605" t="s">
        <v>246</v>
      </c>
      <c r="S605" t="s">
        <v>1163</v>
      </c>
      <c r="T605" t="s">
        <v>774</v>
      </c>
      <c r="U605" t="s">
        <v>776</v>
      </c>
      <c r="V605" t="s">
        <v>1442</v>
      </c>
      <c r="W605" t="s">
        <v>1442</v>
      </c>
    </row>
    <row r="606" spans="1:23" x14ac:dyDescent="0.25">
      <c r="A606" s="39">
        <v>46219.921084305599</v>
      </c>
      <c r="B606" s="40">
        <v>46219</v>
      </c>
      <c r="C606" t="s">
        <v>23</v>
      </c>
      <c r="D606" t="s">
        <v>30</v>
      </c>
      <c r="E606" t="s">
        <v>31</v>
      </c>
      <c r="F606" t="s">
        <v>464</v>
      </c>
      <c r="G606" t="s">
        <v>948</v>
      </c>
      <c r="H606" t="s">
        <v>949</v>
      </c>
      <c r="I606">
        <v>0.71387699999999998</v>
      </c>
      <c r="J606">
        <v>70.040000000000006</v>
      </c>
      <c r="K606">
        <v>-50</v>
      </c>
      <c r="L606">
        <v>-1</v>
      </c>
      <c r="M606">
        <v>0</v>
      </c>
      <c r="N606" t="s">
        <v>26</v>
      </c>
      <c r="O606">
        <v>0</v>
      </c>
      <c r="P606" t="s">
        <v>1442</v>
      </c>
      <c r="Q606">
        <v>0</v>
      </c>
      <c r="R606" t="s">
        <v>1164</v>
      </c>
      <c r="S606" t="s">
        <v>1165</v>
      </c>
      <c r="T606" t="s">
        <v>1442</v>
      </c>
      <c r="U606" t="s">
        <v>1442</v>
      </c>
      <c r="V606" t="s">
        <v>1442</v>
      </c>
      <c r="W606" t="s">
        <v>1442</v>
      </c>
    </row>
    <row r="607" spans="1:23" x14ac:dyDescent="0.25">
      <c r="A607" s="39">
        <v>46219.924408726903</v>
      </c>
      <c r="B607" s="40">
        <v>46219</v>
      </c>
      <c r="C607" t="s">
        <v>23</v>
      </c>
      <c r="D607" t="s">
        <v>30</v>
      </c>
      <c r="E607" t="s">
        <v>31</v>
      </c>
      <c r="F607" t="s">
        <v>32</v>
      </c>
      <c r="G607" t="s">
        <v>515</v>
      </c>
      <c r="H607" t="s">
        <v>516</v>
      </c>
      <c r="I607">
        <v>10</v>
      </c>
      <c r="J607">
        <v>8.1850000000000005</v>
      </c>
      <c r="K607">
        <v>-81.849999999999994</v>
      </c>
      <c r="L607">
        <v>-1</v>
      </c>
      <c r="M607">
        <v>0</v>
      </c>
      <c r="N607" t="s">
        <v>26</v>
      </c>
      <c r="O607">
        <v>0</v>
      </c>
      <c r="P607" t="s">
        <v>1442</v>
      </c>
      <c r="Q607">
        <v>0</v>
      </c>
      <c r="R607" t="s">
        <v>1166</v>
      </c>
      <c r="S607" t="s">
        <v>1167</v>
      </c>
      <c r="T607" t="s">
        <v>1442</v>
      </c>
      <c r="U607" t="s">
        <v>1442</v>
      </c>
      <c r="V607" t="s">
        <v>1442</v>
      </c>
      <c r="W607" t="s">
        <v>1442</v>
      </c>
    </row>
    <row r="608" spans="1:23" x14ac:dyDescent="0.25">
      <c r="A608" s="39">
        <v>46219.926563611101</v>
      </c>
      <c r="B608" s="40">
        <v>46219</v>
      </c>
      <c r="C608" t="s">
        <v>23</v>
      </c>
      <c r="D608" t="s">
        <v>24</v>
      </c>
      <c r="E608" t="s">
        <v>25</v>
      </c>
      <c r="F608" t="s">
        <v>1442</v>
      </c>
      <c r="G608" t="s">
        <v>774</v>
      </c>
      <c r="H608" t="s">
        <v>1442</v>
      </c>
      <c r="I608">
        <v>0</v>
      </c>
      <c r="J608">
        <v>0</v>
      </c>
      <c r="K608">
        <v>105</v>
      </c>
      <c r="L608">
        <v>0</v>
      </c>
      <c r="M608">
        <v>0</v>
      </c>
      <c r="N608" t="s">
        <v>26</v>
      </c>
      <c r="O608">
        <v>0</v>
      </c>
      <c r="P608" t="s">
        <v>1442</v>
      </c>
      <c r="Q608">
        <v>0</v>
      </c>
      <c r="R608" t="s">
        <v>246</v>
      </c>
      <c r="S608" t="s">
        <v>1168</v>
      </c>
      <c r="T608" t="s">
        <v>774</v>
      </c>
      <c r="U608" t="s">
        <v>776</v>
      </c>
      <c r="V608" t="s">
        <v>1442</v>
      </c>
      <c r="W608" t="s">
        <v>1442</v>
      </c>
    </row>
    <row r="609" spans="1:23" x14ac:dyDescent="0.25">
      <c r="A609" s="39">
        <v>46219.923818113399</v>
      </c>
      <c r="B609" s="40">
        <v>46219</v>
      </c>
      <c r="C609" t="s">
        <v>23</v>
      </c>
      <c r="D609" t="s">
        <v>24</v>
      </c>
      <c r="E609" t="s">
        <v>25</v>
      </c>
      <c r="F609" t="s">
        <v>1442</v>
      </c>
      <c r="G609" t="s">
        <v>774</v>
      </c>
      <c r="H609" t="s">
        <v>1442</v>
      </c>
      <c r="I609">
        <v>0</v>
      </c>
      <c r="J609">
        <v>0</v>
      </c>
      <c r="K609">
        <v>82</v>
      </c>
      <c r="L609">
        <v>0</v>
      </c>
      <c r="M609">
        <v>0</v>
      </c>
      <c r="N609" t="s">
        <v>26</v>
      </c>
      <c r="O609">
        <v>0</v>
      </c>
      <c r="P609" t="s">
        <v>1442</v>
      </c>
      <c r="Q609">
        <v>0</v>
      </c>
      <c r="R609" t="s">
        <v>246</v>
      </c>
      <c r="S609" t="s">
        <v>1169</v>
      </c>
      <c r="T609" t="s">
        <v>774</v>
      </c>
      <c r="U609" t="s">
        <v>776</v>
      </c>
      <c r="V609" t="s">
        <v>1442</v>
      </c>
      <c r="W609" t="s">
        <v>1442</v>
      </c>
    </row>
    <row r="610" spans="1:23" x14ac:dyDescent="0.25">
      <c r="A610" s="39">
        <v>46219.926659027798</v>
      </c>
      <c r="B610" s="40">
        <v>46219</v>
      </c>
      <c r="C610" t="s">
        <v>23</v>
      </c>
      <c r="D610" t="s">
        <v>30</v>
      </c>
      <c r="E610" t="s">
        <v>31</v>
      </c>
      <c r="F610" t="s">
        <v>32</v>
      </c>
      <c r="G610" t="s">
        <v>154</v>
      </c>
      <c r="H610" t="s">
        <v>155</v>
      </c>
      <c r="I610">
        <v>7</v>
      </c>
      <c r="J610">
        <v>14.824999999999999</v>
      </c>
      <c r="K610">
        <v>-103.78</v>
      </c>
      <c r="L610">
        <v>-1</v>
      </c>
      <c r="M610">
        <v>0</v>
      </c>
      <c r="N610" t="s">
        <v>26</v>
      </c>
      <c r="O610">
        <v>0</v>
      </c>
      <c r="P610" t="s">
        <v>1442</v>
      </c>
      <c r="Q610">
        <v>0</v>
      </c>
      <c r="R610" t="s">
        <v>1170</v>
      </c>
      <c r="S610" t="s">
        <v>1171</v>
      </c>
      <c r="T610" t="s">
        <v>1442</v>
      </c>
      <c r="U610" t="s">
        <v>1442</v>
      </c>
      <c r="V610" t="s">
        <v>1442</v>
      </c>
      <c r="W610" t="s">
        <v>1442</v>
      </c>
    </row>
    <row r="611" spans="1:23" x14ac:dyDescent="0.25">
      <c r="A611" s="39">
        <v>46220.321591828702</v>
      </c>
      <c r="B611" s="40">
        <v>46220</v>
      </c>
      <c r="C611" t="s">
        <v>23</v>
      </c>
      <c r="D611" t="s">
        <v>24</v>
      </c>
      <c r="E611" t="s">
        <v>25</v>
      </c>
      <c r="F611" t="s">
        <v>1442</v>
      </c>
      <c r="G611" t="s">
        <v>774</v>
      </c>
      <c r="H611" t="s">
        <v>1442</v>
      </c>
      <c r="I611">
        <v>0</v>
      </c>
      <c r="J611">
        <v>0</v>
      </c>
      <c r="K611">
        <v>51</v>
      </c>
      <c r="L611">
        <v>0</v>
      </c>
      <c r="M611">
        <v>0</v>
      </c>
      <c r="N611" t="s">
        <v>26</v>
      </c>
      <c r="O611">
        <v>0</v>
      </c>
      <c r="P611" t="s">
        <v>1442</v>
      </c>
      <c r="Q611">
        <v>0</v>
      </c>
      <c r="R611" t="s">
        <v>246</v>
      </c>
      <c r="S611" t="s">
        <v>1172</v>
      </c>
      <c r="T611" t="s">
        <v>774</v>
      </c>
      <c r="U611" t="s">
        <v>776</v>
      </c>
      <c r="V611" t="s">
        <v>1442</v>
      </c>
      <c r="W611" t="s">
        <v>1442</v>
      </c>
    </row>
    <row r="612" spans="1:23" x14ac:dyDescent="0.25">
      <c r="A612" s="39">
        <v>46220.321736365702</v>
      </c>
      <c r="B612" s="40">
        <v>46220</v>
      </c>
      <c r="C612" t="s">
        <v>23</v>
      </c>
      <c r="D612" t="s">
        <v>30</v>
      </c>
      <c r="E612" t="s">
        <v>31</v>
      </c>
      <c r="F612" t="s">
        <v>464</v>
      </c>
      <c r="G612" t="s">
        <v>955</v>
      </c>
      <c r="H612" t="s">
        <v>956</v>
      </c>
      <c r="I612">
        <v>2.1172979999999999</v>
      </c>
      <c r="J612">
        <v>23.614999999999998</v>
      </c>
      <c r="K612">
        <v>-50</v>
      </c>
      <c r="L612">
        <v>-1</v>
      </c>
      <c r="M612">
        <v>0</v>
      </c>
      <c r="N612" t="s">
        <v>26</v>
      </c>
      <c r="O612">
        <v>0</v>
      </c>
      <c r="P612" t="s">
        <v>1442</v>
      </c>
      <c r="Q612">
        <v>0</v>
      </c>
      <c r="R612" t="s">
        <v>1173</v>
      </c>
      <c r="S612" t="s">
        <v>1174</v>
      </c>
      <c r="T612" t="s">
        <v>1442</v>
      </c>
      <c r="U612" t="s">
        <v>1442</v>
      </c>
      <c r="V612" t="s">
        <v>1442</v>
      </c>
      <c r="W612" t="s">
        <v>1442</v>
      </c>
    </row>
    <row r="613" spans="1:23" x14ac:dyDescent="0.25">
      <c r="A613" s="39">
        <v>46220.781232268499</v>
      </c>
      <c r="B613" s="40">
        <v>46220</v>
      </c>
      <c r="C613" t="s">
        <v>23</v>
      </c>
      <c r="D613" t="s">
        <v>24</v>
      </c>
      <c r="E613" t="s">
        <v>25</v>
      </c>
      <c r="F613" t="s">
        <v>1442</v>
      </c>
      <c r="G613" t="s">
        <v>774</v>
      </c>
      <c r="H613" t="s">
        <v>1442</v>
      </c>
      <c r="I613">
        <v>0</v>
      </c>
      <c r="J613">
        <v>0</v>
      </c>
      <c r="K613">
        <v>61</v>
      </c>
      <c r="L613">
        <v>0</v>
      </c>
      <c r="M613">
        <v>0</v>
      </c>
      <c r="N613" t="s">
        <v>26</v>
      </c>
      <c r="O613">
        <v>0</v>
      </c>
      <c r="P613" t="s">
        <v>1442</v>
      </c>
      <c r="Q613">
        <v>0</v>
      </c>
      <c r="R613" t="s">
        <v>246</v>
      </c>
      <c r="S613" t="s">
        <v>1175</v>
      </c>
      <c r="T613" t="s">
        <v>774</v>
      </c>
      <c r="U613" t="s">
        <v>776</v>
      </c>
      <c r="V613" t="s">
        <v>1442</v>
      </c>
      <c r="W613" t="s">
        <v>1442</v>
      </c>
    </row>
    <row r="614" spans="1:23" x14ac:dyDescent="0.25">
      <c r="A614" s="39">
        <v>46220.827291330999</v>
      </c>
      <c r="B614" s="40">
        <v>46220</v>
      </c>
      <c r="C614" t="s">
        <v>23</v>
      </c>
      <c r="D614" t="s">
        <v>30</v>
      </c>
      <c r="E614" t="s">
        <v>31</v>
      </c>
      <c r="F614" t="s">
        <v>32</v>
      </c>
      <c r="G614" t="s">
        <v>747</v>
      </c>
      <c r="H614" t="s">
        <v>748</v>
      </c>
      <c r="I614">
        <v>1</v>
      </c>
      <c r="J614">
        <v>60.21</v>
      </c>
      <c r="K614">
        <v>-60.21</v>
      </c>
      <c r="L614">
        <v>-1</v>
      </c>
      <c r="M614">
        <v>0</v>
      </c>
      <c r="N614" t="s">
        <v>26</v>
      </c>
      <c r="O614">
        <v>0</v>
      </c>
      <c r="P614" t="s">
        <v>1442</v>
      </c>
      <c r="Q614">
        <v>0</v>
      </c>
      <c r="R614" t="s">
        <v>878</v>
      </c>
      <c r="S614" t="s">
        <v>1176</v>
      </c>
      <c r="T614" t="s">
        <v>1442</v>
      </c>
      <c r="U614" t="s">
        <v>1442</v>
      </c>
      <c r="V614" t="s">
        <v>1442</v>
      </c>
      <c r="W614" t="s">
        <v>1442</v>
      </c>
    </row>
    <row r="615" spans="1:23" x14ac:dyDescent="0.25">
      <c r="A615" s="39">
        <v>46226.917723564802</v>
      </c>
      <c r="B615" s="40">
        <v>46226</v>
      </c>
      <c r="C615" t="s">
        <v>23</v>
      </c>
      <c r="D615" t="s">
        <v>24</v>
      </c>
      <c r="E615" t="s">
        <v>25</v>
      </c>
      <c r="F615" t="s">
        <v>1442</v>
      </c>
      <c r="G615" t="s">
        <v>774</v>
      </c>
      <c r="H615" t="s">
        <v>1442</v>
      </c>
      <c r="I615">
        <v>0</v>
      </c>
      <c r="J615">
        <v>0</v>
      </c>
      <c r="K615">
        <v>610</v>
      </c>
      <c r="L615">
        <v>0</v>
      </c>
      <c r="M615">
        <v>0</v>
      </c>
      <c r="N615" t="s">
        <v>26</v>
      </c>
      <c r="O615">
        <v>0</v>
      </c>
      <c r="P615" t="s">
        <v>1442</v>
      </c>
      <c r="Q615">
        <v>0</v>
      </c>
      <c r="R615" t="s">
        <v>246</v>
      </c>
      <c r="S615" t="s">
        <v>1177</v>
      </c>
      <c r="T615" t="s">
        <v>774</v>
      </c>
      <c r="U615" t="s">
        <v>776</v>
      </c>
      <c r="V615" t="s">
        <v>1442</v>
      </c>
      <c r="W615" t="s">
        <v>1442</v>
      </c>
    </row>
    <row r="616" spans="1:23" x14ac:dyDescent="0.25">
      <c r="A616" s="39">
        <v>46226.919942835702</v>
      </c>
      <c r="B616" s="40">
        <v>46226</v>
      </c>
      <c r="C616" t="s">
        <v>23</v>
      </c>
      <c r="D616" t="s">
        <v>30</v>
      </c>
      <c r="E616" t="s">
        <v>31</v>
      </c>
      <c r="F616" t="s">
        <v>464</v>
      </c>
      <c r="G616" t="s">
        <v>1178</v>
      </c>
      <c r="H616" t="s">
        <v>1179</v>
      </c>
      <c r="I616">
        <v>7.5628659999999996</v>
      </c>
      <c r="J616">
        <v>52.89</v>
      </c>
      <c r="K616">
        <v>-400</v>
      </c>
      <c r="L616">
        <v>-1</v>
      </c>
      <c r="M616">
        <v>0</v>
      </c>
      <c r="N616" t="s">
        <v>26</v>
      </c>
      <c r="O616">
        <v>0</v>
      </c>
      <c r="P616" t="s">
        <v>1442</v>
      </c>
      <c r="Q616">
        <v>0</v>
      </c>
      <c r="R616" t="s">
        <v>1180</v>
      </c>
      <c r="S616" t="s">
        <v>1181</v>
      </c>
      <c r="T616" t="s">
        <v>1442</v>
      </c>
      <c r="U616" t="s">
        <v>1442</v>
      </c>
      <c r="V616" t="s">
        <v>1442</v>
      </c>
      <c r="W616" t="s">
        <v>1442</v>
      </c>
    </row>
    <row r="617" spans="1:23" x14ac:dyDescent="0.25">
      <c r="A617" s="39">
        <v>46226.920198645799</v>
      </c>
      <c r="B617" s="40">
        <v>46226</v>
      </c>
      <c r="C617" t="s">
        <v>23</v>
      </c>
      <c r="D617" t="s">
        <v>30</v>
      </c>
      <c r="E617" t="s">
        <v>31</v>
      </c>
      <c r="F617" t="s">
        <v>32</v>
      </c>
      <c r="G617" t="s">
        <v>1182</v>
      </c>
      <c r="H617" t="s">
        <v>1183</v>
      </c>
      <c r="I617">
        <v>5.7689640000000004</v>
      </c>
      <c r="J617">
        <v>36.055</v>
      </c>
      <c r="K617">
        <v>-208</v>
      </c>
      <c r="L617">
        <v>-1</v>
      </c>
      <c r="M617">
        <v>0</v>
      </c>
      <c r="N617" t="s">
        <v>26</v>
      </c>
      <c r="O617">
        <v>0</v>
      </c>
      <c r="P617" t="s">
        <v>1442</v>
      </c>
      <c r="Q617">
        <v>0</v>
      </c>
      <c r="R617" t="s">
        <v>1184</v>
      </c>
      <c r="S617" t="s">
        <v>1185</v>
      </c>
      <c r="T617" t="s">
        <v>1442</v>
      </c>
      <c r="U617" t="s">
        <v>1442</v>
      </c>
      <c r="V617" t="s">
        <v>1442</v>
      </c>
      <c r="W617" t="s">
        <v>1442</v>
      </c>
    </row>
    <row r="618" spans="1:23" x14ac:dyDescent="0.25">
      <c r="A618" s="39">
        <v>46227.388942118101</v>
      </c>
      <c r="B618" s="40">
        <v>46227</v>
      </c>
      <c r="C618" t="s">
        <v>23</v>
      </c>
      <c r="D618" t="s">
        <v>24</v>
      </c>
      <c r="E618" t="s">
        <v>25</v>
      </c>
      <c r="F618" t="s">
        <v>1442</v>
      </c>
      <c r="G618" t="s">
        <v>774</v>
      </c>
      <c r="H618" t="s">
        <v>1442</v>
      </c>
      <c r="I618">
        <v>0</v>
      </c>
      <c r="J618">
        <v>0</v>
      </c>
      <c r="K618">
        <v>101</v>
      </c>
      <c r="L618">
        <v>0</v>
      </c>
      <c r="M618">
        <v>0</v>
      </c>
      <c r="N618" t="s">
        <v>26</v>
      </c>
      <c r="O618">
        <v>0</v>
      </c>
      <c r="P618" t="s">
        <v>1442</v>
      </c>
      <c r="Q618">
        <v>0</v>
      </c>
      <c r="R618" t="s">
        <v>246</v>
      </c>
      <c r="S618" t="s">
        <v>1186</v>
      </c>
      <c r="T618" t="s">
        <v>774</v>
      </c>
      <c r="U618" t="s">
        <v>776</v>
      </c>
      <c r="V618" t="s">
        <v>1442</v>
      </c>
      <c r="W618" t="s">
        <v>1442</v>
      </c>
    </row>
    <row r="619" spans="1:23" x14ac:dyDescent="0.25">
      <c r="A619" s="39">
        <v>46227.393021678203</v>
      </c>
      <c r="B619" s="40">
        <v>46227</v>
      </c>
      <c r="C619" t="s">
        <v>23</v>
      </c>
      <c r="D619" t="s">
        <v>30</v>
      </c>
      <c r="E619" t="s">
        <v>31</v>
      </c>
      <c r="F619" t="s">
        <v>32</v>
      </c>
      <c r="G619" t="s">
        <v>664</v>
      </c>
      <c r="H619" t="s">
        <v>665</v>
      </c>
      <c r="I619">
        <v>11.665888000000001</v>
      </c>
      <c r="J619">
        <v>8.5719999999999992</v>
      </c>
      <c r="K619">
        <v>-100</v>
      </c>
      <c r="L619">
        <v>-1</v>
      </c>
      <c r="M619">
        <v>0</v>
      </c>
      <c r="N619" t="s">
        <v>26</v>
      </c>
      <c r="O619">
        <v>0</v>
      </c>
      <c r="P619" t="s">
        <v>1442</v>
      </c>
      <c r="Q619">
        <v>0</v>
      </c>
      <c r="R619" t="s">
        <v>1187</v>
      </c>
      <c r="S619" t="s">
        <v>1188</v>
      </c>
      <c r="T619" t="s">
        <v>1442</v>
      </c>
      <c r="U619" t="s">
        <v>1442</v>
      </c>
      <c r="V619" t="s">
        <v>1442</v>
      </c>
      <c r="W619" t="s">
        <v>1442</v>
      </c>
    </row>
    <row r="620" spans="1:23" x14ac:dyDescent="0.25">
      <c r="A620" s="39">
        <v>46231.438553240703</v>
      </c>
      <c r="B620" s="40">
        <v>46231</v>
      </c>
      <c r="C620" t="s">
        <v>23</v>
      </c>
      <c r="D620" t="s">
        <v>24</v>
      </c>
      <c r="E620" t="s">
        <v>25</v>
      </c>
      <c r="F620" t="s">
        <v>1442</v>
      </c>
      <c r="G620" t="s">
        <v>774</v>
      </c>
      <c r="H620" t="s">
        <v>1442</v>
      </c>
      <c r="I620">
        <v>0</v>
      </c>
      <c r="J620">
        <v>0</v>
      </c>
      <c r="K620">
        <v>56</v>
      </c>
      <c r="L620">
        <v>0</v>
      </c>
      <c r="M620">
        <v>0</v>
      </c>
      <c r="N620" t="s">
        <v>26</v>
      </c>
      <c r="O620">
        <v>0</v>
      </c>
      <c r="P620" t="s">
        <v>1442</v>
      </c>
      <c r="Q620">
        <v>0</v>
      </c>
      <c r="R620" t="s">
        <v>246</v>
      </c>
      <c r="S620" t="s">
        <v>1189</v>
      </c>
      <c r="T620" t="s">
        <v>774</v>
      </c>
      <c r="U620" t="s">
        <v>776</v>
      </c>
      <c r="V620" t="s">
        <v>1442</v>
      </c>
      <c r="W620" t="s">
        <v>1442</v>
      </c>
    </row>
    <row r="621" spans="1:23" x14ac:dyDescent="0.25">
      <c r="A621" s="39">
        <v>46231.438712002302</v>
      </c>
      <c r="B621" s="40">
        <v>46231</v>
      </c>
      <c r="C621" t="s">
        <v>23</v>
      </c>
      <c r="D621" t="s">
        <v>30</v>
      </c>
      <c r="E621" t="s">
        <v>31</v>
      </c>
      <c r="F621" t="s">
        <v>32</v>
      </c>
      <c r="G621" t="s">
        <v>167</v>
      </c>
      <c r="H621" t="s">
        <v>168</v>
      </c>
      <c r="I621">
        <v>47.619047000000002</v>
      </c>
      <c r="J621">
        <v>1.155</v>
      </c>
      <c r="K621">
        <v>-55</v>
      </c>
      <c r="L621">
        <v>-1</v>
      </c>
      <c r="M621">
        <v>0</v>
      </c>
      <c r="N621" t="s">
        <v>26</v>
      </c>
      <c r="O621">
        <v>0</v>
      </c>
      <c r="P621" t="s">
        <v>1442</v>
      </c>
      <c r="Q621">
        <v>0</v>
      </c>
      <c r="R621" t="s">
        <v>1190</v>
      </c>
      <c r="S621" t="s">
        <v>1191</v>
      </c>
      <c r="T621" t="s">
        <v>1442</v>
      </c>
      <c r="U621" t="s">
        <v>1442</v>
      </c>
      <c r="V621" t="s">
        <v>1442</v>
      </c>
      <c r="W621" t="s">
        <v>1442</v>
      </c>
    </row>
    <row r="622" spans="1:23" x14ac:dyDescent="0.25">
      <c r="A622" s="39">
        <v>46232.948891655098</v>
      </c>
      <c r="B622" s="40">
        <v>46232</v>
      </c>
      <c r="C622" t="s">
        <v>23</v>
      </c>
      <c r="D622" t="s">
        <v>24</v>
      </c>
      <c r="E622" t="s">
        <v>25</v>
      </c>
      <c r="F622" t="s">
        <v>1442</v>
      </c>
      <c r="G622" t="s">
        <v>774</v>
      </c>
      <c r="H622" t="s">
        <v>1442</v>
      </c>
      <c r="I622">
        <v>0</v>
      </c>
      <c r="J622">
        <v>0</v>
      </c>
      <c r="K622">
        <v>51</v>
      </c>
      <c r="L622">
        <v>0</v>
      </c>
      <c r="M622">
        <v>0</v>
      </c>
      <c r="N622" t="s">
        <v>26</v>
      </c>
      <c r="O622">
        <v>0</v>
      </c>
      <c r="P622" t="s">
        <v>1442</v>
      </c>
      <c r="Q622">
        <v>0</v>
      </c>
      <c r="R622" t="s">
        <v>246</v>
      </c>
      <c r="S622" t="s">
        <v>1192</v>
      </c>
      <c r="T622" t="s">
        <v>774</v>
      </c>
      <c r="U622" t="s">
        <v>776</v>
      </c>
      <c r="V622" t="s">
        <v>1442</v>
      </c>
      <c r="W622" t="s">
        <v>1442</v>
      </c>
    </row>
    <row r="623" spans="1:23" x14ac:dyDescent="0.25">
      <c r="A623" s="39">
        <v>46232.9491371412</v>
      </c>
      <c r="B623" s="40">
        <v>46232</v>
      </c>
      <c r="C623" t="s">
        <v>23</v>
      </c>
      <c r="D623" t="s">
        <v>30</v>
      </c>
      <c r="E623" t="s">
        <v>31</v>
      </c>
      <c r="F623" t="s">
        <v>464</v>
      </c>
      <c r="G623" t="s">
        <v>1011</v>
      </c>
      <c r="H623" t="s">
        <v>1012</v>
      </c>
      <c r="I623">
        <v>1.2632639999999999</v>
      </c>
      <c r="J623">
        <v>39.58</v>
      </c>
      <c r="K623">
        <v>-50</v>
      </c>
      <c r="L623">
        <v>-1</v>
      </c>
      <c r="M623">
        <v>0</v>
      </c>
      <c r="N623" t="s">
        <v>26</v>
      </c>
      <c r="O623">
        <v>0</v>
      </c>
      <c r="P623" t="s">
        <v>1442</v>
      </c>
      <c r="Q623">
        <v>0</v>
      </c>
      <c r="R623" t="s">
        <v>1193</v>
      </c>
      <c r="S623" t="s">
        <v>1194</v>
      </c>
      <c r="T623" t="s">
        <v>1442</v>
      </c>
      <c r="U623" t="s">
        <v>1442</v>
      </c>
      <c r="V623" t="s">
        <v>1442</v>
      </c>
      <c r="W623" t="s">
        <v>1442</v>
      </c>
    </row>
    <row r="624" spans="1:23" x14ac:dyDescent="0.25">
      <c r="A624" s="39">
        <v>46232.951611527802</v>
      </c>
      <c r="B624" s="40">
        <v>46232</v>
      </c>
      <c r="C624" t="s">
        <v>23</v>
      </c>
      <c r="D624" t="s">
        <v>24</v>
      </c>
      <c r="E624" t="s">
        <v>25</v>
      </c>
      <c r="F624" t="s">
        <v>1442</v>
      </c>
      <c r="G624" t="s">
        <v>774</v>
      </c>
      <c r="H624" t="s">
        <v>1442</v>
      </c>
      <c r="I624">
        <v>0</v>
      </c>
      <c r="J624">
        <v>0</v>
      </c>
      <c r="K624">
        <v>153</v>
      </c>
      <c r="L624">
        <v>0</v>
      </c>
      <c r="M624">
        <v>0</v>
      </c>
      <c r="N624" t="s">
        <v>26</v>
      </c>
      <c r="O624">
        <v>0</v>
      </c>
      <c r="P624" t="s">
        <v>1442</v>
      </c>
      <c r="Q624">
        <v>0</v>
      </c>
      <c r="R624" t="s">
        <v>246</v>
      </c>
      <c r="S624" t="s">
        <v>1195</v>
      </c>
      <c r="T624" t="s">
        <v>774</v>
      </c>
      <c r="U624" t="s">
        <v>776</v>
      </c>
      <c r="V624" t="s">
        <v>1442</v>
      </c>
      <c r="W624" t="s">
        <v>1442</v>
      </c>
    </row>
    <row r="625" spans="1:23" x14ac:dyDescent="0.25">
      <c r="A625" s="39">
        <v>46232.953071342599</v>
      </c>
      <c r="B625" s="40">
        <v>46232</v>
      </c>
      <c r="C625" t="s">
        <v>23</v>
      </c>
      <c r="D625" t="s">
        <v>24</v>
      </c>
      <c r="E625" t="s">
        <v>725</v>
      </c>
      <c r="F625" t="s">
        <v>1442</v>
      </c>
      <c r="G625" t="s">
        <v>853</v>
      </c>
      <c r="H625" t="s">
        <v>1442</v>
      </c>
      <c r="I625">
        <v>0</v>
      </c>
      <c r="J625">
        <v>0</v>
      </c>
      <c r="K625">
        <v>-51</v>
      </c>
      <c r="L625">
        <v>0</v>
      </c>
      <c r="M625">
        <v>0</v>
      </c>
      <c r="N625" t="s">
        <v>26</v>
      </c>
      <c r="O625">
        <v>0</v>
      </c>
      <c r="P625" t="s">
        <v>1442</v>
      </c>
      <c r="Q625">
        <v>0</v>
      </c>
      <c r="R625" t="s">
        <v>854</v>
      </c>
      <c r="S625" t="s">
        <v>1196</v>
      </c>
      <c r="T625" t="s">
        <v>853</v>
      </c>
      <c r="U625" t="s">
        <v>856</v>
      </c>
      <c r="V625" t="s">
        <v>1442</v>
      </c>
      <c r="W625" t="s">
        <v>1442</v>
      </c>
    </row>
    <row r="626" spans="1:23" x14ac:dyDescent="0.25">
      <c r="A626" s="39">
        <v>46232.951873055601</v>
      </c>
      <c r="B626" s="40">
        <v>46232</v>
      </c>
      <c r="C626" t="s">
        <v>23</v>
      </c>
      <c r="D626" t="s">
        <v>24</v>
      </c>
      <c r="E626" t="s">
        <v>725</v>
      </c>
      <c r="F626" t="s">
        <v>1442</v>
      </c>
      <c r="G626" t="s">
        <v>845</v>
      </c>
      <c r="H626" t="s">
        <v>1442</v>
      </c>
      <c r="I626">
        <v>0</v>
      </c>
      <c r="J626">
        <v>0</v>
      </c>
      <c r="K626">
        <v>-51</v>
      </c>
      <c r="L626">
        <v>0</v>
      </c>
      <c r="M626">
        <v>0</v>
      </c>
      <c r="N626" t="s">
        <v>26</v>
      </c>
      <c r="O626">
        <v>0</v>
      </c>
      <c r="P626" t="s">
        <v>1442</v>
      </c>
      <c r="Q626">
        <v>0</v>
      </c>
      <c r="R626" t="s">
        <v>846</v>
      </c>
      <c r="S626" t="s">
        <v>1197</v>
      </c>
      <c r="T626" t="s">
        <v>845</v>
      </c>
      <c r="U626" t="s">
        <v>848</v>
      </c>
      <c r="V626" t="s">
        <v>1442</v>
      </c>
      <c r="W626" t="s">
        <v>1442</v>
      </c>
    </row>
    <row r="627" spans="1:23" x14ac:dyDescent="0.25">
      <c r="A627" s="39">
        <v>46232.9526025347</v>
      </c>
      <c r="B627" s="40">
        <v>46232</v>
      </c>
      <c r="C627" t="s">
        <v>23</v>
      </c>
      <c r="D627" t="s">
        <v>24</v>
      </c>
      <c r="E627" t="s">
        <v>725</v>
      </c>
      <c r="F627" t="s">
        <v>1442</v>
      </c>
      <c r="G627" t="s">
        <v>850</v>
      </c>
      <c r="H627" t="s">
        <v>1442</v>
      </c>
      <c r="I627">
        <v>0</v>
      </c>
      <c r="J627">
        <v>0</v>
      </c>
      <c r="K627">
        <v>-51</v>
      </c>
      <c r="L627">
        <v>0</v>
      </c>
      <c r="M627">
        <v>0</v>
      </c>
      <c r="N627" t="s">
        <v>26</v>
      </c>
      <c r="O627">
        <v>0</v>
      </c>
      <c r="P627" t="s">
        <v>1442</v>
      </c>
      <c r="Q627">
        <v>0</v>
      </c>
      <c r="R627" t="s">
        <v>726</v>
      </c>
      <c r="S627" t="s">
        <v>1198</v>
      </c>
      <c r="T627" t="s">
        <v>850</v>
      </c>
      <c r="U627" t="s">
        <v>852</v>
      </c>
      <c r="V627" t="s">
        <v>1442</v>
      </c>
      <c r="W627" t="s">
        <v>1442</v>
      </c>
    </row>
    <row r="628" spans="1:23" x14ac:dyDescent="0.25">
      <c r="A628" s="39">
        <v>46237.018443472203</v>
      </c>
      <c r="B628" s="40">
        <v>46236</v>
      </c>
      <c r="C628" t="s">
        <v>23</v>
      </c>
      <c r="D628" t="s">
        <v>24</v>
      </c>
      <c r="E628" t="s">
        <v>1199</v>
      </c>
      <c r="F628" t="s">
        <v>1442</v>
      </c>
      <c r="G628" t="s">
        <v>1200</v>
      </c>
      <c r="H628" t="s">
        <v>1442</v>
      </c>
      <c r="I628">
        <v>0</v>
      </c>
      <c r="J628">
        <v>0</v>
      </c>
      <c r="K628">
        <v>50</v>
      </c>
      <c r="L628">
        <v>0</v>
      </c>
      <c r="M628">
        <v>0</v>
      </c>
      <c r="N628" t="s">
        <v>26</v>
      </c>
      <c r="O628">
        <v>0</v>
      </c>
      <c r="P628" t="s">
        <v>1442</v>
      </c>
      <c r="Q628">
        <v>0</v>
      </c>
      <c r="R628" t="s">
        <v>1201</v>
      </c>
      <c r="S628" t="s">
        <v>1202</v>
      </c>
      <c r="T628" t="s">
        <v>1200</v>
      </c>
      <c r="U628" t="s">
        <v>776</v>
      </c>
      <c r="V628" t="s">
        <v>1442</v>
      </c>
      <c r="W628" t="s">
        <v>1442</v>
      </c>
    </row>
    <row r="629" spans="1:23" x14ac:dyDescent="0.25">
      <c r="A629" s="39">
        <v>46237.688509328698</v>
      </c>
      <c r="B629" s="40">
        <v>46237</v>
      </c>
      <c r="C629" t="s">
        <v>23</v>
      </c>
      <c r="D629" t="s">
        <v>30</v>
      </c>
      <c r="E629" t="s">
        <v>31</v>
      </c>
      <c r="F629" t="s">
        <v>464</v>
      </c>
      <c r="G629" t="s">
        <v>1178</v>
      </c>
      <c r="H629" t="s">
        <v>1179</v>
      </c>
      <c r="I629">
        <v>0.95365200000000006</v>
      </c>
      <c r="J629">
        <v>52.43</v>
      </c>
      <c r="K629">
        <v>-50</v>
      </c>
      <c r="L629">
        <v>0</v>
      </c>
      <c r="M629">
        <v>0</v>
      </c>
      <c r="N629" t="s">
        <v>26</v>
      </c>
      <c r="O629">
        <v>0</v>
      </c>
      <c r="P629" t="s">
        <v>1442</v>
      </c>
      <c r="Q629">
        <v>0</v>
      </c>
      <c r="R629" t="s">
        <v>1203</v>
      </c>
      <c r="S629" t="s">
        <v>1204</v>
      </c>
      <c r="T629" t="s">
        <v>1442</v>
      </c>
      <c r="U629" t="s">
        <v>1442</v>
      </c>
      <c r="V629" t="s">
        <v>1442</v>
      </c>
      <c r="W629" t="s">
        <v>1442</v>
      </c>
    </row>
    <row r="630" spans="1:23" x14ac:dyDescent="0.25">
      <c r="A630" s="39">
        <v>46238.9542492361</v>
      </c>
      <c r="B630" s="40">
        <v>46238</v>
      </c>
      <c r="C630" t="s">
        <v>23</v>
      </c>
      <c r="D630" t="s">
        <v>24</v>
      </c>
      <c r="E630" t="s">
        <v>25</v>
      </c>
      <c r="F630" t="s">
        <v>1442</v>
      </c>
      <c r="G630" t="s">
        <v>774</v>
      </c>
      <c r="H630" t="s">
        <v>1442</v>
      </c>
      <c r="I630">
        <v>0</v>
      </c>
      <c r="J630">
        <v>0</v>
      </c>
      <c r="K630">
        <v>101</v>
      </c>
      <c r="L630">
        <v>0</v>
      </c>
      <c r="M630">
        <v>0</v>
      </c>
      <c r="N630" t="s">
        <v>26</v>
      </c>
      <c r="O630">
        <v>0</v>
      </c>
      <c r="P630" t="s">
        <v>1442</v>
      </c>
      <c r="Q630">
        <v>0</v>
      </c>
      <c r="R630" t="s">
        <v>246</v>
      </c>
      <c r="S630" t="s">
        <v>1205</v>
      </c>
      <c r="T630" t="s">
        <v>774</v>
      </c>
      <c r="U630" t="s">
        <v>776</v>
      </c>
      <c r="V630" t="s">
        <v>1442</v>
      </c>
      <c r="W630" t="s">
        <v>1442</v>
      </c>
    </row>
    <row r="631" spans="1:23" x14ac:dyDescent="0.25">
      <c r="A631" s="39">
        <v>46238.954350104199</v>
      </c>
      <c r="B631" s="40">
        <v>46238</v>
      </c>
      <c r="C631" t="s">
        <v>23</v>
      </c>
      <c r="D631" t="s">
        <v>30</v>
      </c>
      <c r="E631" t="s">
        <v>31</v>
      </c>
      <c r="F631" t="s">
        <v>32</v>
      </c>
      <c r="G631" t="s">
        <v>664</v>
      </c>
      <c r="H631" t="s">
        <v>665</v>
      </c>
      <c r="I631">
        <v>11.709600999999999</v>
      </c>
      <c r="J631">
        <v>8.5399999999999991</v>
      </c>
      <c r="K631">
        <v>-100</v>
      </c>
      <c r="L631">
        <v>-1</v>
      </c>
      <c r="M631">
        <v>0</v>
      </c>
      <c r="N631" t="s">
        <v>26</v>
      </c>
      <c r="O631">
        <v>0</v>
      </c>
      <c r="P631" t="s">
        <v>1442</v>
      </c>
      <c r="Q631">
        <v>0</v>
      </c>
      <c r="R631" t="s">
        <v>1206</v>
      </c>
      <c r="S631" t="s">
        <v>1207</v>
      </c>
      <c r="T631" t="s">
        <v>1442</v>
      </c>
      <c r="U631" t="s">
        <v>1442</v>
      </c>
      <c r="V631" t="s">
        <v>1442</v>
      </c>
      <c r="W631" t="s">
        <v>1442</v>
      </c>
    </row>
    <row r="632" spans="1:23" x14ac:dyDescent="0.25">
      <c r="A632" s="39">
        <v>46243.579226955997</v>
      </c>
      <c r="B632" s="40">
        <v>46243</v>
      </c>
      <c r="C632" t="s">
        <v>23</v>
      </c>
      <c r="D632" t="s">
        <v>24</v>
      </c>
      <c r="E632" t="s">
        <v>25</v>
      </c>
      <c r="F632" t="s">
        <v>1442</v>
      </c>
      <c r="G632" t="s">
        <v>774</v>
      </c>
      <c r="H632" t="s">
        <v>1442</v>
      </c>
      <c r="I632">
        <v>0</v>
      </c>
      <c r="J632">
        <v>0</v>
      </c>
      <c r="K632">
        <v>26</v>
      </c>
      <c r="L632">
        <v>0</v>
      </c>
      <c r="M632">
        <v>0</v>
      </c>
      <c r="N632" t="s">
        <v>26</v>
      </c>
      <c r="O632">
        <v>0</v>
      </c>
      <c r="P632" t="s">
        <v>1442</v>
      </c>
      <c r="Q632">
        <v>0</v>
      </c>
      <c r="R632" t="s">
        <v>246</v>
      </c>
      <c r="S632" t="s">
        <v>1208</v>
      </c>
      <c r="T632" t="s">
        <v>774</v>
      </c>
      <c r="U632" t="s">
        <v>776</v>
      </c>
      <c r="V632" t="s">
        <v>1442</v>
      </c>
      <c r="W632" t="s">
        <v>1442</v>
      </c>
    </row>
    <row r="633" spans="1:23" x14ac:dyDescent="0.25">
      <c r="A633" s="39">
        <v>46243.5793058333</v>
      </c>
      <c r="B633" s="40">
        <v>46243</v>
      </c>
      <c r="C633" t="s">
        <v>23</v>
      </c>
      <c r="D633" t="s">
        <v>30</v>
      </c>
      <c r="E633" t="s">
        <v>31</v>
      </c>
      <c r="F633" t="s">
        <v>64</v>
      </c>
      <c r="G633" t="s">
        <v>118</v>
      </c>
      <c r="H633" t="s">
        <v>119</v>
      </c>
      <c r="I633">
        <v>35.613549999999996</v>
      </c>
      <c r="J633">
        <v>0.70198000000000005</v>
      </c>
      <c r="K633">
        <v>-25</v>
      </c>
      <c r="L633">
        <v>-1</v>
      </c>
      <c r="M633">
        <v>0</v>
      </c>
      <c r="N633" t="s">
        <v>26</v>
      </c>
      <c r="O633">
        <v>0</v>
      </c>
      <c r="P633" t="s">
        <v>1442</v>
      </c>
      <c r="Q633">
        <v>0</v>
      </c>
      <c r="R633" t="s">
        <v>1209</v>
      </c>
      <c r="S633" t="s">
        <v>1210</v>
      </c>
      <c r="T633" t="s">
        <v>1442</v>
      </c>
      <c r="U633" t="s">
        <v>1442</v>
      </c>
      <c r="V633" t="s">
        <v>1442</v>
      </c>
      <c r="W633" t="s">
        <v>1442</v>
      </c>
    </row>
    <row r="634" spans="1:23" x14ac:dyDescent="0.25">
      <c r="A634" s="39">
        <v>46246.328338946798</v>
      </c>
      <c r="B634" s="40">
        <v>46246</v>
      </c>
      <c r="C634" t="s">
        <v>23</v>
      </c>
      <c r="D634" t="s">
        <v>24</v>
      </c>
      <c r="E634" t="s">
        <v>25</v>
      </c>
      <c r="F634" t="s">
        <v>1442</v>
      </c>
      <c r="G634" t="s">
        <v>807</v>
      </c>
      <c r="H634" t="s">
        <v>1442</v>
      </c>
      <c r="I634">
        <v>0</v>
      </c>
      <c r="J634">
        <v>0</v>
      </c>
      <c r="K634">
        <v>73</v>
      </c>
      <c r="L634">
        <v>0</v>
      </c>
      <c r="M634">
        <v>0</v>
      </c>
      <c r="N634" t="s">
        <v>26</v>
      </c>
      <c r="O634">
        <v>0</v>
      </c>
      <c r="P634" t="s">
        <v>1442</v>
      </c>
      <c r="Q634">
        <v>0</v>
      </c>
      <c r="R634" t="s">
        <v>647</v>
      </c>
      <c r="S634" t="s">
        <v>1211</v>
      </c>
      <c r="T634" t="s">
        <v>807</v>
      </c>
      <c r="U634" t="s">
        <v>809</v>
      </c>
      <c r="V634" t="s">
        <v>1442</v>
      </c>
      <c r="W634" t="s">
        <v>1442</v>
      </c>
    </row>
    <row r="635" spans="1:23" x14ac:dyDescent="0.25">
      <c r="A635" s="39">
        <v>46247.466993981499</v>
      </c>
      <c r="B635" s="40">
        <v>46247</v>
      </c>
      <c r="C635" t="s">
        <v>23</v>
      </c>
      <c r="D635" t="s">
        <v>30</v>
      </c>
      <c r="E635" t="s">
        <v>31</v>
      </c>
      <c r="F635" t="s">
        <v>464</v>
      </c>
      <c r="G635" t="s">
        <v>1004</v>
      </c>
      <c r="H635" t="s">
        <v>1005</v>
      </c>
      <c r="I635">
        <v>8.6311060000000008</v>
      </c>
      <c r="J635">
        <v>5.7930000000000001</v>
      </c>
      <c r="K635">
        <v>-50</v>
      </c>
      <c r="L635">
        <v>-1</v>
      </c>
      <c r="M635">
        <v>0</v>
      </c>
      <c r="N635" t="s">
        <v>26</v>
      </c>
      <c r="O635">
        <v>0</v>
      </c>
      <c r="P635" t="s">
        <v>1442</v>
      </c>
      <c r="Q635">
        <v>0</v>
      </c>
      <c r="R635" t="s">
        <v>1212</v>
      </c>
      <c r="S635" t="s">
        <v>1213</v>
      </c>
      <c r="T635" t="s">
        <v>1442</v>
      </c>
      <c r="U635" t="s">
        <v>1442</v>
      </c>
      <c r="V635" t="s">
        <v>1442</v>
      </c>
      <c r="W635" t="s">
        <v>1442</v>
      </c>
    </row>
    <row r="636" spans="1:23" x14ac:dyDescent="0.25">
      <c r="A636" s="39">
        <v>46247.469875069401</v>
      </c>
      <c r="B636" s="40">
        <v>46247</v>
      </c>
      <c r="C636" t="s">
        <v>23</v>
      </c>
      <c r="D636" t="s">
        <v>30</v>
      </c>
      <c r="E636" t="s">
        <v>31</v>
      </c>
      <c r="F636" t="s">
        <v>64</v>
      </c>
      <c r="G636" t="s">
        <v>69</v>
      </c>
      <c r="H636" t="s">
        <v>69</v>
      </c>
      <c r="I636">
        <v>23.89141</v>
      </c>
      <c r="J636">
        <v>0.87897700000000001</v>
      </c>
      <c r="K636">
        <v>-21</v>
      </c>
      <c r="L636">
        <v>-1</v>
      </c>
      <c r="M636">
        <v>0</v>
      </c>
      <c r="N636" t="s">
        <v>26</v>
      </c>
      <c r="O636">
        <v>0</v>
      </c>
      <c r="P636" t="s">
        <v>1442</v>
      </c>
      <c r="Q636">
        <v>0</v>
      </c>
      <c r="R636" t="s">
        <v>1214</v>
      </c>
      <c r="S636" t="s">
        <v>1215</v>
      </c>
      <c r="T636" t="s">
        <v>1442</v>
      </c>
      <c r="U636" t="s">
        <v>1442</v>
      </c>
      <c r="V636" t="s">
        <v>1442</v>
      </c>
      <c r="W636" t="s">
        <v>1442</v>
      </c>
    </row>
    <row r="637" spans="1:23" x14ac:dyDescent="0.25">
      <c r="A637" s="39">
        <v>46247.470550972197</v>
      </c>
      <c r="B637" s="40">
        <v>46247</v>
      </c>
      <c r="C637" t="s">
        <v>23</v>
      </c>
      <c r="D637" t="s">
        <v>24</v>
      </c>
      <c r="E637" t="s">
        <v>25</v>
      </c>
      <c r="F637" t="s">
        <v>1442</v>
      </c>
      <c r="G637" t="s">
        <v>807</v>
      </c>
      <c r="H637" t="s">
        <v>1442</v>
      </c>
      <c r="I637">
        <v>0</v>
      </c>
      <c r="J637">
        <v>0</v>
      </c>
      <c r="K637">
        <v>51</v>
      </c>
      <c r="L637">
        <v>0</v>
      </c>
      <c r="M637">
        <v>0</v>
      </c>
      <c r="N637" t="s">
        <v>26</v>
      </c>
      <c r="O637">
        <v>0</v>
      </c>
      <c r="P637" t="s">
        <v>1442</v>
      </c>
      <c r="Q637">
        <v>0</v>
      </c>
      <c r="R637" t="s">
        <v>647</v>
      </c>
      <c r="S637" t="s">
        <v>1216</v>
      </c>
      <c r="T637" t="s">
        <v>807</v>
      </c>
      <c r="U637" t="s">
        <v>809</v>
      </c>
      <c r="V637" t="s">
        <v>1442</v>
      </c>
      <c r="W637" t="s">
        <v>1442</v>
      </c>
    </row>
    <row r="638" spans="1:23" x14ac:dyDescent="0.25">
      <c r="A638" s="39">
        <v>46247.470697488403</v>
      </c>
      <c r="B638" s="40">
        <v>46247</v>
      </c>
      <c r="C638" t="s">
        <v>23</v>
      </c>
      <c r="D638" t="s">
        <v>30</v>
      </c>
      <c r="E638" t="s">
        <v>31</v>
      </c>
      <c r="F638" t="s">
        <v>64</v>
      </c>
      <c r="G638" t="s">
        <v>107</v>
      </c>
      <c r="H638" t="s">
        <v>108</v>
      </c>
      <c r="I638">
        <v>6.5981339999999999</v>
      </c>
      <c r="J638">
        <v>7.5778999999999996</v>
      </c>
      <c r="K638">
        <v>-50</v>
      </c>
      <c r="L638">
        <v>-1</v>
      </c>
      <c r="M638">
        <v>0</v>
      </c>
      <c r="N638" t="s">
        <v>26</v>
      </c>
      <c r="O638">
        <v>0</v>
      </c>
      <c r="P638" t="s">
        <v>1442</v>
      </c>
      <c r="Q638">
        <v>0</v>
      </c>
      <c r="R638" t="s">
        <v>1217</v>
      </c>
      <c r="S638" t="s">
        <v>1218</v>
      </c>
      <c r="T638" t="s">
        <v>1442</v>
      </c>
      <c r="U638" t="s">
        <v>1442</v>
      </c>
      <c r="V638" t="s">
        <v>1442</v>
      </c>
      <c r="W638" t="s">
        <v>1442</v>
      </c>
    </row>
    <row r="639" spans="1:23" x14ac:dyDescent="0.25">
      <c r="A639" s="39">
        <v>46253.395540011603</v>
      </c>
      <c r="B639" s="40">
        <v>46253</v>
      </c>
      <c r="C639" t="s">
        <v>23</v>
      </c>
      <c r="D639" t="s">
        <v>24</v>
      </c>
      <c r="E639" t="s">
        <v>25</v>
      </c>
      <c r="F639" t="s">
        <v>1442</v>
      </c>
      <c r="G639" t="s">
        <v>774</v>
      </c>
      <c r="H639" t="s">
        <v>1442</v>
      </c>
      <c r="I639">
        <v>0</v>
      </c>
      <c r="J639">
        <v>0</v>
      </c>
      <c r="K639">
        <v>51</v>
      </c>
      <c r="L639">
        <v>0</v>
      </c>
      <c r="M639">
        <v>0</v>
      </c>
      <c r="N639" t="s">
        <v>26</v>
      </c>
      <c r="O639">
        <v>0</v>
      </c>
      <c r="P639" t="s">
        <v>1442</v>
      </c>
      <c r="Q639">
        <v>0</v>
      </c>
      <c r="R639" t="s">
        <v>246</v>
      </c>
      <c r="S639" t="s">
        <v>1219</v>
      </c>
      <c r="T639" t="s">
        <v>774</v>
      </c>
      <c r="U639" t="s">
        <v>776</v>
      </c>
      <c r="V639" t="s">
        <v>1442</v>
      </c>
      <c r="W639" t="s">
        <v>1442</v>
      </c>
    </row>
    <row r="640" spans="1:23" x14ac:dyDescent="0.25">
      <c r="A640" s="39">
        <v>46253.395623958299</v>
      </c>
      <c r="B640" s="40">
        <v>46253</v>
      </c>
      <c r="C640" t="s">
        <v>23</v>
      </c>
      <c r="D640" t="s">
        <v>30</v>
      </c>
      <c r="E640" t="s">
        <v>31</v>
      </c>
      <c r="F640" t="s">
        <v>32</v>
      </c>
      <c r="G640" t="s">
        <v>664</v>
      </c>
      <c r="H640" t="s">
        <v>665</v>
      </c>
      <c r="I640">
        <v>6.3532400000000004</v>
      </c>
      <c r="J640">
        <v>7.87</v>
      </c>
      <c r="K640">
        <v>-50</v>
      </c>
      <c r="L640">
        <v>-1</v>
      </c>
      <c r="M640">
        <v>0</v>
      </c>
      <c r="N640" t="s">
        <v>26</v>
      </c>
      <c r="O640">
        <v>0</v>
      </c>
      <c r="P640" t="s">
        <v>1442</v>
      </c>
      <c r="Q640">
        <v>0</v>
      </c>
      <c r="R640" t="s">
        <v>1220</v>
      </c>
      <c r="S640" t="s">
        <v>1221</v>
      </c>
      <c r="T640" t="s">
        <v>1442</v>
      </c>
      <c r="U640" t="s">
        <v>1442</v>
      </c>
      <c r="V640" t="s">
        <v>1442</v>
      </c>
      <c r="W640" t="s">
        <v>1442</v>
      </c>
    </row>
    <row r="641" spans="1:23" x14ac:dyDescent="0.25">
      <c r="A641" s="39">
        <v>46253.4081114699</v>
      </c>
      <c r="B641" s="40">
        <v>46253</v>
      </c>
      <c r="C641" t="s">
        <v>23</v>
      </c>
      <c r="D641" t="s">
        <v>24</v>
      </c>
      <c r="E641" t="s">
        <v>25</v>
      </c>
      <c r="F641" t="s">
        <v>1442</v>
      </c>
      <c r="G641" t="s">
        <v>807</v>
      </c>
      <c r="H641" t="s">
        <v>1442</v>
      </c>
      <c r="I641">
        <v>0</v>
      </c>
      <c r="J641">
        <v>0</v>
      </c>
      <c r="K641">
        <v>51</v>
      </c>
      <c r="L641">
        <v>0</v>
      </c>
      <c r="M641">
        <v>0</v>
      </c>
      <c r="N641" t="s">
        <v>26</v>
      </c>
      <c r="O641">
        <v>0</v>
      </c>
      <c r="P641" t="s">
        <v>1442</v>
      </c>
      <c r="Q641">
        <v>0</v>
      </c>
      <c r="R641" t="s">
        <v>647</v>
      </c>
      <c r="S641" t="s">
        <v>1222</v>
      </c>
      <c r="T641" t="s">
        <v>807</v>
      </c>
      <c r="U641" t="s">
        <v>809</v>
      </c>
      <c r="V641" t="s">
        <v>1442</v>
      </c>
      <c r="W641" t="s">
        <v>1442</v>
      </c>
    </row>
    <row r="642" spans="1:23" x14ac:dyDescent="0.25">
      <c r="A642" s="39">
        <v>46253.908457708298</v>
      </c>
      <c r="B642" s="40">
        <v>46253</v>
      </c>
      <c r="C642" t="s">
        <v>23</v>
      </c>
      <c r="D642" t="s">
        <v>30</v>
      </c>
      <c r="E642" t="s">
        <v>31</v>
      </c>
      <c r="F642" t="s">
        <v>32</v>
      </c>
      <c r="G642" t="s">
        <v>167</v>
      </c>
      <c r="H642" t="s">
        <v>168</v>
      </c>
      <c r="I642">
        <v>4.3233889999999997</v>
      </c>
      <c r="J642">
        <v>1.1565000000000001</v>
      </c>
      <c r="K642">
        <v>-5</v>
      </c>
      <c r="L642">
        <v>-1</v>
      </c>
      <c r="M642">
        <v>0</v>
      </c>
      <c r="N642" t="s">
        <v>26</v>
      </c>
      <c r="O642">
        <v>0</v>
      </c>
      <c r="P642" t="s">
        <v>1442</v>
      </c>
      <c r="Q642">
        <v>0</v>
      </c>
      <c r="R642" t="s">
        <v>1223</v>
      </c>
      <c r="S642" t="s">
        <v>1224</v>
      </c>
      <c r="T642" t="s">
        <v>1442</v>
      </c>
      <c r="U642" t="s">
        <v>1442</v>
      </c>
      <c r="V642" t="s">
        <v>1442</v>
      </c>
      <c r="W642" t="s">
        <v>1442</v>
      </c>
    </row>
    <row r="643" spans="1:23" x14ac:dyDescent="0.25">
      <c r="A643" s="39">
        <v>46253.909207951401</v>
      </c>
      <c r="B643" s="40">
        <v>46253</v>
      </c>
      <c r="C643" t="s">
        <v>23</v>
      </c>
      <c r="D643" t="s">
        <v>24</v>
      </c>
      <c r="E643" t="s">
        <v>25</v>
      </c>
      <c r="F643" t="s">
        <v>1442</v>
      </c>
      <c r="G643" t="s">
        <v>774</v>
      </c>
      <c r="H643" t="s">
        <v>1442</v>
      </c>
      <c r="I643">
        <v>0</v>
      </c>
      <c r="J643">
        <v>0</v>
      </c>
      <c r="K643">
        <v>6</v>
      </c>
      <c r="L643">
        <v>0</v>
      </c>
      <c r="M643">
        <v>0</v>
      </c>
      <c r="N643" t="s">
        <v>26</v>
      </c>
      <c r="O643">
        <v>0</v>
      </c>
      <c r="P643" t="s">
        <v>1442</v>
      </c>
      <c r="Q643">
        <v>0</v>
      </c>
      <c r="R643" t="s">
        <v>246</v>
      </c>
      <c r="S643" t="s">
        <v>1225</v>
      </c>
      <c r="T643" t="s">
        <v>774</v>
      </c>
      <c r="U643" t="s">
        <v>776</v>
      </c>
      <c r="V643" t="s">
        <v>1442</v>
      </c>
      <c r="W643" t="s">
        <v>1442</v>
      </c>
    </row>
    <row r="644" spans="1:23" x14ac:dyDescent="0.25">
      <c r="A644" s="39">
        <v>46253.909297256898</v>
      </c>
      <c r="B644" s="40">
        <v>46253</v>
      </c>
      <c r="C644" t="s">
        <v>23</v>
      </c>
      <c r="D644" t="s">
        <v>30</v>
      </c>
      <c r="E644" t="s">
        <v>31</v>
      </c>
      <c r="F644" t="s">
        <v>32</v>
      </c>
      <c r="G644" t="s">
        <v>167</v>
      </c>
      <c r="H644" t="s">
        <v>168</v>
      </c>
      <c r="I644">
        <v>43.233894999999997</v>
      </c>
      <c r="J644">
        <v>1.1565000000000001</v>
      </c>
      <c r="K644">
        <v>-50</v>
      </c>
      <c r="L644">
        <v>-1</v>
      </c>
      <c r="M644">
        <v>0</v>
      </c>
      <c r="N644" t="s">
        <v>26</v>
      </c>
      <c r="O644">
        <v>0</v>
      </c>
      <c r="P644" t="s">
        <v>1442</v>
      </c>
      <c r="Q644">
        <v>0</v>
      </c>
      <c r="R644" t="s">
        <v>1226</v>
      </c>
      <c r="S644" t="s">
        <v>1227</v>
      </c>
      <c r="T644" t="s">
        <v>1442</v>
      </c>
      <c r="U644" t="s">
        <v>1442</v>
      </c>
      <c r="V644" t="s">
        <v>1442</v>
      </c>
      <c r="W644" t="s">
        <v>1442</v>
      </c>
    </row>
    <row r="645" spans="1:23" x14ac:dyDescent="0.25">
      <c r="A645" s="39">
        <v>46254.482122777801</v>
      </c>
      <c r="B645" s="40">
        <v>46254</v>
      </c>
      <c r="C645" t="s">
        <v>23</v>
      </c>
      <c r="D645" t="s">
        <v>24</v>
      </c>
      <c r="E645" t="s">
        <v>25</v>
      </c>
      <c r="F645" t="s">
        <v>1442</v>
      </c>
      <c r="G645" t="s">
        <v>774</v>
      </c>
      <c r="H645" t="s">
        <v>1442</v>
      </c>
      <c r="I645">
        <v>0</v>
      </c>
      <c r="J645">
        <v>0</v>
      </c>
      <c r="K645">
        <v>91</v>
      </c>
      <c r="L645">
        <v>0</v>
      </c>
      <c r="M645">
        <v>0</v>
      </c>
      <c r="N645" t="s">
        <v>26</v>
      </c>
      <c r="O645">
        <v>0</v>
      </c>
      <c r="P645" t="s">
        <v>1442</v>
      </c>
      <c r="Q645">
        <v>0</v>
      </c>
      <c r="R645" t="s">
        <v>246</v>
      </c>
      <c r="S645" t="s">
        <v>1228</v>
      </c>
      <c r="T645" t="s">
        <v>774</v>
      </c>
      <c r="U645" t="s">
        <v>776</v>
      </c>
      <c r="V645" t="s">
        <v>1442</v>
      </c>
      <c r="W645" t="s">
        <v>1442</v>
      </c>
    </row>
    <row r="646" spans="1:23" x14ac:dyDescent="0.25">
      <c r="A646" s="39">
        <v>46254.483869085598</v>
      </c>
      <c r="B646" s="40">
        <v>46254</v>
      </c>
      <c r="C646" t="s">
        <v>23</v>
      </c>
      <c r="D646" t="s">
        <v>30</v>
      </c>
      <c r="E646" t="s">
        <v>31</v>
      </c>
      <c r="F646" t="s">
        <v>32</v>
      </c>
      <c r="G646" t="s">
        <v>167</v>
      </c>
      <c r="H646" t="s">
        <v>168</v>
      </c>
      <c r="I646">
        <v>64.624421999999996</v>
      </c>
      <c r="J646">
        <v>1.1915</v>
      </c>
      <c r="K646">
        <v>-77</v>
      </c>
      <c r="L646">
        <v>-1</v>
      </c>
      <c r="M646">
        <v>0</v>
      </c>
      <c r="N646" t="s">
        <v>26</v>
      </c>
      <c r="O646">
        <v>0</v>
      </c>
      <c r="P646" t="s">
        <v>1442</v>
      </c>
      <c r="Q646">
        <v>0</v>
      </c>
      <c r="R646" t="s">
        <v>1229</v>
      </c>
      <c r="S646" t="s">
        <v>1230</v>
      </c>
      <c r="T646" t="s">
        <v>1442</v>
      </c>
      <c r="U646" t="s">
        <v>1442</v>
      </c>
      <c r="V646" t="s">
        <v>1442</v>
      </c>
      <c r="W646" t="s">
        <v>1442</v>
      </c>
    </row>
    <row r="647" spans="1:23" x14ac:dyDescent="0.25">
      <c r="A647" s="39">
        <v>46254.485801354203</v>
      </c>
      <c r="B647" s="40">
        <v>46254</v>
      </c>
      <c r="C647" t="s">
        <v>23</v>
      </c>
      <c r="D647" t="s">
        <v>30</v>
      </c>
      <c r="E647" t="s">
        <v>31</v>
      </c>
      <c r="F647" t="s">
        <v>64</v>
      </c>
      <c r="G647" t="s">
        <v>69</v>
      </c>
      <c r="H647" t="s">
        <v>69</v>
      </c>
      <c r="I647">
        <v>12.15292</v>
      </c>
      <c r="J647">
        <v>0.987348</v>
      </c>
      <c r="K647">
        <v>-12</v>
      </c>
      <c r="L647">
        <v>-1</v>
      </c>
      <c r="M647">
        <v>0</v>
      </c>
      <c r="N647" t="s">
        <v>26</v>
      </c>
      <c r="O647">
        <v>0</v>
      </c>
      <c r="P647" t="s">
        <v>1442</v>
      </c>
      <c r="Q647">
        <v>0</v>
      </c>
      <c r="R647" t="s">
        <v>1231</v>
      </c>
      <c r="S647" t="s">
        <v>1232</v>
      </c>
      <c r="T647" t="s">
        <v>1442</v>
      </c>
      <c r="U647" t="s">
        <v>1442</v>
      </c>
      <c r="V647" t="s">
        <v>1442</v>
      </c>
      <c r="W647" t="s">
        <v>1442</v>
      </c>
    </row>
    <row r="648" spans="1:23" x14ac:dyDescent="0.25">
      <c r="A648" s="39">
        <v>46255.331011249997</v>
      </c>
      <c r="B648" s="40">
        <v>46255</v>
      </c>
      <c r="C648" t="s">
        <v>23</v>
      </c>
      <c r="D648" t="s">
        <v>24</v>
      </c>
      <c r="E648" t="s">
        <v>25</v>
      </c>
      <c r="F648" t="s">
        <v>1442</v>
      </c>
      <c r="G648" t="s">
        <v>774</v>
      </c>
      <c r="H648" t="s">
        <v>1442</v>
      </c>
      <c r="I648">
        <v>0</v>
      </c>
      <c r="J648">
        <v>0</v>
      </c>
      <c r="K648">
        <v>34</v>
      </c>
      <c r="L648">
        <v>0</v>
      </c>
      <c r="M648">
        <v>0</v>
      </c>
      <c r="N648" t="s">
        <v>26</v>
      </c>
      <c r="O648">
        <v>0</v>
      </c>
      <c r="P648" t="s">
        <v>1442</v>
      </c>
      <c r="Q648">
        <v>0</v>
      </c>
      <c r="R648" t="s">
        <v>246</v>
      </c>
      <c r="S648" t="s">
        <v>1233</v>
      </c>
      <c r="T648" t="s">
        <v>774</v>
      </c>
      <c r="U648" t="s">
        <v>776</v>
      </c>
      <c r="V648" t="s">
        <v>1442</v>
      </c>
      <c r="W648" t="s">
        <v>1442</v>
      </c>
    </row>
    <row r="649" spans="1:23" x14ac:dyDescent="0.25">
      <c r="A649" s="39">
        <v>46255.331106886602</v>
      </c>
      <c r="B649" s="40">
        <v>46255</v>
      </c>
      <c r="C649" t="s">
        <v>23</v>
      </c>
      <c r="D649" t="s">
        <v>30</v>
      </c>
      <c r="E649" t="s">
        <v>31</v>
      </c>
      <c r="F649" t="s">
        <v>32</v>
      </c>
      <c r="G649" t="s">
        <v>167</v>
      </c>
      <c r="H649" t="s">
        <v>168</v>
      </c>
      <c r="I649">
        <v>29.398662999999999</v>
      </c>
      <c r="J649">
        <v>1.1225000000000001</v>
      </c>
      <c r="K649">
        <v>-33</v>
      </c>
      <c r="L649">
        <v>-1</v>
      </c>
      <c r="M649">
        <v>0</v>
      </c>
      <c r="N649" t="s">
        <v>26</v>
      </c>
      <c r="O649">
        <v>0</v>
      </c>
      <c r="P649" t="s">
        <v>1442</v>
      </c>
      <c r="Q649">
        <v>0</v>
      </c>
      <c r="R649" t="s">
        <v>1234</v>
      </c>
      <c r="S649" t="s">
        <v>1235</v>
      </c>
      <c r="T649" t="s">
        <v>1442</v>
      </c>
      <c r="U649" t="s">
        <v>1442</v>
      </c>
      <c r="V649" t="s">
        <v>1442</v>
      </c>
      <c r="W649" t="s">
        <v>1442</v>
      </c>
    </row>
    <row r="650" spans="1:23" x14ac:dyDescent="0.25">
      <c r="A650" s="39">
        <v>46258.601679895801</v>
      </c>
      <c r="B650" s="40">
        <v>46258</v>
      </c>
      <c r="C650" t="s">
        <v>23</v>
      </c>
      <c r="D650" t="s">
        <v>24</v>
      </c>
      <c r="E650" t="s">
        <v>25</v>
      </c>
      <c r="F650" t="s">
        <v>1442</v>
      </c>
      <c r="G650" t="s">
        <v>807</v>
      </c>
      <c r="H650" t="s">
        <v>1442</v>
      </c>
      <c r="I650">
        <v>0</v>
      </c>
      <c r="J650">
        <v>0</v>
      </c>
      <c r="K650">
        <v>401</v>
      </c>
      <c r="L650">
        <v>0</v>
      </c>
      <c r="M650">
        <v>0</v>
      </c>
      <c r="N650" t="s">
        <v>26</v>
      </c>
      <c r="O650">
        <v>0</v>
      </c>
      <c r="P650" t="s">
        <v>1442</v>
      </c>
      <c r="Q650">
        <v>0</v>
      </c>
      <c r="R650" t="s">
        <v>647</v>
      </c>
      <c r="S650" t="s">
        <v>1236</v>
      </c>
      <c r="T650" t="s">
        <v>807</v>
      </c>
      <c r="U650" t="s">
        <v>809</v>
      </c>
      <c r="V650" t="s">
        <v>1442</v>
      </c>
      <c r="W650" t="s">
        <v>1442</v>
      </c>
    </row>
    <row r="651" spans="1:23" x14ac:dyDescent="0.25">
      <c r="A651" s="39">
        <v>46258.650790868101</v>
      </c>
      <c r="B651" s="40">
        <v>46258</v>
      </c>
      <c r="C651" t="s">
        <v>23</v>
      </c>
      <c r="D651" t="s">
        <v>30</v>
      </c>
      <c r="E651" t="s">
        <v>31</v>
      </c>
      <c r="F651" t="s">
        <v>464</v>
      </c>
      <c r="G651" t="s">
        <v>1237</v>
      </c>
      <c r="H651" t="s">
        <v>1238</v>
      </c>
      <c r="I651">
        <v>8.3333329999999997</v>
      </c>
      <c r="J651">
        <v>47.994999999999997</v>
      </c>
      <c r="K651">
        <v>-399.96</v>
      </c>
      <c r="L651">
        <v>-1</v>
      </c>
      <c r="M651">
        <v>0</v>
      </c>
      <c r="N651" t="s">
        <v>26</v>
      </c>
      <c r="O651">
        <v>0</v>
      </c>
      <c r="P651" t="s">
        <v>1442</v>
      </c>
      <c r="Q651">
        <v>0</v>
      </c>
      <c r="R651" t="s">
        <v>1239</v>
      </c>
      <c r="S651" t="s">
        <v>1240</v>
      </c>
      <c r="T651" t="s">
        <v>1442</v>
      </c>
      <c r="U651" t="s">
        <v>1442</v>
      </c>
      <c r="V651" t="s">
        <v>1442</v>
      </c>
      <c r="W651" t="s">
        <v>1442</v>
      </c>
    </row>
    <row r="652" spans="1:23" x14ac:dyDescent="0.25">
      <c r="A652" s="39">
        <v>46260.322363148101</v>
      </c>
      <c r="B652" s="40">
        <v>46260</v>
      </c>
      <c r="C652" t="s">
        <v>23</v>
      </c>
      <c r="D652" t="s">
        <v>24</v>
      </c>
      <c r="E652" t="s">
        <v>25</v>
      </c>
      <c r="F652" t="s">
        <v>1442</v>
      </c>
      <c r="G652" t="s">
        <v>774</v>
      </c>
      <c r="H652" t="s">
        <v>1442</v>
      </c>
      <c r="I652">
        <v>0</v>
      </c>
      <c r="J652">
        <v>0</v>
      </c>
      <c r="K652">
        <v>51</v>
      </c>
      <c r="L652">
        <v>0</v>
      </c>
      <c r="M652">
        <v>0</v>
      </c>
      <c r="N652" t="s">
        <v>26</v>
      </c>
      <c r="O652">
        <v>0</v>
      </c>
      <c r="P652" t="s">
        <v>1442</v>
      </c>
      <c r="Q652">
        <v>0</v>
      </c>
      <c r="R652" t="s">
        <v>246</v>
      </c>
      <c r="S652" t="s">
        <v>1241</v>
      </c>
      <c r="T652" t="s">
        <v>774</v>
      </c>
      <c r="U652" t="s">
        <v>776</v>
      </c>
      <c r="V652" t="s">
        <v>1442</v>
      </c>
      <c r="W652" t="s">
        <v>1442</v>
      </c>
    </row>
    <row r="653" spans="1:23" x14ac:dyDescent="0.25">
      <c r="A653" s="39">
        <v>46260.323372476902</v>
      </c>
      <c r="B653" s="40">
        <v>46260</v>
      </c>
      <c r="C653" t="s">
        <v>23</v>
      </c>
      <c r="D653" t="s">
        <v>30</v>
      </c>
      <c r="E653" t="s">
        <v>31</v>
      </c>
      <c r="F653" t="s">
        <v>32</v>
      </c>
      <c r="G653" t="s">
        <v>167</v>
      </c>
      <c r="H653" t="s">
        <v>168</v>
      </c>
      <c r="I653">
        <v>46.104194999999997</v>
      </c>
      <c r="J653">
        <v>1.0845</v>
      </c>
      <c r="K653">
        <v>-50</v>
      </c>
      <c r="L653">
        <v>-1</v>
      </c>
      <c r="M653">
        <v>0</v>
      </c>
      <c r="N653" t="s">
        <v>26</v>
      </c>
      <c r="O653">
        <v>0</v>
      </c>
      <c r="P653" t="s">
        <v>1442</v>
      </c>
      <c r="Q653">
        <v>0</v>
      </c>
      <c r="R653" t="s">
        <v>1242</v>
      </c>
      <c r="S653" t="s">
        <v>1243</v>
      </c>
      <c r="T653" t="s">
        <v>1442</v>
      </c>
      <c r="U653" t="s">
        <v>1442</v>
      </c>
      <c r="V653" t="s">
        <v>1442</v>
      </c>
      <c r="W653" t="s">
        <v>1442</v>
      </c>
    </row>
    <row r="654" spans="1:23" x14ac:dyDescent="0.25">
      <c r="A654" s="39">
        <v>46267.161464594901</v>
      </c>
      <c r="B654" s="40">
        <v>46267</v>
      </c>
      <c r="C654" t="s">
        <v>23</v>
      </c>
      <c r="D654" t="s">
        <v>24</v>
      </c>
      <c r="E654" t="s">
        <v>1199</v>
      </c>
      <c r="F654" t="s">
        <v>1442</v>
      </c>
      <c r="G654" t="s">
        <v>1200</v>
      </c>
      <c r="H654" t="s">
        <v>1442</v>
      </c>
      <c r="I654">
        <v>0</v>
      </c>
      <c r="J654">
        <v>0</v>
      </c>
      <c r="K654">
        <v>50</v>
      </c>
      <c r="L654">
        <v>0</v>
      </c>
      <c r="M654">
        <v>0</v>
      </c>
      <c r="N654" t="s">
        <v>26</v>
      </c>
      <c r="O654">
        <v>0</v>
      </c>
      <c r="P654" t="s">
        <v>1442</v>
      </c>
      <c r="Q654">
        <v>0</v>
      </c>
      <c r="R654" t="s">
        <v>1201</v>
      </c>
      <c r="S654" t="s">
        <v>1393</v>
      </c>
      <c r="T654" t="s">
        <v>1200</v>
      </c>
      <c r="U654" t="s">
        <v>776</v>
      </c>
      <c r="V654" t="s">
        <v>1442</v>
      </c>
      <c r="W654" t="s">
        <v>1442</v>
      </c>
    </row>
    <row r="655" spans="1:23" x14ac:dyDescent="0.25">
      <c r="A655" s="39">
        <v>46267.679141655099</v>
      </c>
      <c r="B655" s="40">
        <v>46267</v>
      </c>
      <c r="C655" t="s">
        <v>23</v>
      </c>
      <c r="D655" t="s">
        <v>30</v>
      </c>
      <c r="E655" t="s">
        <v>31</v>
      </c>
      <c r="F655" t="s">
        <v>464</v>
      </c>
      <c r="G655" t="s">
        <v>1178</v>
      </c>
      <c r="H655" t="s">
        <v>1179</v>
      </c>
      <c r="I655">
        <v>0.90744100000000005</v>
      </c>
      <c r="J655">
        <v>55.1</v>
      </c>
      <c r="K655">
        <v>-50</v>
      </c>
      <c r="L655">
        <v>0</v>
      </c>
      <c r="M655">
        <v>0</v>
      </c>
      <c r="N655" t="s">
        <v>26</v>
      </c>
      <c r="O655">
        <v>0</v>
      </c>
      <c r="P655" t="s">
        <v>1442</v>
      </c>
      <c r="Q655">
        <v>0</v>
      </c>
      <c r="R655" t="s">
        <v>1394</v>
      </c>
      <c r="S655" t="s">
        <v>1395</v>
      </c>
      <c r="T655" t="s">
        <v>1442</v>
      </c>
      <c r="U655" t="s">
        <v>1442</v>
      </c>
      <c r="V655" t="s">
        <v>1442</v>
      </c>
      <c r="W655" t="s">
        <v>1442</v>
      </c>
    </row>
    <row r="656" spans="1:23" x14ac:dyDescent="0.25">
      <c r="A656" s="39">
        <v>46280.4678639005</v>
      </c>
      <c r="B656" s="40">
        <v>46280</v>
      </c>
      <c r="C656" t="s">
        <v>23</v>
      </c>
      <c r="D656" t="s">
        <v>24</v>
      </c>
      <c r="E656" t="s">
        <v>25</v>
      </c>
      <c r="F656" t="s">
        <v>1442</v>
      </c>
      <c r="G656" t="s">
        <v>774</v>
      </c>
      <c r="H656" t="s">
        <v>1442</v>
      </c>
      <c r="I656">
        <v>0</v>
      </c>
      <c r="J656">
        <v>0</v>
      </c>
      <c r="K656">
        <v>51</v>
      </c>
      <c r="L656">
        <v>0</v>
      </c>
      <c r="M656">
        <v>0</v>
      </c>
      <c r="N656" t="s">
        <v>26</v>
      </c>
      <c r="O656">
        <v>0</v>
      </c>
      <c r="P656" t="s">
        <v>1442</v>
      </c>
      <c r="Q656">
        <v>0</v>
      </c>
      <c r="R656" t="s">
        <v>246</v>
      </c>
      <c r="S656" t="s">
        <v>1408</v>
      </c>
      <c r="T656" t="s">
        <v>774</v>
      </c>
      <c r="U656" t="s">
        <v>776</v>
      </c>
      <c r="V656" t="s">
        <v>1442</v>
      </c>
      <c r="W656" t="s">
        <v>1442</v>
      </c>
    </row>
    <row r="657" spans="1:23" x14ac:dyDescent="0.25">
      <c r="A657" s="39">
        <v>46280.490438946799</v>
      </c>
      <c r="B657" s="40">
        <v>46280</v>
      </c>
      <c r="C657" t="s">
        <v>23</v>
      </c>
      <c r="D657" t="s">
        <v>30</v>
      </c>
      <c r="E657" t="s">
        <v>31</v>
      </c>
      <c r="F657" t="s">
        <v>32</v>
      </c>
      <c r="G657" t="s">
        <v>167</v>
      </c>
      <c r="H657" t="s">
        <v>168</v>
      </c>
      <c r="I657">
        <v>50</v>
      </c>
      <c r="J657">
        <v>1</v>
      </c>
      <c r="K657">
        <v>-50</v>
      </c>
      <c r="L657">
        <v>-1</v>
      </c>
      <c r="M657">
        <v>0</v>
      </c>
      <c r="N657" t="s">
        <v>26</v>
      </c>
      <c r="O657">
        <v>0</v>
      </c>
      <c r="P657" t="s">
        <v>1442</v>
      </c>
      <c r="Q657">
        <v>0</v>
      </c>
      <c r="R657" t="s">
        <v>1409</v>
      </c>
      <c r="S657" t="s">
        <v>1410</v>
      </c>
      <c r="T657" t="s">
        <v>1442</v>
      </c>
      <c r="U657" t="s">
        <v>1442</v>
      </c>
      <c r="V657" t="s">
        <v>1442</v>
      </c>
      <c r="W657" t="s">
        <v>1442</v>
      </c>
    </row>
    <row r="658" spans="1:23" x14ac:dyDescent="0.25">
      <c r="A658" s="39">
        <v>46280.707478495402</v>
      </c>
      <c r="B658" s="40">
        <v>46280</v>
      </c>
      <c r="C658" t="s">
        <v>23</v>
      </c>
      <c r="D658" t="s">
        <v>24</v>
      </c>
      <c r="E658" t="s">
        <v>25</v>
      </c>
      <c r="F658" t="s">
        <v>1442</v>
      </c>
      <c r="G658" t="s">
        <v>774</v>
      </c>
      <c r="H658" t="s">
        <v>1442</v>
      </c>
      <c r="I658">
        <v>0</v>
      </c>
      <c r="J658">
        <v>0</v>
      </c>
      <c r="K658">
        <v>51</v>
      </c>
      <c r="L658">
        <v>0</v>
      </c>
      <c r="M658">
        <v>0</v>
      </c>
      <c r="N658" t="s">
        <v>26</v>
      </c>
      <c r="O658">
        <v>0</v>
      </c>
      <c r="P658" t="s">
        <v>1442</v>
      </c>
      <c r="Q658">
        <v>0</v>
      </c>
      <c r="R658" t="s">
        <v>246</v>
      </c>
      <c r="S658" t="s">
        <v>1411</v>
      </c>
      <c r="T658" t="s">
        <v>774</v>
      </c>
      <c r="U658" t="s">
        <v>776</v>
      </c>
      <c r="V658" t="s">
        <v>1442</v>
      </c>
      <c r="W658" t="s">
        <v>1442</v>
      </c>
    </row>
    <row r="659" spans="1:23" x14ac:dyDescent="0.25">
      <c r="A659" s="39">
        <v>46280.707949039403</v>
      </c>
      <c r="B659" s="40">
        <v>46280</v>
      </c>
      <c r="C659" t="s">
        <v>23</v>
      </c>
      <c r="D659" t="s">
        <v>30</v>
      </c>
      <c r="E659" t="s">
        <v>31</v>
      </c>
      <c r="F659" t="s">
        <v>464</v>
      </c>
      <c r="G659" t="s">
        <v>1004</v>
      </c>
      <c r="H659" t="s">
        <v>1005</v>
      </c>
      <c r="I659">
        <v>10.483279</v>
      </c>
      <c r="J659">
        <v>4.7694999999999999</v>
      </c>
      <c r="K659">
        <v>-50</v>
      </c>
      <c r="L659">
        <v>-1</v>
      </c>
      <c r="M659">
        <v>0</v>
      </c>
      <c r="N659" t="s">
        <v>26</v>
      </c>
      <c r="O659">
        <v>0</v>
      </c>
      <c r="P659" t="s">
        <v>1442</v>
      </c>
      <c r="Q659">
        <v>0</v>
      </c>
      <c r="R659" t="s">
        <v>1412</v>
      </c>
      <c r="S659" t="s">
        <v>1413</v>
      </c>
      <c r="T659" t="s">
        <v>1442</v>
      </c>
      <c r="U659" t="s">
        <v>1442</v>
      </c>
      <c r="V659" t="s">
        <v>1442</v>
      </c>
      <c r="W659" t="s">
        <v>1442</v>
      </c>
    </row>
    <row r="660" spans="1:23" x14ac:dyDescent="0.25">
      <c r="A660" s="39">
        <v>46281.300199837999</v>
      </c>
      <c r="B660" s="40">
        <v>46281</v>
      </c>
      <c r="C660" t="s">
        <v>23</v>
      </c>
      <c r="D660" t="s">
        <v>30</v>
      </c>
      <c r="E660" t="s">
        <v>82</v>
      </c>
      <c r="F660" t="s">
        <v>64</v>
      </c>
      <c r="G660" t="s">
        <v>65</v>
      </c>
      <c r="H660" t="s">
        <v>66</v>
      </c>
      <c r="I660">
        <v>-8.1041240000000005</v>
      </c>
      <c r="J660">
        <v>82.606999999999999</v>
      </c>
      <c r="K660">
        <v>669.46</v>
      </c>
      <c r="L660">
        <v>-1</v>
      </c>
      <c r="M660">
        <v>0</v>
      </c>
      <c r="N660" t="s">
        <v>26</v>
      </c>
      <c r="O660">
        <v>0</v>
      </c>
      <c r="P660" t="s">
        <v>1442</v>
      </c>
      <c r="Q660">
        <v>0</v>
      </c>
      <c r="R660" t="s">
        <v>1414</v>
      </c>
      <c r="S660" t="s">
        <v>1415</v>
      </c>
      <c r="T660" t="s">
        <v>1442</v>
      </c>
      <c r="U660" t="s">
        <v>1442</v>
      </c>
      <c r="V660" t="s">
        <v>1442</v>
      </c>
      <c r="W660" t="s">
        <v>1442</v>
      </c>
    </row>
    <row r="661" spans="1:23" x14ac:dyDescent="0.25">
      <c r="A661" s="39">
        <v>46281.301226030097</v>
      </c>
      <c r="B661" s="40">
        <v>46281</v>
      </c>
      <c r="C661" t="s">
        <v>23</v>
      </c>
      <c r="D661" t="s">
        <v>24</v>
      </c>
      <c r="E661" t="s">
        <v>161</v>
      </c>
      <c r="F661" t="s">
        <v>1442</v>
      </c>
      <c r="G661" t="s">
        <v>774</v>
      </c>
      <c r="H661" t="s">
        <v>1442</v>
      </c>
      <c r="I661">
        <v>0</v>
      </c>
      <c r="J661">
        <v>0</v>
      </c>
      <c r="K661">
        <v>-668.65</v>
      </c>
      <c r="L661">
        <v>0</v>
      </c>
      <c r="M661">
        <v>0</v>
      </c>
      <c r="N661" t="s">
        <v>26</v>
      </c>
      <c r="O661">
        <v>0</v>
      </c>
      <c r="P661" t="s">
        <v>1442</v>
      </c>
      <c r="Q661">
        <v>0</v>
      </c>
      <c r="R661" t="s">
        <v>397</v>
      </c>
      <c r="S661" t="s">
        <v>1416</v>
      </c>
      <c r="T661" t="s">
        <v>774</v>
      </c>
      <c r="U661" t="s">
        <v>776</v>
      </c>
      <c r="V661" t="s">
        <v>1442</v>
      </c>
      <c r="W661" t="s">
        <v>1442</v>
      </c>
    </row>
    <row r="662" spans="1:23" x14ac:dyDescent="0.25">
      <c r="A662" s="39">
        <v>46281.364682372703</v>
      </c>
      <c r="B662" s="40">
        <v>46281</v>
      </c>
      <c r="C662" t="s">
        <v>23</v>
      </c>
      <c r="D662" t="s">
        <v>30</v>
      </c>
      <c r="E662" t="s">
        <v>31</v>
      </c>
      <c r="F662" t="s">
        <v>32</v>
      </c>
      <c r="G662" t="s">
        <v>1182</v>
      </c>
      <c r="H662" t="s">
        <v>1183</v>
      </c>
      <c r="I662">
        <v>1</v>
      </c>
      <c r="J662">
        <v>31.504999999999999</v>
      </c>
      <c r="K662">
        <v>-31.51</v>
      </c>
      <c r="L662">
        <v>-1</v>
      </c>
      <c r="M662">
        <v>0</v>
      </c>
      <c r="N662" t="s">
        <v>26</v>
      </c>
      <c r="O662">
        <v>0</v>
      </c>
      <c r="P662" t="s">
        <v>1442</v>
      </c>
      <c r="Q662">
        <v>0</v>
      </c>
      <c r="R662" t="s">
        <v>1417</v>
      </c>
      <c r="S662" t="s">
        <v>1418</v>
      </c>
      <c r="T662" t="s">
        <v>1442</v>
      </c>
      <c r="U662" t="s">
        <v>1442</v>
      </c>
      <c r="V662" t="s">
        <v>1442</v>
      </c>
      <c r="W662" t="s">
        <v>1442</v>
      </c>
    </row>
    <row r="663" spans="1:23" x14ac:dyDescent="0.25">
      <c r="A663" s="39">
        <v>46281.364686539397</v>
      </c>
      <c r="B663" s="40">
        <v>46281</v>
      </c>
      <c r="C663" t="s">
        <v>23</v>
      </c>
      <c r="D663" t="s">
        <v>24</v>
      </c>
      <c r="E663" t="s">
        <v>25</v>
      </c>
      <c r="F663" t="s">
        <v>1442</v>
      </c>
      <c r="G663" t="s">
        <v>774</v>
      </c>
      <c r="H663" t="s">
        <v>1442</v>
      </c>
      <c r="I663">
        <v>0</v>
      </c>
      <c r="J663">
        <v>0</v>
      </c>
      <c r="K663">
        <v>33</v>
      </c>
      <c r="L663">
        <v>0</v>
      </c>
      <c r="M663">
        <v>0</v>
      </c>
      <c r="N663" t="s">
        <v>26</v>
      </c>
      <c r="O663">
        <v>0</v>
      </c>
      <c r="P663" t="s">
        <v>1442</v>
      </c>
      <c r="Q663">
        <v>0</v>
      </c>
      <c r="R663" t="s">
        <v>246</v>
      </c>
      <c r="S663" t="s">
        <v>1419</v>
      </c>
      <c r="T663" t="s">
        <v>774</v>
      </c>
      <c r="U663" t="s">
        <v>776</v>
      </c>
      <c r="V663" t="s">
        <v>1442</v>
      </c>
      <c r="W663" t="s">
        <v>1442</v>
      </c>
    </row>
    <row r="664" spans="1:23" x14ac:dyDescent="0.25">
      <c r="A664" s="39">
        <v>46283.243437777797</v>
      </c>
      <c r="B664" s="40">
        <v>46283</v>
      </c>
      <c r="C664" t="s">
        <v>23</v>
      </c>
      <c r="D664" t="s">
        <v>30</v>
      </c>
      <c r="E664" t="s">
        <v>31</v>
      </c>
      <c r="F664" t="s">
        <v>64</v>
      </c>
      <c r="G664" t="s">
        <v>65</v>
      </c>
      <c r="H664" t="s">
        <v>66</v>
      </c>
      <c r="I664">
        <v>2</v>
      </c>
      <c r="J664">
        <v>92.072000000000003</v>
      </c>
      <c r="K664">
        <v>-184.14</v>
      </c>
      <c r="L664">
        <v>-1</v>
      </c>
      <c r="M664">
        <v>0</v>
      </c>
      <c r="N664" t="s">
        <v>26</v>
      </c>
      <c r="O664">
        <v>0</v>
      </c>
      <c r="P664" t="s">
        <v>1442</v>
      </c>
      <c r="Q664">
        <v>0</v>
      </c>
      <c r="R664" t="s">
        <v>1423</v>
      </c>
      <c r="S664" t="s">
        <v>1424</v>
      </c>
      <c r="T664" t="s">
        <v>1442</v>
      </c>
      <c r="U664" t="s">
        <v>1442</v>
      </c>
      <c r="V664" t="s">
        <v>1442</v>
      </c>
      <c r="W664" t="s">
        <v>1442</v>
      </c>
    </row>
    <row r="665" spans="1:23" x14ac:dyDescent="0.25">
      <c r="A665" s="39">
        <v>46283.244525335598</v>
      </c>
      <c r="B665" s="40">
        <v>46283</v>
      </c>
      <c r="C665" t="s">
        <v>23</v>
      </c>
      <c r="D665" t="s">
        <v>24</v>
      </c>
      <c r="E665" t="s">
        <v>25</v>
      </c>
      <c r="F665" t="s">
        <v>1442</v>
      </c>
      <c r="G665" t="s">
        <v>774</v>
      </c>
      <c r="H665" t="s">
        <v>1442</v>
      </c>
      <c r="I665">
        <v>0</v>
      </c>
      <c r="J665">
        <v>0</v>
      </c>
      <c r="K665">
        <v>93</v>
      </c>
      <c r="L665">
        <v>0</v>
      </c>
      <c r="M665">
        <v>0</v>
      </c>
      <c r="N665" t="s">
        <v>26</v>
      </c>
      <c r="O665">
        <v>0</v>
      </c>
      <c r="P665" t="s">
        <v>1442</v>
      </c>
      <c r="Q665">
        <v>0</v>
      </c>
      <c r="R665" t="s">
        <v>246</v>
      </c>
      <c r="S665" t="s">
        <v>1425</v>
      </c>
      <c r="T665" t="s">
        <v>774</v>
      </c>
      <c r="U665" t="s">
        <v>776</v>
      </c>
      <c r="V665" t="s">
        <v>1442</v>
      </c>
      <c r="W665" t="s">
        <v>1442</v>
      </c>
    </row>
    <row r="666" spans="1:23" x14ac:dyDescent="0.25">
      <c r="A666" s="39">
        <v>46283.243302048599</v>
      </c>
      <c r="B666" s="40">
        <v>46283</v>
      </c>
      <c r="C666" t="s">
        <v>23</v>
      </c>
      <c r="D666" t="s">
        <v>24</v>
      </c>
      <c r="E666" t="s">
        <v>25</v>
      </c>
      <c r="F666" t="s">
        <v>1442</v>
      </c>
      <c r="G666" t="s">
        <v>774</v>
      </c>
      <c r="H666" t="s">
        <v>1442</v>
      </c>
      <c r="I666">
        <v>0</v>
      </c>
      <c r="J666">
        <v>0</v>
      </c>
      <c r="K666">
        <v>185</v>
      </c>
      <c r="L666">
        <v>0</v>
      </c>
      <c r="M666">
        <v>0</v>
      </c>
      <c r="N666" t="s">
        <v>26</v>
      </c>
      <c r="O666">
        <v>0</v>
      </c>
      <c r="P666" t="s">
        <v>1442</v>
      </c>
      <c r="Q666">
        <v>0</v>
      </c>
      <c r="R666" t="s">
        <v>246</v>
      </c>
      <c r="S666" t="s">
        <v>1426</v>
      </c>
      <c r="T666" t="s">
        <v>774</v>
      </c>
      <c r="U666" t="s">
        <v>776</v>
      </c>
      <c r="V666" t="s">
        <v>1442</v>
      </c>
      <c r="W666" t="s">
        <v>1442</v>
      </c>
    </row>
    <row r="667" spans="1:23" x14ac:dyDescent="0.25">
      <c r="A667" s="39">
        <v>46283.2445944676</v>
      </c>
      <c r="B667" s="40">
        <v>46283</v>
      </c>
      <c r="C667" t="s">
        <v>23</v>
      </c>
      <c r="D667" t="s">
        <v>30</v>
      </c>
      <c r="E667" t="s">
        <v>31</v>
      </c>
      <c r="F667" t="s">
        <v>64</v>
      </c>
      <c r="G667" t="s">
        <v>65</v>
      </c>
      <c r="H667" t="s">
        <v>66</v>
      </c>
      <c r="I667">
        <v>1</v>
      </c>
      <c r="J667">
        <v>91.811999999999998</v>
      </c>
      <c r="K667">
        <v>-91.81</v>
      </c>
      <c r="L667">
        <v>-1</v>
      </c>
      <c r="M667">
        <v>0</v>
      </c>
      <c r="N667" t="s">
        <v>26</v>
      </c>
      <c r="O667">
        <v>0</v>
      </c>
      <c r="P667" t="s">
        <v>1442</v>
      </c>
      <c r="Q667">
        <v>0</v>
      </c>
      <c r="R667" t="s">
        <v>572</v>
      </c>
      <c r="S667" t="s">
        <v>1427</v>
      </c>
      <c r="T667" t="s">
        <v>1442</v>
      </c>
      <c r="U667" t="s">
        <v>1442</v>
      </c>
      <c r="V667" t="s">
        <v>1442</v>
      </c>
      <c r="W667" t="s">
        <v>1442</v>
      </c>
    </row>
    <row r="668" spans="1:23" x14ac:dyDescent="0.25">
      <c r="A668" s="39">
        <v>46283.264556747701</v>
      </c>
      <c r="B668" s="40">
        <v>46283</v>
      </c>
      <c r="C668" t="s">
        <v>23</v>
      </c>
      <c r="D668" t="s">
        <v>24</v>
      </c>
      <c r="E668" t="s">
        <v>25</v>
      </c>
      <c r="F668" t="s">
        <v>1442</v>
      </c>
      <c r="G668" t="s">
        <v>774</v>
      </c>
      <c r="H668" t="s">
        <v>1442</v>
      </c>
      <c r="I668">
        <v>0</v>
      </c>
      <c r="J668">
        <v>0</v>
      </c>
      <c r="K668">
        <v>101</v>
      </c>
      <c r="L668">
        <v>0</v>
      </c>
      <c r="M668">
        <v>0</v>
      </c>
      <c r="N668" t="s">
        <v>26</v>
      </c>
      <c r="O668">
        <v>0</v>
      </c>
      <c r="P668" t="s">
        <v>1442</v>
      </c>
      <c r="Q668">
        <v>0</v>
      </c>
      <c r="R668" t="s">
        <v>246</v>
      </c>
      <c r="S668" t="s">
        <v>1428</v>
      </c>
      <c r="T668" t="s">
        <v>774</v>
      </c>
      <c r="U668" t="s">
        <v>776</v>
      </c>
      <c r="V668" t="s">
        <v>1442</v>
      </c>
      <c r="W668" t="s">
        <v>1442</v>
      </c>
    </row>
    <row r="669" spans="1:23" x14ac:dyDescent="0.25">
      <c r="A669" s="39">
        <v>46283.264683645801</v>
      </c>
      <c r="B669" s="40">
        <v>46283</v>
      </c>
      <c r="C669" t="s">
        <v>23</v>
      </c>
      <c r="D669" t="s">
        <v>30</v>
      </c>
      <c r="E669" t="s">
        <v>31</v>
      </c>
      <c r="F669" t="s">
        <v>64</v>
      </c>
      <c r="G669" t="s">
        <v>1421</v>
      </c>
      <c r="H669" t="s">
        <v>1422</v>
      </c>
      <c r="I669">
        <v>1356.0241370000001</v>
      </c>
      <c r="J669">
        <v>7.3744000000000004E-2</v>
      </c>
      <c r="K669">
        <v>-100</v>
      </c>
      <c r="L669">
        <v>-1</v>
      </c>
      <c r="M669">
        <v>0</v>
      </c>
      <c r="N669" t="s">
        <v>26</v>
      </c>
      <c r="O669">
        <v>0</v>
      </c>
      <c r="P669" t="s">
        <v>1442</v>
      </c>
      <c r="Q669">
        <v>0</v>
      </c>
      <c r="R669" t="s">
        <v>1429</v>
      </c>
      <c r="S669" t="s">
        <v>1430</v>
      </c>
      <c r="T669" t="s">
        <v>1442</v>
      </c>
      <c r="U669" t="s">
        <v>1442</v>
      </c>
      <c r="V669" t="s">
        <v>1442</v>
      </c>
      <c r="W669" t="s">
        <v>1442</v>
      </c>
    </row>
    <row r="670" spans="1:23" x14ac:dyDescent="0.25">
      <c r="A670" s="39">
        <v>46295.930590694399</v>
      </c>
      <c r="B670" s="40">
        <v>46295</v>
      </c>
      <c r="C670" t="s">
        <v>23</v>
      </c>
      <c r="D670" t="s">
        <v>24</v>
      </c>
      <c r="E670" t="s">
        <v>25</v>
      </c>
      <c r="F670" t="s">
        <v>1442</v>
      </c>
      <c r="G670" t="s">
        <v>774</v>
      </c>
      <c r="H670" t="s">
        <v>1442</v>
      </c>
      <c r="I670">
        <v>0</v>
      </c>
      <c r="J670">
        <v>0</v>
      </c>
      <c r="K670">
        <v>101</v>
      </c>
      <c r="L670">
        <v>0</v>
      </c>
      <c r="M670">
        <v>0</v>
      </c>
      <c r="N670" t="s">
        <v>26</v>
      </c>
      <c r="O670">
        <v>0</v>
      </c>
      <c r="P670" t="s">
        <v>1442</v>
      </c>
      <c r="Q670">
        <v>0</v>
      </c>
      <c r="R670" t="s">
        <v>246</v>
      </c>
      <c r="S670" t="s">
        <v>1443</v>
      </c>
      <c r="T670" t="s">
        <v>774</v>
      </c>
      <c r="U670" t="s">
        <v>776</v>
      </c>
      <c r="V670" t="s">
        <v>1442</v>
      </c>
      <c r="W670" t="s">
        <v>1442</v>
      </c>
    </row>
    <row r="671" spans="1:23" x14ac:dyDescent="0.25">
      <c r="A671" s="39">
        <v>46295.930676736098</v>
      </c>
      <c r="B671" s="40">
        <v>46295</v>
      </c>
      <c r="C671" t="s">
        <v>23</v>
      </c>
      <c r="D671" t="s">
        <v>30</v>
      </c>
      <c r="E671" t="s">
        <v>31</v>
      </c>
      <c r="F671" t="s">
        <v>32</v>
      </c>
      <c r="G671" t="s">
        <v>1444</v>
      </c>
      <c r="H671" t="s">
        <v>1445</v>
      </c>
      <c r="I671">
        <v>8.5034010000000002</v>
      </c>
      <c r="J671">
        <v>11.76</v>
      </c>
      <c r="K671">
        <v>-100</v>
      </c>
      <c r="L671">
        <v>-1</v>
      </c>
      <c r="M671">
        <v>0</v>
      </c>
      <c r="N671" t="s">
        <v>26</v>
      </c>
      <c r="O671">
        <v>0</v>
      </c>
      <c r="P671" t="s">
        <v>1442</v>
      </c>
      <c r="Q671">
        <v>0</v>
      </c>
      <c r="R671" t="s">
        <v>1446</v>
      </c>
      <c r="S671" t="s">
        <v>1447</v>
      </c>
      <c r="T671" t="s">
        <v>1442</v>
      </c>
      <c r="U671" t="s">
        <v>1442</v>
      </c>
      <c r="V671" t="s">
        <v>1442</v>
      </c>
      <c r="W671" t="s">
        <v>1442</v>
      </c>
    </row>
    <row r="672" spans="1:23" x14ac:dyDescent="0.25">
      <c r="A672" s="39">
        <v>46296.550503865699</v>
      </c>
      <c r="B672" s="40">
        <v>46296</v>
      </c>
      <c r="C672" t="s">
        <v>23</v>
      </c>
      <c r="D672" t="s">
        <v>24</v>
      </c>
      <c r="E672" t="s">
        <v>178</v>
      </c>
      <c r="F672" t="s">
        <v>32</v>
      </c>
      <c r="G672" t="s">
        <v>1182</v>
      </c>
      <c r="H672" t="s">
        <v>1183</v>
      </c>
      <c r="I672">
        <v>5.7689640000000004</v>
      </c>
      <c r="J672">
        <v>0</v>
      </c>
      <c r="K672">
        <v>2.09</v>
      </c>
      <c r="L672">
        <v>0</v>
      </c>
      <c r="M672">
        <v>-0.32</v>
      </c>
      <c r="N672" t="s">
        <v>26</v>
      </c>
      <c r="O672">
        <v>2.37</v>
      </c>
      <c r="P672" t="s">
        <v>179</v>
      </c>
      <c r="Q672">
        <v>0.88066900000000004</v>
      </c>
      <c r="R672" t="s">
        <v>1456</v>
      </c>
      <c r="S672" t="s">
        <v>1457</v>
      </c>
      <c r="T672" t="s">
        <v>1442</v>
      </c>
      <c r="U672" t="s">
        <v>1442</v>
      </c>
      <c r="V672" t="s">
        <v>1442</v>
      </c>
      <c r="W672" t="s">
        <v>1442</v>
      </c>
    </row>
    <row r="673" spans="1:23" x14ac:dyDescent="0.25">
      <c r="A673" s="39">
        <v>46297.133000231501</v>
      </c>
      <c r="B673" s="40">
        <v>46297</v>
      </c>
      <c r="C673" t="s">
        <v>23</v>
      </c>
      <c r="D673" t="s">
        <v>24</v>
      </c>
      <c r="E673" t="s">
        <v>1199</v>
      </c>
      <c r="F673" t="s">
        <v>1442</v>
      </c>
      <c r="G673" t="s">
        <v>1200</v>
      </c>
      <c r="H673" t="s">
        <v>1442</v>
      </c>
      <c r="I673">
        <v>0</v>
      </c>
      <c r="J673">
        <v>0</v>
      </c>
      <c r="K673">
        <v>50</v>
      </c>
      <c r="L673">
        <v>0</v>
      </c>
      <c r="M673">
        <v>0</v>
      </c>
      <c r="N673" t="s">
        <v>26</v>
      </c>
      <c r="O673">
        <v>0</v>
      </c>
      <c r="P673" t="s">
        <v>1442</v>
      </c>
      <c r="Q673">
        <v>0</v>
      </c>
      <c r="R673" t="s">
        <v>1201</v>
      </c>
      <c r="S673" t="s">
        <v>1458</v>
      </c>
      <c r="T673" t="s">
        <v>1200</v>
      </c>
      <c r="U673" t="s">
        <v>776</v>
      </c>
      <c r="V673" t="s">
        <v>1442</v>
      </c>
      <c r="W673" t="s">
        <v>1442</v>
      </c>
    </row>
    <row r="674" spans="1:23" x14ac:dyDescent="0.25">
      <c r="A674" s="39">
        <v>46297.337074178198</v>
      </c>
      <c r="B674" s="40">
        <v>46297</v>
      </c>
      <c r="C674" t="s">
        <v>23</v>
      </c>
      <c r="D674" t="s">
        <v>24</v>
      </c>
      <c r="E674" t="s">
        <v>25</v>
      </c>
      <c r="F674" t="s">
        <v>1442</v>
      </c>
      <c r="G674" t="s">
        <v>774</v>
      </c>
      <c r="H674" t="s">
        <v>1442</v>
      </c>
      <c r="I674">
        <v>0</v>
      </c>
      <c r="J674">
        <v>0</v>
      </c>
      <c r="K674">
        <v>28</v>
      </c>
      <c r="L674">
        <v>0</v>
      </c>
      <c r="M674">
        <v>0</v>
      </c>
      <c r="N674" t="s">
        <v>26</v>
      </c>
      <c r="O674">
        <v>0</v>
      </c>
      <c r="P674" t="s">
        <v>1442</v>
      </c>
      <c r="Q674">
        <v>0</v>
      </c>
      <c r="R674" t="s">
        <v>246</v>
      </c>
      <c r="S674" t="s">
        <v>1459</v>
      </c>
      <c r="T674" t="s">
        <v>774</v>
      </c>
      <c r="U674" t="s">
        <v>776</v>
      </c>
      <c r="V674" t="s">
        <v>1442</v>
      </c>
      <c r="W674" t="s">
        <v>1442</v>
      </c>
    </row>
    <row r="675" spans="1:23" x14ac:dyDescent="0.25">
      <c r="A675" s="39">
        <v>46297.3373535301</v>
      </c>
      <c r="B675" s="40">
        <v>46297</v>
      </c>
      <c r="C675" t="s">
        <v>23</v>
      </c>
      <c r="D675" t="s">
        <v>30</v>
      </c>
      <c r="E675" t="s">
        <v>31</v>
      </c>
      <c r="F675" t="s">
        <v>32</v>
      </c>
      <c r="G675" t="s">
        <v>1182</v>
      </c>
      <c r="H675" t="s">
        <v>1183</v>
      </c>
      <c r="I675">
        <v>1</v>
      </c>
      <c r="J675">
        <v>28.645</v>
      </c>
      <c r="K675">
        <v>-28.65</v>
      </c>
      <c r="L675">
        <v>-1</v>
      </c>
      <c r="M675">
        <v>0</v>
      </c>
      <c r="N675" t="s">
        <v>26</v>
      </c>
      <c r="O675">
        <v>0</v>
      </c>
      <c r="P675" t="s">
        <v>1442</v>
      </c>
      <c r="Q675">
        <v>0</v>
      </c>
      <c r="R675" t="s">
        <v>1417</v>
      </c>
      <c r="S675" t="s">
        <v>1460</v>
      </c>
      <c r="T675" t="s">
        <v>1442</v>
      </c>
      <c r="U675" t="s">
        <v>1442</v>
      </c>
      <c r="V675" t="s">
        <v>1442</v>
      </c>
      <c r="W675" t="s">
        <v>1442</v>
      </c>
    </row>
    <row r="676" spans="1:23" x14ac:dyDescent="0.25">
      <c r="A676" s="39">
        <v>46297.677199953701</v>
      </c>
      <c r="B676" s="40">
        <v>46297</v>
      </c>
      <c r="C676" t="s">
        <v>23</v>
      </c>
      <c r="D676" t="s">
        <v>30</v>
      </c>
      <c r="E676" t="s">
        <v>31</v>
      </c>
      <c r="F676" t="s">
        <v>464</v>
      </c>
      <c r="G676" t="s">
        <v>1178</v>
      </c>
      <c r="H676" t="s">
        <v>1179</v>
      </c>
      <c r="I676">
        <v>0.93023199999999995</v>
      </c>
      <c r="J676">
        <v>53.75</v>
      </c>
      <c r="K676">
        <v>-50</v>
      </c>
      <c r="L676">
        <v>0</v>
      </c>
      <c r="M676">
        <v>0</v>
      </c>
      <c r="N676" t="s">
        <v>26</v>
      </c>
      <c r="O676">
        <v>0</v>
      </c>
      <c r="P676" t="s">
        <v>1442</v>
      </c>
      <c r="Q676">
        <v>0</v>
      </c>
      <c r="R676" t="s">
        <v>1461</v>
      </c>
      <c r="S676" t="s">
        <v>1462</v>
      </c>
      <c r="T676" t="s">
        <v>1442</v>
      </c>
      <c r="U676" t="s">
        <v>1442</v>
      </c>
      <c r="V676" t="s">
        <v>1442</v>
      </c>
      <c r="W676" t="s">
        <v>1442</v>
      </c>
    </row>
    <row r="677" spans="1:23" x14ac:dyDescent="0.25">
      <c r="A677" s="39">
        <v>46297.7631697338</v>
      </c>
      <c r="B677" s="40">
        <v>46297</v>
      </c>
      <c r="C677" t="s">
        <v>23</v>
      </c>
      <c r="D677" t="s">
        <v>30</v>
      </c>
      <c r="E677" t="s">
        <v>82</v>
      </c>
      <c r="F677" t="s">
        <v>464</v>
      </c>
      <c r="G677" t="s">
        <v>526</v>
      </c>
      <c r="H677" t="s">
        <v>527</v>
      </c>
      <c r="I677">
        <v>-1</v>
      </c>
      <c r="J677">
        <v>739</v>
      </c>
      <c r="K677">
        <v>739</v>
      </c>
      <c r="L677">
        <v>-1</v>
      </c>
      <c r="M677">
        <v>0</v>
      </c>
      <c r="N677" t="s">
        <v>26</v>
      </c>
      <c r="O677">
        <v>0</v>
      </c>
      <c r="P677" t="s">
        <v>1442</v>
      </c>
      <c r="Q677">
        <v>0</v>
      </c>
      <c r="R677" t="s">
        <v>1463</v>
      </c>
      <c r="S677" t="s">
        <v>1464</v>
      </c>
      <c r="T677" t="s">
        <v>1442</v>
      </c>
      <c r="U677" t="s">
        <v>1442</v>
      </c>
      <c r="V677" t="s">
        <v>1442</v>
      </c>
      <c r="W677" t="s">
        <v>1442</v>
      </c>
    </row>
    <row r="678" spans="1:23" x14ac:dyDescent="0.25">
      <c r="A678" s="39">
        <v>46297.801335613403</v>
      </c>
      <c r="B678" s="40">
        <v>46297</v>
      </c>
      <c r="C678" t="s">
        <v>23</v>
      </c>
      <c r="D678" t="s">
        <v>30</v>
      </c>
      <c r="E678" t="s">
        <v>82</v>
      </c>
      <c r="F678" t="s">
        <v>464</v>
      </c>
      <c r="G678" t="s">
        <v>465</v>
      </c>
      <c r="H678" t="s">
        <v>466</v>
      </c>
      <c r="I678">
        <v>-2.0643020000000001</v>
      </c>
      <c r="J678">
        <v>130</v>
      </c>
      <c r="K678">
        <v>268.36</v>
      </c>
      <c r="L678">
        <v>-1</v>
      </c>
      <c r="M678">
        <v>0</v>
      </c>
      <c r="N678" t="s">
        <v>26</v>
      </c>
      <c r="O678">
        <v>0</v>
      </c>
      <c r="P678" t="s">
        <v>1442</v>
      </c>
      <c r="Q678">
        <v>0</v>
      </c>
      <c r="R678" t="s">
        <v>1465</v>
      </c>
      <c r="S678" t="s">
        <v>1466</v>
      </c>
      <c r="T678" t="s">
        <v>1442</v>
      </c>
      <c r="U678" t="s">
        <v>1442</v>
      </c>
      <c r="V678" t="s">
        <v>1442</v>
      </c>
      <c r="W678" t="s">
        <v>1442</v>
      </c>
    </row>
    <row r="679" spans="1:23" x14ac:dyDescent="0.25">
      <c r="A679" s="39">
        <v>46297.802869213003</v>
      </c>
      <c r="B679" s="40">
        <v>46297</v>
      </c>
      <c r="C679" t="s">
        <v>23</v>
      </c>
      <c r="D679" t="s">
        <v>30</v>
      </c>
      <c r="E679" t="s">
        <v>82</v>
      </c>
      <c r="F679" t="s">
        <v>464</v>
      </c>
      <c r="G679" t="s">
        <v>994</v>
      </c>
      <c r="H679" t="s">
        <v>995</v>
      </c>
      <c r="I679">
        <v>-3.5</v>
      </c>
      <c r="J679">
        <v>104.9</v>
      </c>
      <c r="K679">
        <v>367.15</v>
      </c>
      <c r="L679">
        <v>-1</v>
      </c>
      <c r="M679">
        <v>-4.63</v>
      </c>
      <c r="N679" t="s">
        <v>26</v>
      </c>
      <c r="O679">
        <v>0</v>
      </c>
      <c r="P679" t="s">
        <v>1442</v>
      </c>
      <c r="Q679">
        <v>0</v>
      </c>
      <c r="R679" t="s">
        <v>1467</v>
      </c>
      <c r="S679" t="s">
        <v>1468</v>
      </c>
      <c r="T679" t="s">
        <v>1442</v>
      </c>
      <c r="U679" t="s">
        <v>1442</v>
      </c>
      <c r="V679" t="s">
        <v>1442</v>
      </c>
      <c r="W679" t="s">
        <v>1442</v>
      </c>
    </row>
    <row r="680" spans="1:23" x14ac:dyDescent="0.25">
      <c r="A680" s="39">
        <v>46297.805185451398</v>
      </c>
      <c r="B680" s="40">
        <v>46297</v>
      </c>
      <c r="C680" t="s">
        <v>23</v>
      </c>
      <c r="D680" t="s">
        <v>24</v>
      </c>
      <c r="E680" t="s">
        <v>161</v>
      </c>
      <c r="F680" t="s">
        <v>1442</v>
      </c>
      <c r="G680" t="s">
        <v>774</v>
      </c>
      <c r="H680" t="s">
        <v>1442</v>
      </c>
      <c r="I680">
        <v>0</v>
      </c>
      <c r="J680">
        <v>0</v>
      </c>
      <c r="K680">
        <v>-1367.54</v>
      </c>
      <c r="L680">
        <v>0</v>
      </c>
      <c r="M680">
        <v>0</v>
      </c>
      <c r="N680" t="s">
        <v>26</v>
      </c>
      <c r="O680">
        <v>0</v>
      </c>
      <c r="P680" t="s">
        <v>1442</v>
      </c>
      <c r="Q680">
        <v>0</v>
      </c>
      <c r="R680" t="s">
        <v>397</v>
      </c>
      <c r="S680" t="s">
        <v>1469</v>
      </c>
      <c r="T680" t="s">
        <v>774</v>
      </c>
      <c r="U680" t="s">
        <v>776</v>
      </c>
      <c r="V680" t="s">
        <v>1442</v>
      </c>
      <c r="W680" t="s">
        <v>1442</v>
      </c>
    </row>
    <row r="681" spans="1:23" x14ac:dyDescent="0.25">
      <c r="A681" s="39">
        <v>46297.880644317098</v>
      </c>
      <c r="B681" s="40">
        <v>46297</v>
      </c>
      <c r="C681" t="s">
        <v>23</v>
      </c>
      <c r="D681" t="s">
        <v>30</v>
      </c>
      <c r="E681" t="s">
        <v>82</v>
      </c>
      <c r="F681" t="s">
        <v>464</v>
      </c>
      <c r="G681" t="s">
        <v>799</v>
      </c>
      <c r="H681" t="s">
        <v>800</v>
      </c>
      <c r="I681">
        <v>-2.0335359999999998</v>
      </c>
      <c r="J681">
        <v>155.6</v>
      </c>
      <c r="K681">
        <v>316.42</v>
      </c>
      <c r="L681">
        <v>-1</v>
      </c>
      <c r="M681">
        <v>-12.07</v>
      </c>
      <c r="N681" t="s">
        <v>26</v>
      </c>
      <c r="O681">
        <v>0</v>
      </c>
      <c r="P681" t="s">
        <v>1442</v>
      </c>
      <c r="Q681">
        <v>0</v>
      </c>
      <c r="R681" t="s">
        <v>1470</v>
      </c>
      <c r="S681" t="s">
        <v>1471</v>
      </c>
      <c r="T681" t="s">
        <v>1442</v>
      </c>
      <c r="U681" t="s">
        <v>1442</v>
      </c>
      <c r="V681" t="s">
        <v>1442</v>
      </c>
      <c r="W681" t="s">
        <v>1442</v>
      </c>
    </row>
    <row r="682" spans="1:23" x14ac:dyDescent="0.25">
      <c r="A682" s="39">
        <v>46297.896833286999</v>
      </c>
      <c r="B682" s="40">
        <v>46297</v>
      </c>
      <c r="C682" t="s">
        <v>23</v>
      </c>
      <c r="D682" t="s">
        <v>24</v>
      </c>
      <c r="E682" t="s">
        <v>161</v>
      </c>
      <c r="F682" t="s">
        <v>1442</v>
      </c>
      <c r="G682" t="s">
        <v>774</v>
      </c>
      <c r="H682" t="s">
        <v>1442</v>
      </c>
      <c r="I682">
        <v>0</v>
      </c>
      <c r="J682">
        <v>0</v>
      </c>
      <c r="K682">
        <v>-303.35000000000002</v>
      </c>
      <c r="L682">
        <v>0</v>
      </c>
      <c r="M682">
        <v>0</v>
      </c>
      <c r="N682" t="s">
        <v>26</v>
      </c>
      <c r="O682">
        <v>0</v>
      </c>
      <c r="P682" t="s">
        <v>1442</v>
      </c>
      <c r="Q682">
        <v>0</v>
      </c>
      <c r="R682" t="s">
        <v>397</v>
      </c>
      <c r="S682" t="s">
        <v>1472</v>
      </c>
      <c r="T682" t="s">
        <v>774</v>
      </c>
      <c r="U682" t="s">
        <v>776</v>
      </c>
      <c r="V682" t="s">
        <v>1442</v>
      </c>
      <c r="W682" t="s">
        <v>1442</v>
      </c>
    </row>
    <row r="683" spans="1:23" x14ac:dyDescent="0.25">
      <c r="A683" s="39">
        <v>46297.945404884304</v>
      </c>
      <c r="B683" s="40">
        <v>46297</v>
      </c>
      <c r="C683" t="s">
        <v>23</v>
      </c>
      <c r="D683" t="s">
        <v>30</v>
      </c>
      <c r="E683" t="s">
        <v>82</v>
      </c>
      <c r="F683" t="s">
        <v>464</v>
      </c>
      <c r="G683" t="s">
        <v>465</v>
      </c>
      <c r="H683" t="s">
        <v>466</v>
      </c>
      <c r="I683">
        <v>-7</v>
      </c>
      <c r="J683">
        <v>130.22</v>
      </c>
      <c r="K683">
        <v>911.54</v>
      </c>
      <c r="L683">
        <v>-1</v>
      </c>
      <c r="M683">
        <v>-16.5</v>
      </c>
      <c r="N683" t="s">
        <v>26</v>
      </c>
      <c r="O683">
        <v>0</v>
      </c>
      <c r="P683" t="s">
        <v>1442</v>
      </c>
      <c r="Q683">
        <v>0</v>
      </c>
      <c r="R683" t="s">
        <v>1473</v>
      </c>
      <c r="S683" t="s">
        <v>1474</v>
      </c>
      <c r="T683" t="s">
        <v>1442</v>
      </c>
      <c r="U683" t="s">
        <v>1442</v>
      </c>
      <c r="V683" t="s">
        <v>1442</v>
      </c>
      <c r="W683" t="s">
        <v>1442</v>
      </c>
    </row>
    <row r="684" spans="1:23" x14ac:dyDescent="0.25">
      <c r="A684" s="39">
        <v>46297.946072939798</v>
      </c>
      <c r="B684" s="40">
        <v>46297</v>
      </c>
      <c r="C684" t="s">
        <v>23</v>
      </c>
      <c r="D684" t="s">
        <v>30</v>
      </c>
      <c r="E684" t="s">
        <v>82</v>
      </c>
      <c r="F684" t="s">
        <v>464</v>
      </c>
      <c r="G684" t="s">
        <v>994</v>
      </c>
      <c r="H684" t="s">
        <v>995</v>
      </c>
      <c r="I684">
        <v>-3.737006</v>
      </c>
      <c r="J684">
        <v>104.22</v>
      </c>
      <c r="K684">
        <v>389.47</v>
      </c>
      <c r="L684">
        <v>-1</v>
      </c>
      <c r="M684">
        <v>-5.58</v>
      </c>
      <c r="N684" t="s">
        <v>26</v>
      </c>
      <c r="O684">
        <v>0</v>
      </c>
      <c r="P684" t="s">
        <v>1442</v>
      </c>
      <c r="Q684">
        <v>0</v>
      </c>
      <c r="R684" t="s">
        <v>1475</v>
      </c>
      <c r="S684" t="s">
        <v>1476</v>
      </c>
      <c r="T684" t="s">
        <v>1442</v>
      </c>
      <c r="U684" t="s">
        <v>1442</v>
      </c>
      <c r="V684" t="s">
        <v>1442</v>
      </c>
      <c r="W684" t="s">
        <v>1442</v>
      </c>
    </row>
    <row r="685" spans="1:23" x14ac:dyDescent="0.25">
      <c r="A685" s="39">
        <v>46297.946433553203</v>
      </c>
      <c r="B685" s="40">
        <v>46297</v>
      </c>
      <c r="C685" t="s">
        <v>23</v>
      </c>
      <c r="D685" t="s">
        <v>24</v>
      </c>
      <c r="E685" t="s">
        <v>161</v>
      </c>
      <c r="F685" t="s">
        <v>1442</v>
      </c>
      <c r="G685" t="s">
        <v>774</v>
      </c>
      <c r="H685" t="s">
        <v>1442</v>
      </c>
      <c r="I685">
        <v>0</v>
      </c>
      <c r="J685">
        <v>0</v>
      </c>
      <c r="K685">
        <v>-1299.01</v>
      </c>
      <c r="L685">
        <v>0</v>
      </c>
      <c r="M685">
        <v>0</v>
      </c>
      <c r="N685" t="s">
        <v>26</v>
      </c>
      <c r="O685">
        <v>0</v>
      </c>
      <c r="P685" t="s">
        <v>1442</v>
      </c>
      <c r="Q685">
        <v>0</v>
      </c>
      <c r="R685" t="s">
        <v>397</v>
      </c>
      <c r="S685" t="s">
        <v>1477</v>
      </c>
      <c r="T685" t="s">
        <v>774</v>
      </c>
      <c r="U685" t="s">
        <v>776</v>
      </c>
      <c r="V685" t="s">
        <v>1442</v>
      </c>
      <c r="W685" t="s">
        <v>1442</v>
      </c>
    </row>
    <row r="686" spans="1:23" x14ac:dyDescent="0.25">
      <c r="A686" s="39">
        <v>46298.5640913889</v>
      </c>
      <c r="B686" s="40">
        <v>46298</v>
      </c>
      <c r="C686" t="s">
        <v>23</v>
      </c>
      <c r="D686" t="s">
        <v>24</v>
      </c>
      <c r="E686" t="s">
        <v>25</v>
      </c>
      <c r="F686" t="s">
        <v>1442</v>
      </c>
      <c r="G686" t="s">
        <v>774</v>
      </c>
      <c r="H686" t="s">
        <v>1442</v>
      </c>
      <c r="I686">
        <v>0</v>
      </c>
      <c r="J686">
        <v>0</v>
      </c>
      <c r="K686">
        <v>22.08</v>
      </c>
      <c r="L686">
        <v>0</v>
      </c>
      <c r="M686">
        <v>0</v>
      </c>
      <c r="N686" t="s">
        <v>26</v>
      </c>
      <c r="O686">
        <v>0</v>
      </c>
      <c r="P686" t="s">
        <v>1442</v>
      </c>
      <c r="Q686">
        <v>0</v>
      </c>
      <c r="R686" t="s">
        <v>246</v>
      </c>
      <c r="S686" t="s">
        <v>1478</v>
      </c>
      <c r="T686" t="s">
        <v>774</v>
      </c>
      <c r="U686" t="s">
        <v>776</v>
      </c>
      <c r="V686" t="s">
        <v>1442</v>
      </c>
      <c r="W686" t="s">
        <v>1442</v>
      </c>
    </row>
    <row r="687" spans="1:23" x14ac:dyDescent="0.25">
      <c r="A687" s="39">
        <v>46301.776628669002</v>
      </c>
      <c r="B687" s="40">
        <v>46301</v>
      </c>
      <c r="C687" t="s">
        <v>23</v>
      </c>
      <c r="D687" t="s">
        <v>30</v>
      </c>
      <c r="E687" t="s">
        <v>82</v>
      </c>
      <c r="F687" t="s">
        <v>464</v>
      </c>
      <c r="G687" t="s">
        <v>526</v>
      </c>
      <c r="H687" t="s">
        <v>527</v>
      </c>
      <c r="I687">
        <v>-0.52644199999999997</v>
      </c>
      <c r="J687">
        <v>750.32</v>
      </c>
      <c r="K687">
        <v>395</v>
      </c>
      <c r="L687">
        <v>-1</v>
      </c>
      <c r="M687">
        <v>-13.16</v>
      </c>
      <c r="N687" t="s">
        <v>26</v>
      </c>
      <c r="O687">
        <v>0</v>
      </c>
      <c r="P687" t="s">
        <v>1442</v>
      </c>
      <c r="Q687">
        <v>0</v>
      </c>
      <c r="R687" t="s">
        <v>1484</v>
      </c>
      <c r="S687" t="s">
        <v>1485</v>
      </c>
      <c r="T687" t="s">
        <v>1442</v>
      </c>
      <c r="U687" t="s">
        <v>1442</v>
      </c>
      <c r="V687" t="s">
        <v>1442</v>
      </c>
      <c r="W687" t="s">
        <v>1442</v>
      </c>
    </row>
    <row r="688" spans="1:23" x14ac:dyDescent="0.25">
      <c r="A688" s="39">
        <v>46301.810699722198</v>
      </c>
      <c r="B688" s="40">
        <v>46301</v>
      </c>
      <c r="C688" t="s">
        <v>23</v>
      </c>
      <c r="D688" t="s">
        <v>24</v>
      </c>
      <c r="E688" t="s">
        <v>161</v>
      </c>
      <c r="F688" t="s">
        <v>1442</v>
      </c>
      <c r="G688" t="s">
        <v>774</v>
      </c>
      <c r="H688" t="s">
        <v>1442</v>
      </c>
      <c r="I688">
        <v>0</v>
      </c>
      <c r="J688">
        <v>0</v>
      </c>
      <c r="K688">
        <v>-380.84</v>
      </c>
      <c r="L688">
        <v>0</v>
      </c>
      <c r="M688">
        <v>0</v>
      </c>
      <c r="N688" t="s">
        <v>26</v>
      </c>
      <c r="O688">
        <v>0</v>
      </c>
      <c r="P688" t="s">
        <v>1442</v>
      </c>
      <c r="Q688">
        <v>0</v>
      </c>
      <c r="R688" t="s">
        <v>397</v>
      </c>
      <c r="S688" t="s">
        <v>1486</v>
      </c>
      <c r="T688" t="s">
        <v>774</v>
      </c>
      <c r="U688" t="s">
        <v>776</v>
      </c>
      <c r="V688" t="s">
        <v>1442</v>
      </c>
      <c r="W688" t="s">
        <v>1442</v>
      </c>
    </row>
    <row r="689" spans="1:23" x14ac:dyDescent="0.25">
      <c r="A689" s="39">
        <v>46303.332236111099</v>
      </c>
      <c r="B689" s="40">
        <v>46303</v>
      </c>
      <c r="C689" t="s">
        <v>23</v>
      </c>
      <c r="D689" t="s">
        <v>24</v>
      </c>
      <c r="E689" t="s">
        <v>25</v>
      </c>
      <c r="F689" t="s">
        <v>1442</v>
      </c>
      <c r="G689" t="s">
        <v>774</v>
      </c>
      <c r="H689" t="s">
        <v>1442</v>
      </c>
      <c r="I689">
        <v>0</v>
      </c>
      <c r="J689">
        <v>0</v>
      </c>
      <c r="K689">
        <v>301</v>
      </c>
      <c r="L689">
        <v>0</v>
      </c>
      <c r="M689">
        <v>0</v>
      </c>
      <c r="N689" t="s">
        <v>26</v>
      </c>
      <c r="O689">
        <v>0</v>
      </c>
      <c r="P689" t="s">
        <v>1442</v>
      </c>
      <c r="Q689">
        <v>0</v>
      </c>
      <c r="R689" t="s">
        <v>246</v>
      </c>
      <c r="S689" t="s">
        <v>1487</v>
      </c>
      <c r="T689" t="s">
        <v>774</v>
      </c>
      <c r="U689" t="s">
        <v>776</v>
      </c>
      <c r="V689" t="s">
        <v>1442</v>
      </c>
      <c r="W689" t="s">
        <v>1442</v>
      </c>
    </row>
    <row r="690" spans="1:23" x14ac:dyDescent="0.25">
      <c r="A690" s="39">
        <v>46303.332336273103</v>
      </c>
      <c r="B690" s="40">
        <v>46303</v>
      </c>
      <c r="C690" t="s">
        <v>23</v>
      </c>
      <c r="D690" t="s">
        <v>30</v>
      </c>
      <c r="E690" t="s">
        <v>31</v>
      </c>
      <c r="F690" t="s">
        <v>32</v>
      </c>
      <c r="G690" t="s">
        <v>167</v>
      </c>
      <c r="H690" t="s">
        <v>168</v>
      </c>
      <c r="I690">
        <v>294.98525000000001</v>
      </c>
      <c r="J690">
        <v>1.0145</v>
      </c>
      <c r="K690">
        <v>-299.26</v>
      </c>
      <c r="L690">
        <v>-1</v>
      </c>
      <c r="M690">
        <v>0</v>
      </c>
      <c r="N690" t="s">
        <v>26</v>
      </c>
      <c r="O690">
        <v>0</v>
      </c>
      <c r="P690" t="s">
        <v>1442</v>
      </c>
      <c r="Q690">
        <v>0</v>
      </c>
      <c r="R690" t="s">
        <v>1488</v>
      </c>
      <c r="S690" t="s">
        <v>1489</v>
      </c>
      <c r="T690" t="s">
        <v>1442</v>
      </c>
      <c r="U690" t="s">
        <v>1442</v>
      </c>
      <c r="V690" t="s">
        <v>1442</v>
      </c>
      <c r="W690" t="s">
        <v>1442</v>
      </c>
    </row>
    <row r="691" spans="1:23" x14ac:dyDescent="0.25">
      <c r="A691" s="39">
        <v>46303.733803726798</v>
      </c>
      <c r="B691" s="40">
        <v>46303</v>
      </c>
      <c r="C691" t="s">
        <v>23</v>
      </c>
      <c r="D691" t="s">
        <v>30</v>
      </c>
      <c r="E691" t="s">
        <v>82</v>
      </c>
      <c r="F691" t="s">
        <v>64</v>
      </c>
      <c r="G691" t="s">
        <v>65</v>
      </c>
      <c r="H691" t="s">
        <v>66</v>
      </c>
      <c r="I691">
        <v>-3</v>
      </c>
      <c r="J691">
        <v>95.983000000000004</v>
      </c>
      <c r="K691">
        <v>287.95</v>
      </c>
      <c r="L691">
        <v>-1</v>
      </c>
      <c r="M691">
        <v>0</v>
      </c>
      <c r="N691" t="s">
        <v>26</v>
      </c>
      <c r="O691">
        <v>0</v>
      </c>
      <c r="P691" t="s">
        <v>1442</v>
      </c>
      <c r="Q691">
        <v>0</v>
      </c>
      <c r="R691" t="s">
        <v>1490</v>
      </c>
      <c r="S691" t="s">
        <v>1491</v>
      </c>
      <c r="T691" t="s">
        <v>1442</v>
      </c>
      <c r="U691" t="s">
        <v>1442</v>
      </c>
      <c r="V691" t="s">
        <v>1442</v>
      </c>
      <c r="W691" t="s">
        <v>1442</v>
      </c>
    </row>
    <row r="692" spans="1:23" x14ac:dyDescent="0.25">
      <c r="A692" s="39">
        <v>46303.733961562502</v>
      </c>
      <c r="B692" s="40">
        <v>46303</v>
      </c>
      <c r="C692" t="s">
        <v>23</v>
      </c>
      <c r="D692" t="s">
        <v>30</v>
      </c>
      <c r="E692" t="s">
        <v>82</v>
      </c>
      <c r="F692" t="s">
        <v>64</v>
      </c>
      <c r="G692" t="s">
        <v>107</v>
      </c>
      <c r="H692" t="s">
        <v>108</v>
      </c>
      <c r="I692">
        <v>-24.110118</v>
      </c>
      <c r="J692">
        <v>10.930199999999999</v>
      </c>
      <c r="K692">
        <v>263.52999999999997</v>
      </c>
      <c r="L692">
        <v>-1</v>
      </c>
      <c r="M692">
        <v>0</v>
      </c>
      <c r="N692" t="s">
        <v>26</v>
      </c>
      <c r="O692">
        <v>0</v>
      </c>
      <c r="P692" t="s">
        <v>1442</v>
      </c>
      <c r="Q692">
        <v>0</v>
      </c>
      <c r="R692" t="s">
        <v>1492</v>
      </c>
      <c r="S692" t="s">
        <v>1493</v>
      </c>
      <c r="T692" t="s">
        <v>1442</v>
      </c>
      <c r="U692" t="s">
        <v>1442</v>
      </c>
      <c r="V692" t="s">
        <v>1442</v>
      </c>
      <c r="W692" t="s">
        <v>1442</v>
      </c>
    </row>
    <row r="693" spans="1:23" x14ac:dyDescent="0.25">
      <c r="A693" s="39">
        <v>46303.741030416699</v>
      </c>
      <c r="B693" s="40">
        <v>46303</v>
      </c>
      <c r="C693" t="s">
        <v>23</v>
      </c>
      <c r="D693" t="s">
        <v>30</v>
      </c>
      <c r="E693" t="s">
        <v>31</v>
      </c>
      <c r="F693" t="s">
        <v>32</v>
      </c>
      <c r="G693" t="s">
        <v>154</v>
      </c>
      <c r="H693" t="s">
        <v>155</v>
      </c>
      <c r="I693">
        <v>11.46</v>
      </c>
      <c r="J693">
        <v>13</v>
      </c>
      <c r="K693">
        <v>-148.97999999999999</v>
      </c>
      <c r="L693">
        <v>-1</v>
      </c>
      <c r="M693">
        <v>0</v>
      </c>
      <c r="N693" t="s">
        <v>26</v>
      </c>
      <c r="O693">
        <v>0</v>
      </c>
      <c r="P693" t="s">
        <v>1442</v>
      </c>
      <c r="Q693">
        <v>0</v>
      </c>
      <c r="R693" t="s">
        <v>1494</v>
      </c>
      <c r="S693" t="s">
        <v>1495</v>
      </c>
      <c r="T693" t="s">
        <v>1442</v>
      </c>
      <c r="U693" t="s">
        <v>1442</v>
      </c>
      <c r="V693" t="s">
        <v>1442</v>
      </c>
      <c r="W693" t="s">
        <v>1442</v>
      </c>
    </row>
    <row r="694" spans="1:23" x14ac:dyDescent="0.25">
      <c r="A694" s="39">
        <v>46303.916009143497</v>
      </c>
      <c r="B694" s="40">
        <v>46303</v>
      </c>
      <c r="C694" t="s">
        <v>23</v>
      </c>
      <c r="D694" t="s">
        <v>30</v>
      </c>
      <c r="E694" t="s">
        <v>31</v>
      </c>
      <c r="F694" t="s">
        <v>32</v>
      </c>
      <c r="G694" t="s">
        <v>664</v>
      </c>
      <c r="H694" t="s">
        <v>665</v>
      </c>
      <c r="I694">
        <v>14</v>
      </c>
      <c r="J694">
        <v>7.3540000000000001</v>
      </c>
      <c r="K694">
        <v>-102.96</v>
      </c>
      <c r="L694">
        <v>-1</v>
      </c>
      <c r="M694">
        <v>0</v>
      </c>
      <c r="N694" t="s">
        <v>26</v>
      </c>
      <c r="O694">
        <v>0</v>
      </c>
      <c r="P694" t="s">
        <v>1442</v>
      </c>
      <c r="Q694">
        <v>0</v>
      </c>
      <c r="R694" t="s">
        <v>1496</v>
      </c>
      <c r="S694" t="s">
        <v>1497</v>
      </c>
      <c r="T694" t="s">
        <v>1442</v>
      </c>
      <c r="U694" t="s">
        <v>1442</v>
      </c>
      <c r="V694" t="s">
        <v>1442</v>
      </c>
      <c r="W694" t="s">
        <v>1442</v>
      </c>
    </row>
    <row r="695" spans="1:23" x14ac:dyDescent="0.25">
      <c r="A695" s="39">
        <v>46304.172803344904</v>
      </c>
      <c r="B695" s="40">
        <v>46304</v>
      </c>
      <c r="C695" t="s">
        <v>23</v>
      </c>
      <c r="D695" t="s">
        <v>30</v>
      </c>
      <c r="E695" t="s">
        <v>31</v>
      </c>
      <c r="F695" t="s">
        <v>64</v>
      </c>
      <c r="G695" t="s">
        <v>107</v>
      </c>
      <c r="H695" t="s">
        <v>108</v>
      </c>
      <c r="I695">
        <v>12</v>
      </c>
      <c r="J695">
        <v>11.551399999999999</v>
      </c>
      <c r="K695">
        <v>-138.62</v>
      </c>
      <c r="L695">
        <v>-1</v>
      </c>
      <c r="M695">
        <v>0</v>
      </c>
      <c r="N695" t="s">
        <v>26</v>
      </c>
      <c r="O695">
        <v>0</v>
      </c>
      <c r="P695" t="s">
        <v>1442</v>
      </c>
      <c r="Q695">
        <v>0</v>
      </c>
      <c r="R695" t="s">
        <v>1498</v>
      </c>
      <c r="S695" t="s">
        <v>1499</v>
      </c>
      <c r="T695" t="s">
        <v>1442</v>
      </c>
      <c r="U695" t="s">
        <v>1442</v>
      </c>
      <c r="V695" t="s">
        <v>1442</v>
      </c>
      <c r="W695" t="s">
        <v>1442</v>
      </c>
    </row>
    <row r="696" spans="1:23" x14ac:dyDescent="0.25">
      <c r="A696" s="39">
        <v>46304.173520694399</v>
      </c>
      <c r="B696" s="40">
        <v>46304</v>
      </c>
      <c r="C696" t="s">
        <v>23</v>
      </c>
      <c r="D696" t="s">
        <v>30</v>
      </c>
      <c r="E696" t="s">
        <v>31</v>
      </c>
      <c r="F696" t="s">
        <v>64</v>
      </c>
      <c r="G696" t="s">
        <v>69</v>
      </c>
      <c r="H696" t="s">
        <v>69</v>
      </c>
      <c r="I696">
        <v>44.223736000000002</v>
      </c>
      <c r="J696">
        <v>1.2437020000000001</v>
      </c>
      <c r="K696">
        <v>-55</v>
      </c>
      <c r="L696">
        <v>-1</v>
      </c>
      <c r="M696">
        <v>0</v>
      </c>
      <c r="N696" t="s">
        <v>26</v>
      </c>
      <c r="O696">
        <v>0</v>
      </c>
      <c r="P696" t="s">
        <v>1442</v>
      </c>
      <c r="Q696">
        <v>0</v>
      </c>
      <c r="R696" t="s">
        <v>1500</v>
      </c>
      <c r="S696" t="s">
        <v>1501</v>
      </c>
      <c r="T696" t="s">
        <v>1442</v>
      </c>
      <c r="U696" t="s">
        <v>1442</v>
      </c>
      <c r="V696" t="s">
        <v>1442</v>
      </c>
      <c r="W696" t="s">
        <v>1442</v>
      </c>
    </row>
    <row r="697" spans="1:23" x14ac:dyDescent="0.25">
      <c r="A697" s="39">
        <v>46304.391890324099</v>
      </c>
      <c r="B697" s="40">
        <v>46304</v>
      </c>
      <c r="C697" t="s">
        <v>23</v>
      </c>
      <c r="D697" t="s">
        <v>30</v>
      </c>
      <c r="E697" t="s">
        <v>31</v>
      </c>
      <c r="F697" t="s">
        <v>32</v>
      </c>
      <c r="G697" t="s">
        <v>515</v>
      </c>
      <c r="H697" t="s">
        <v>516</v>
      </c>
      <c r="I697">
        <v>12</v>
      </c>
      <c r="J697">
        <v>8.3000000000000007</v>
      </c>
      <c r="K697">
        <v>-99.6</v>
      </c>
      <c r="L697">
        <v>-1</v>
      </c>
      <c r="M697">
        <v>0</v>
      </c>
      <c r="N697" t="s">
        <v>26</v>
      </c>
      <c r="O697">
        <v>0</v>
      </c>
      <c r="P697" t="s">
        <v>1442</v>
      </c>
      <c r="Q697">
        <v>0</v>
      </c>
      <c r="R697" t="s">
        <v>1502</v>
      </c>
      <c r="S697" t="s">
        <v>1503</v>
      </c>
      <c r="T697" t="s">
        <v>1442</v>
      </c>
      <c r="U697" t="s">
        <v>1442</v>
      </c>
      <c r="V697" t="s">
        <v>1442</v>
      </c>
      <c r="W697" t="s">
        <v>1442</v>
      </c>
    </row>
    <row r="698" spans="1:23" x14ac:dyDescent="0.25">
      <c r="A698" s="39">
        <v>46304.444814953698</v>
      </c>
      <c r="B698" s="40">
        <v>46304</v>
      </c>
      <c r="C698" t="s">
        <v>23</v>
      </c>
      <c r="D698" t="s">
        <v>24</v>
      </c>
      <c r="E698" t="s">
        <v>25</v>
      </c>
      <c r="F698" t="s">
        <v>1442</v>
      </c>
      <c r="G698" t="s">
        <v>774</v>
      </c>
      <c r="H698" t="s">
        <v>1442</v>
      </c>
      <c r="I698">
        <v>0</v>
      </c>
      <c r="J698">
        <v>0</v>
      </c>
      <c r="K698">
        <v>42</v>
      </c>
      <c r="L698">
        <v>0</v>
      </c>
      <c r="M698">
        <v>0</v>
      </c>
      <c r="N698" t="s">
        <v>26</v>
      </c>
      <c r="O698">
        <v>0</v>
      </c>
      <c r="P698" t="s">
        <v>1442</v>
      </c>
      <c r="Q698">
        <v>0</v>
      </c>
      <c r="R698" t="s">
        <v>246</v>
      </c>
      <c r="S698" t="s">
        <v>1504</v>
      </c>
      <c r="T698" t="s">
        <v>774</v>
      </c>
      <c r="U698" t="s">
        <v>776</v>
      </c>
      <c r="V698" t="s">
        <v>1442</v>
      </c>
      <c r="W698" t="s">
        <v>1442</v>
      </c>
    </row>
    <row r="699" spans="1:23" x14ac:dyDescent="0.25">
      <c r="A699" s="39">
        <v>46304.1738527778</v>
      </c>
      <c r="B699" s="40">
        <v>46304</v>
      </c>
      <c r="C699" t="s">
        <v>23</v>
      </c>
      <c r="D699" t="s">
        <v>24</v>
      </c>
      <c r="E699" t="s">
        <v>161</v>
      </c>
      <c r="F699" t="s">
        <v>1442</v>
      </c>
      <c r="G699" t="s">
        <v>774</v>
      </c>
      <c r="H699" t="s">
        <v>1442</v>
      </c>
      <c r="I699">
        <v>0</v>
      </c>
      <c r="J699">
        <v>0</v>
      </c>
      <c r="K699">
        <v>-100.66</v>
      </c>
      <c r="L699">
        <v>0</v>
      </c>
      <c r="M699">
        <v>0</v>
      </c>
      <c r="N699" t="s">
        <v>26</v>
      </c>
      <c r="O699">
        <v>0</v>
      </c>
      <c r="P699" t="s">
        <v>1442</v>
      </c>
      <c r="Q699">
        <v>0</v>
      </c>
      <c r="R699" t="s">
        <v>397</v>
      </c>
      <c r="S699" t="s">
        <v>1505</v>
      </c>
      <c r="T699" t="s">
        <v>774</v>
      </c>
      <c r="U699" t="s">
        <v>776</v>
      </c>
      <c r="V699" t="s">
        <v>1442</v>
      </c>
      <c r="W699" t="s">
        <v>1442</v>
      </c>
    </row>
    <row r="700" spans="1:23" x14ac:dyDescent="0.25">
      <c r="A700" s="39">
        <v>46304.335683715297</v>
      </c>
      <c r="B700" s="40">
        <v>46304</v>
      </c>
      <c r="C700" t="s">
        <v>23</v>
      </c>
      <c r="D700" t="s">
        <v>24</v>
      </c>
      <c r="E700" t="s">
        <v>25</v>
      </c>
      <c r="F700" t="s">
        <v>1442</v>
      </c>
      <c r="G700" t="s">
        <v>774</v>
      </c>
      <c r="H700" t="s">
        <v>1442</v>
      </c>
      <c r="I700">
        <v>0</v>
      </c>
      <c r="J700">
        <v>0</v>
      </c>
      <c r="K700">
        <v>101</v>
      </c>
      <c r="L700">
        <v>0</v>
      </c>
      <c r="M700">
        <v>0</v>
      </c>
      <c r="N700" t="s">
        <v>26</v>
      </c>
      <c r="O700">
        <v>0</v>
      </c>
      <c r="P700" t="s">
        <v>1442</v>
      </c>
      <c r="Q700">
        <v>0</v>
      </c>
      <c r="R700" t="s">
        <v>246</v>
      </c>
      <c r="S700" t="s">
        <v>1506</v>
      </c>
      <c r="T700" t="s">
        <v>774</v>
      </c>
      <c r="U700" t="s">
        <v>776</v>
      </c>
      <c r="V700" t="s">
        <v>1442</v>
      </c>
      <c r="W700" t="s">
        <v>1442</v>
      </c>
    </row>
    <row r="701" spans="1:23" x14ac:dyDescent="0.25">
      <c r="A701" s="39">
        <v>46304.444906111101</v>
      </c>
      <c r="B701" s="40">
        <v>46304</v>
      </c>
      <c r="C701" t="s">
        <v>23</v>
      </c>
      <c r="D701" t="s">
        <v>30</v>
      </c>
      <c r="E701" t="s">
        <v>31</v>
      </c>
      <c r="F701" t="s">
        <v>64</v>
      </c>
      <c r="G701" t="s">
        <v>107</v>
      </c>
      <c r="H701" t="s">
        <v>108</v>
      </c>
      <c r="I701">
        <v>3.5605730000000002</v>
      </c>
      <c r="J701">
        <v>11.515000000000001</v>
      </c>
      <c r="K701">
        <v>-41</v>
      </c>
      <c r="L701">
        <v>-1</v>
      </c>
      <c r="M701">
        <v>0</v>
      </c>
      <c r="N701" t="s">
        <v>26</v>
      </c>
      <c r="O701">
        <v>0</v>
      </c>
      <c r="P701" t="s">
        <v>1442</v>
      </c>
      <c r="Q701">
        <v>0</v>
      </c>
      <c r="R701" t="s">
        <v>1507</v>
      </c>
      <c r="S701" t="s">
        <v>1508</v>
      </c>
      <c r="T701" t="s">
        <v>1442</v>
      </c>
      <c r="U701" t="s">
        <v>1442</v>
      </c>
      <c r="V701" t="s">
        <v>1442</v>
      </c>
      <c r="W701" t="s">
        <v>1442</v>
      </c>
    </row>
  </sheetData>
  <autoFilter ref="A1:W701" xr:uid="{00000000-0009-0000-0000-000000000000}"/>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86"/>
  <sheetViews>
    <sheetView zoomScale="90" zoomScaleNormal="90" workbookViewId="0">
      <pane xSplit="1" topLeftCell="D1" activePane="topRight" state="frozen"/>
      <selection pane="topRight" activeCell="T1" sqref="T1:T1048576"/>
    </sheetView>
  </sheetViews>
  <sheetFormatPr baseColWidth="10" defaultColWidth="9.140625" defaultRowHeight="15" x14ac:dyDescent="0.25"/>
  <cols>
    <col min="1" max="1" width="49" style="9" bestFit="1" customWidth="1"/>
    <col min="2" max="6" width="20" style="5" customWidth="1"/>
    <col min="7" max="11" width="20" style="6" customWidth="1"/>
    <col min="12" max="12" width="20" style="5" customWidth="1"/>
    <col min="13" max="14" width="20" style="21" customWidth="1"/>
    <col min="15" max="15" width="33.7109375" style="21" bestFit="1" customWidth="1"/>
    <col min="16" max="16" width="22.42578125" style="6" bestFit="1" customWidth="1"/>
    <col min="17" max="17" width="22.42578125" style="6" customWidth="1"/>
    <col min="18" max="18" width="22.42578125" style="7" customWidth="1"/>
    <col min="19" max="19" width="29.42578125" style="6" bestFit="1" customWidth="1"/>
    <col min="20" max="20" width="34.85546875" style="6" bestFit="1" customWidth="1"/>
    <col min="21" max="22" width="34.85546875" style="26" customWidth="1"/>
    <col min="23" max="23" width="22.42578125" style="7" bestFit="1" customWidth="1"/>
    <col min="24" max="24" width="22.28515625" style="7" bestFit="1" customWidth="1"/>
    <col min="28" max="28" width="17.42578125" bestFit="1" customWidth="1"/>
    <col min="29" max="29" width="11.28515625" bestFit="1" customWidth="1"/>
    <col min="30" max="30" width="11" bestFit="1" customWidth="1"/>
  </cols>
  <sheetData>
    <row r="1" spans="1:24" x14ac:dyDescent="0.25">
      <c r="A1" s="8" t="s">
        <v>1244</v>
      </c>
      <c r="B1" s="4" t="s">
        <v>1245</v>
      </c>
      <c r="C1" s="4" t="s">
        <v>1396</v>
      </c>
      <c r="D1" s="4" t="s">
        <v>1246</v>
      </c>
      <c r="E1" s="4" t="s">
        <v>1247</v>
      </c>
      <c r="F1" s="4" t="s">
        <v>1248</v>
      </c>
      <c r="G1" s="16" t="s">
        <v>1249</v>
      </c>
      <c r="H1" s="16" t="s">
        <v>1250</v>
      </c>
      <c r="I1" s="16" t="s">
        <v>1251</v>
      </c>
      <c r="J1" s="16" t="s">
        <v>1455</v>
      </c>
      <c r="K1" s="16" t="s">
        <v>1252</v>
      </c>
      <c r="L1" s="4" t="s">
        <v>1253</v>
      </c>
      <c r="M1" s="20" t="s">
        <v>1280</v>
      </c>
      <c r="N1" s="20" t="s">
        <v>1257</v>
      </c>
      <c r="O1" s="20" t="s">
        <v>1348</v>
      </c>
      <c r="P1" s="16" t="s">
        <v>1258</v>
      </c>
      <c r="Q1" s="16" t="s">
        <v>1321</v>
      </c>
      <c r="R1" s="18" t="s">
        <v>1314</v>
      </c>
      <c r="S1" s="16" t="s">
        <v>1338</v>
      </c>
      <c r="T1" s="16" t="s">
        <v>1349</v>
      </c>
      <c r="U1" s="25" t="s">
        <v>1407</v>
      </c>
      <c r="V1" s="25" t="s">
        <v>1420</v>
      </c>
      <c r="W1" s="18" t="s">
        <v>1362</v>
      </c>
      <c r="X1" s="17" t="s">
        <v>1363</v>
      </c>
    </row>
    <row r="2" spans="1:24" x14ac:dyDescent="0.25">
      <c r="A2" s="9" t="s">
        <v>359</v>
      </c>
      <c r="B2" s="5" t="s">
        <v>64</v>
      </c>
      <c r="C2" s="5" t="s">
        <v>360</v>
      </c>
      <c r="D2" s="5">
        <f>SUMIFS(Daten!I:I,Daten!H:H,C2,Daten!E:E,"BUY")</f>
        <v>160.77442500000001</v>
      </c>
      <c r="E2" s="5">
        <f>-SUMIFS(Daten!I:I,Daten!H:H,C2,Daten!E:E,"SELL")</f>
        <v>0</v>
      </c>
      <c r="F2" s="5">
        <f t="shared" ref="F2:F33" si="0">D2-E2</f>
        <v>160.77442500000001</v>
      </c>
      <c r="G2" s="6">
        <f>-SUMIFS(Daten!K:K,Daten!H:H,C2,Daten!E:E,"BUY")</f>
        <v>19</v>
      </c>
      <c r="H2" s="6">
        <f>SUMIFS(Daten!K:K,Daten!H:H,C2,Daten!E:E,"SELL")</f>
        <v>0</v>
      </c>
      <c r="I2" s="6">
        <f>SUMIFS(Daten!L:L,Daten!H:H,C2)*-1</f>
        <v>1</v>
      </c>
      <c r="J2" s="6">
        <f>-SUMIFS(Daten!M:M,Daten!E:E,"SELL",Daten!H:H,C2)</f>
        <v>0</v>
      </c>
      <c r="K2" s="6">
        <f>H2-G2-I2-J2</f>
        <v>-20</v>
      </c>
      <c r="L2" s="5" t="str">
        <f t="shared" ref="L2:L33" si="1">IF(F2&gt;0,"OFFEN","GESCHLOSSEN")</f>
        <v>OFFEN</v>
      </c>
      <c r="M2">
        <v>0.1244</v>
      </c>
      <c r="N2">
        <v>0.10591399999999999</v>
      </c>
      <c r="O2" s="21">
        <f t="shared" ref="O2:O33" si="2">IF(L2="GESCHLOSSEN",
0,
IF(L2="OFFEN",
((N2*F2)-(M2*F2)),
""))</f>
        <v>-2.9720760205499985</v>
      </c>
      <c r="P2" s="6">
        <f t="shared" ref="P2:P33" si="3">IF(F2&gt;0,F2*N2,0)</f>
        <v>17.028262449450001</v>
      </c>
      <c r="Q2" s="6">
        <f t="shared" ref="Q2:Q33" si="4">IF(F2&gt;0,F2*M2,0)</f>
        <v>20.000338469999999</v>
      </c>
      <c r="R2" s="7">
        <f t="shared" ref="R2:R33" si="5">IF(L2="GESCHLOSSEN",
0,
IF(L2="OFFEN",
(O2/(M2*F2))))</f>
        <v>-0.14860128617363338</v>
      </c>
      <c r="S2" s="6">
        <f>IF(L2="GESCHLOSSEN",
H2-G2-I2 + SUMIFS(Daten!K:K,Daten!H:H,C2,Daten!E:E,"DIVIDEND"),
IF(L2="OFFEN",
IF(E2=0,
0,
H2+SUMIFS(Daten!K:K,Daten!H:H,C2,Daten!E:E,"DIVIDEND")-(G2-(F2*M2))-I2
),
""))</f>
        <v>0</v>
      </c>
      <c r="T2" s="6">
        <f t="shared" ref="T2:T33" si="6">IF(E2=0,
0,
(G2-(F2*M2))+I2
)</f>
        <v>0</v>
      </c>
      <c r="U2" s="26">
        <f>COUNTIFS(Daten!H:H,C2,Daten!E:E,"BUY",Daten!L:L,"&lt;0")</f>
        <v>1</v>
      </c>
      <c r="V2" s="26">
        <f>COUNTIFS(Daten!H:H,C2,Daten!E:E,"SELL",Daten!L:L,"&lt;0")</f>
        <v>0</v>
      </c>
      <c r="W2" s="7">
        <f>IF(T2&gt;0,S2/T2,0)</f>
        <v>0</v>
      </c>
      <c r="X2" s="7">
        <f>IF(L2="GESCHLOSSEN",
K2/(G2+I2),
IF(L2="OFFEN",
((H2+N2*F2)-G2-I2)/G2,
""))</f>
        <v>-0.15640723950263155</v>
      </c>
    </row>
    <row r="3" spans="1:24" x14ac:dyDescent="0.25">
      <c r="A3" s="9" t="s">
        <v>262</v>
      </c>
      <c r="B3" s="5" t="s">
        <v>32</v>
      </c>
      <c r="C3" s="5" t="s">
        <v>263</v>
      </c>
      <c r="D3" s="5">
        <f>SUMIFS(Daten!I:I,Daten!H:H,C3,Daten!E:E,"BUY")</f>
        <v>15.014427</v>
      </c>
      <c r="E3" s="5">
        <f>-SUMIFS(Daten!I:I,Daten!H:H,C3,Daten!E:E,"SELL")</f>
        <v>14.432513</v>
      </c>
      <c r="F3" s="5">
        <f t="shared" si="0"/>
        <v>0.58191399999999938</v>
      </c>
      <c r="G3" s="6">
        <f>-SUMIFS(Daten!K:K,Daten!H:H,C3,Daten!E:E,"BUY")</f>
        <v>555.97</v>
      </c>
      <c r="H3" s="6">
        <f>SUMIFS(Daten!K:K,Daten!H:H,C3,Daten!E:E,"SELL")</f>
        <v>660.92</v>
      </c>
      <c r="I3" s="6">
        <f>SUMIFS(Daten!L:L,Daten!H:H,C3)*-1</f>
        <v>8</v>
      </c>
      <c r="J3" s="6">
        <f>-SUMIFS(Daten!M:M,Daten!E:E,"SELL",Daten!H:H,C3)</f>
        <v>0</v>
      </c>
      <c r="K3" s="6">
        <f t="shared" ref="K3:K63" si="7">H3-G3-I3-J3</f>
        <v>96.949999999999932</v>
      </c>
      <c r="L3" s="5" t="str">
        <f t="shared" si="1"/>
        <v>OFFEN</v>
      </c>
      <c r="M3">
        <v>33.659999999999997</v>
      </c>
      <c r="N3">
        <v>42.966000000000001</v>
      </c>
      <c r="O3" s="21">
        <f t="shared" si="2"/>
        <v>5.4152916839999961</v>
      </c>
      <c r="P3" s="6">
        <f t="shared" si="3"/>
        <v>25.002516923999973</v>
      </c>
      <c r="Q3" s="6">
        <f t="shared" si="4"/>
        <v>19.587225239999977</v>
      </c>
      <c r="R3" s="7">
        <f t="shared" si="5"/>
        <v>0.27647058823529425</v>
      </c>
      <c r="S3" s="6">
        <f>IF(L3="GESCHLOSSEN",
H3-G3-I3 + SUMIFS(Daten!K:K,Daten!H:H,C3,Daten!E:E,"DIVIDEND"),
IF(L3="OFFEN",
IF(E3=0,
0,
H3+SUMIFS(Daten!K:K,Daten!H:H,C3,Daten!E:E,"DIVIDEND")-(G3-(F3*M3))-I3
),
""))</f>
        <v>117.1472252399999</v>
      </c>
      <c r="T3" s="6">
        <f t="shared" si="6"/>
        <v>544.38277476000007</v>
      </c>
      <c r="U3" s="26">
        <f>COUNTIFS(Daten!H:H,C3,Daten!E:E,"BUY",Daten!L:L,"&lt;0")</f>
        <v>5</v>
      </c>
      <c r="V3" s="26">
        <f>COUNTIFS(Daten!H:H,C3,Daten!E:E,"SELL",Daten!L:L,"&lt;0")</f>
        <v>3</v>
      </c>
      <c r="W3" s="7">
        <f>IF(T3&gt;0,S3/T3,0)</f>
        <v>0.21519274795505083</v>
      </c>
      <c r="X3" s="7">
        <f t="shared" ref="X3:X63" si="8">IF(L3="GESCHLOSSEN",
K3/(G3+I3),
IF(L3="OFFEN",
((H3+N3*F3)-G3-I3)/G3,
""))</f>
        <v>0.21935089469575686</v>
      </c>
    </row>
    <row r="4" spans="1:24" x14ac:dyDescent="0.25">
      <c r="A4" s="9" t="s">
        <v>590</v>
      </c>
      <c r="B4" s="5" t="s">
        <v>32</v>
      </c>
      <c r="C4" s="5" t="s">
        <v>591</v>
      </c>
      <c r="D4" s="5">
        <f>SUMIFS(Daten!I:I,Daten!H:H,C4,Daten!E:E,"BUY")</f>
        <v>107.18673200000001</v>
      </c>
      <c r="E4" s="5">
        <f>-SUMIFS(Daten!I:I,Daten!H:H,C4,Daten!E:E,"SELL")</f>
        <v>107.18673200000001</v>
      </c>
      <c r="F4" s="5">
        <f t="shared" si="0"/>
        <v>0</v>
      </c>
      <c r="G4" s="6">
        <f>-SUMIFS(Daten!K:K,Daten!H:H,C4,Daten!E:E,"BUY")</f>
        <v>650</v>
      </c>
      <c r="H4" s="6">
        <f>SUMIFS(Daten!K:K,Daten!H:H,C4,Daten!E:E,"SELL")</f>
        <v>684.86</v>
      </c>
      <c r="I4" s="6">
        <f>SUMIFS(Daten!L:L,Daten!H:H,C4)*-1</f>
        <v>7</v>
      </c>
      <c r="J4" s="6">
        <f>-SUMIFS(Daten!M:M,Daten!E:E,"SELL",Daten!H:H,C4)</f>
        <v>0</v>
      </c>
      <c r="K4" s="6">
        <f t="shared" si="7"/>
        <v>27.860000000000014</v>
      </c>
      <c r="L4" s="5" t="str">
        <f t="shared" si="1"/>
        <v>GESCHLOSSEN</v>
      </c>
      <c r="M4">
        <v>0</v>
      </c>
      <c r="N4">
        <v>0</v>
      </c>
      <c r="O4" s="21">
        <f t="shared" si="2"/>
        <v>0</v>
      </c>
      <c r="P4" s="6">
        <f t="shared" si="3"/>
        <v>0</v>
      </c>
      <c r="Q4" s="6">
        <f t="shared" si="4"/>
        <v>0</v>
      </c>
      <c r="R4" s="7">
        <f t="shared" si="5"/>
        <v>0</v>
      </c>
      <c r="S4" s="6">
        <f>IF(L4="GESCHLOSSEN",
H4-G4-I4 + SUMIFS(Daten!K:K,Daten!H:H,C4,Daten!E:E,"DIVIDEND"),
IF(L4="OFFEN",
IF(E4=0,
0,
H4+SUMIFS(Daten!K:K,Daten!H:H,C4,Daten!E:E,"DIVIDEND")-(G4-(F4*M4))-I4
),
""))</f>
        <v>31.260000000000012</v>
      </c>
      <c r="T4" s="6">
        <f t="shared" si="6"/>
        <v>657</v>
      </c>
      <c r="U4" s="26">
        <f>COUNTIFS(Daten!H:H,C4,Daten!E:E,"BUY",Daten!L:L,"&lt;0")</f>
        <v>4</v>
      </c>
      <c r="V4" s="26">
        <f>COUNTIFS(Daten!H:H,C4,Daten!E:E,"SELL",Daten!L:L,"&lt;0")</f>
        <v>3</v>
      </c>
      <c r="W4" s="7">
        <f t="shared" ref="W4:W33" si="9">IF(T4&gt;0,S4/T4,0)</f>
        <v>4.7579908675799108E-2</v>
      </c>
      <c r="X4" s="7">
        <f>IF(L4="GESCHLOSSEN",
K4/(G4+I4),
IF(L4="OFFEN",
((H4+N4*F4)-G4-I4)/G4,
""))</f>
        <v>4.2404870624048727E-2</v>
      </c>
    </row>
    <row r="5" spans="1:24" x14ac:dyDescent="0.25">
      <c r="A5" s="9" t="s">
        <v>211</v>
      </c>
      <c r="B5" s="5" t="s">
        <v>32</v>
      </c>
      <c r="C5" s="5" t="s">
        <v>212</v>
      </c>
      <c r="D5" s="5">
        <f>SUMIFS(Daten!I:I,Daten!H:H,C5,Daten!E:E,"BUY")</f>
        <v>147.77105400000002</v>
      </c>
      <c r="E5" s="5">
        <f>-SUMIFS(Daten!I:I,Daten!H:H,C5,Daten!E:E,"SELL")</f>
        <v>147.77105399999999</v>
      </c>
      <c r="F5" s="5">
        <f t="shared" si="0"/>
        <v>0</v>
      </c>
      <c r="G5" s="6">
        <f>-SUMIFS(Daten!K:K,Daten!H:H,C5,Daten!E:E,"BUY")</f>
        <v>626</v>
      </c>
      <c r="H5" s="6">
        <f>SUMIFS(Daten!K:K,Daten!H:H,C5,Daten!E:E,"SELL")</f>
        <v>727.03</v>
      </c>
      <c r="I5" s="6">
        <f>SUMIFS(Daten!L:L,Daten!H:H,C5)*-1</f>
        <v>13</v>
      </c>
      <c r="J5" s="6">
        <f>-SUMIFS(Daten!M:M,Daten!E:E,"SELL",Daten!H:H,C5)</f>
        <v>0</v>
      </c>
      <c r="K5" s="6">
        <f t="shared" si="7"/>
        <v>88.029999999999973</v>
      </c>
      <c r="L5" s="5" t="str">
        <f t="shared" si="1"/>
        <v>GESCHLOSSEN</v>
      </c>
      <c r="M5">
        <v>0</v>
      </c>
      <c r="N5">
        <v>0</v>
      </c>
      <c r="O5" s="21">
        <f t="shared" si="2"/>
        <v>0</v>
      </c>
      <c r="P5" s="6">
        <f t="shared" si="3"/>
        <v>0</v>
      </c>
      <c r="Q5" s="6">
        <f t="shared" si="4"/>
        <v>0</v>
      </c>
      <c r="R5" s="7">
        <f t="shared" si="5"/>
        <v>0</v>
      </c>
      <c r="S5" s="6">
        <f>IF(L5="GESCHLOSSEN",
H5-G5-I5 + SUMIFS(Daten!K:K,Daten!H:H,C5,Daten!E:E,"DIVIDEND"),
IF(L5="OFFEN",
IF(E5=0,
0,
H5+SUMIFS(Daten!K:K,Daten!H:H,C5,Daten!E:E,"DIVIDEND")-(G5-(F5*M5))-I5
),
""))</f>
        <v>88.029999999999973</v>
      </c>
      <c r="T5" s="6">
        <f t="shared" si="6"/>
        <v>639</v>
      </c>
      <c r="U5" s="26">
        <f>COUNTIFS(Daten!H:H,C5,Daten!E:E,"BUY",Daten!L:L,"&lt;0")</f>
        <v>12</v>
      </c>
      <c r="V5" s="26">
        <f>COUNTIFS(Daten!H:H,C5,Daten!E:E,"SELL",Daten!L:L,"&lt;0")</f>
        <v>1</v>
      </c>
      <c r="W5" s="7">
        <f t="shared" si="9"/>
        <v>0.13776212832550858</v>
      </c>
      <c r="X5" s="7">
        <f t="shared" si="8"/>
        <v>0.13776212832550858</v>
      </c>
    </row>
    <row r="6" spans="1:24" x14ac:dyDescent="0.25">
      <c r="A6" s="9" t="s">
        <v>471</v>
      </c>
      <c r="B6" s="5" t="s">
        <v>32</v>
      </c>
      <c r="C6" s="5" t="s">
        <v>472</v>
      </c>
      <c r="D6" s="5">
        <f>SUMIFS(Daten!I:I,Daten!H:H,C6,Daten!E:E,"BUY")</f>
        <v>22.577082999999998</v>
      </c>
      <c r="E6" s="5">
        <f>-SUMIFS(Daten!I:I,Daten!H:H,C6,Daten!E:E,"SELL")</f>
        <v>22.577083000000002</v>
      </c>
      <c r="F6" s="5">
        <f t="shared" si="0"/>
        <v>0</v>
      </c>
      <c r="G6" s="6">
        <f>-SUMIFS(Daten!K:K,Daten!H:H,C6,Daten!E:E,"BUY")</f>
        <v>244</v>
      </c>
      <c r="H6" s="6">
        <f>SUMIFS(Daten!K:K,Daten!H:H,C6,Daten!E:E,"SELL")</f>
        <v>242.45999999999998</v>
      </c>
      <c r="I6" s="6">
        <f>SUMIFS(Daten!L:L,Daten!H:H,C6)*-1</f>
        <v>5</v>
      </c>
      <c r="J6" s="6">
        <f>-SUMIFS(Daten!M:M,Daten!E:E,"SELL",Daten!H:H,C6)</f>
        <v>0</v>
      </c>
      <c r="K6" s="6">
        <f t="shared" si="7"/>
        <v>-6.5400000000000205</v>
      </c>
      <c r="L6" s="5" t="str">
        <f t="shared" si="1"/>
        <v>GESCHLOSSEN</v>
      </c>
      <c r="M6">
        <v>0</v>
      </c>
      <c r="N6">
        <v>0</v>
      </c>
      <c r="O6" s="21">
        <f t="shared" si="2"/>
        <v>0</v>
      </c>
      <c r="P6" s="6">
        <f t="shared" si="3"/>
        <v>0</v>
      </c>
      <c r="Q6" s="6">
        <f t="shared" si="4"/>
        <v>0</v>
      </c>
      <c r="R6" s="7">
        <f t="shared" si="5"/>
        <v>0</v>
      </c>
      <c r="S6" s="6">
        <f>IF(L6="GESCHLOSSEN",
H6-G6-I6 + SUMIFS(Daten!K:K,Daten!H:H,C6,Daten!E:E,"DIVIDEND"),
IF(L6="OFFEN",
IF(E6=0,
0,
H6+SUMIFS(Daten!K:K,Daten!H:H,C6,Daten!E:E,"DIVIDEND")-(G6-(F6*M6))-I6
),
""))</f>
        <v>-6.5400000000000205</v>
      </c>
      <c r="T6" s="6">
        <f t="shared" si="6"/>
        <v>249</v>
      </c>
      <c r="U6" s="26">
        <f>COUNTIFS(Daten!H:H,C6,Daten!E:E,"BUY",Daten!L:L,"&lt;0")</f>
        <v>3</v>
      </c>
      <c r="V6" s="26">
        <f>COUNTIFS(Daten!H:H,C6,Daten!E:E,"SELL",Daten!L:L,"&lt;0")</f>
        <v>2</v>
      </c>
      <c r="W6" s="7">
        <f t="shared" si="9"/>
        <v>-2.6265060240963936E-2</v>
      </c>
      <c r="X6" s="7">
        <f t="shared" si="8"/>
        <v>-2.6265060240963936E-2</v>
      </c>
    </row>
    <row r="7" spans="1:24" x14ac:dyDescent="0.25">
      <c r="A7" s="9" t="s">
        <v>72</v>
      </c>
      <c r="B7" s="5" t="s">
        <v>64</v>
      </c>
      <c r="C7" s="5" t="s">
        <v>73</v>
      </c>
      <c r="D7" s="5">
        <f>SUMIFS(Daten!I:I,Daten!H:H,C7,Daten!E:E,"BUY")</f>
        <v>714.061285</v>
      </c>
      <c r="E7" s="5">
        <f>-SUMIFS(Daten!I:I,Daten!H:H,C7,Daten!E:E,"SELL")</f>
        <v>0</v>
      </c>
      <c r="F7" s="5">
        <f t="shared" si="0"/>
        <v>714.061285</v>
      </c>
      <c r="G7" s="6">
        <f>-SUMIFS(Daten!K:K,Daten!H:H,C7,Daten!E:E,"BUY")</f>
        <v>178.99</v>
      </c>
      <c r="H7" s="6">
        <f>SUMIFS(Daten!K:K,Daten!H:H,C7,Daten!E:E,"SELL")</f>
        <v>0</v>
      </c>
      <c r="I7" s="6">
        <f>SUMIFS(Daten!L:L,Daten!H:H,C7)*-1</f>
        <v>5</v>
      </c>
      <c r="J7" s="6">
        <f>-SUMIFS(Daten!M:M,Daten!E:E,"SELL",Daten!H:H,C7)</f>
        <v>0</v>
      </c>
      <c r="K7" s="6">
        <f t="shared" si="7"/>
        <v>-183.99</v>
      </c>
      <c r="L7" s="5" t="str">
        <f t="shared" si="1"/>
        <v>OFFEN</v>
      </c>
      <c r="M7">
        <v>0.25800000000000001</v>
      </c>
      <c r="N7">
        <v>0.21299100000000001</v>
      </c>
      <c r="O7" s="21">
        <f t="shared" si="2"/>
        <v>-32.139184376564998</v>
      </c>
      <c r="P7" s="6">
        <f t="shared" si="3"/>
        <v>152.088627153435</v>
      </c>
      <c r="Q7" s="6">
        <f t="shared" si="4"/>
        <v>184.22781153</v>
      </c>
      <c r="R7" s="7">
        <f t="shared" si="5"/>
        <v>-0.17445348837209301</v>
      </c>
      <c r="S7" s="6">
        <f>IF(L7="GESCHLOSSEN",
H7-G7-I7 + SUMIFS(Daten!K:K,Daten!H:H,C7,Daten!E:E,"DIVIDEND"),
IF(L7="OFFEN",
IF(E7=0,
0,
H7+SUMIFS(Daten!K:K,Daten!H:H,C7,Daten!E:E,"DIVIDEND")-(G7-(F7*M7))-I7
),
""))</f>
        <v>0</v>
      </c>
      <c r="T7" s="6">
        <f t="shared" si="6"/>
        <v>0</v>
      </c>
      <c r="U7" s="26">
        <f>COUNTIFS(Daten!H:H,C7,Daten!E:E,"BUY",Daten!L:L,"&lt;0")</f>
        <v>5</v>
      </c>
      <c r="V7" s="26">
        <f>COUNTIFS(Daten!H:H,C7,Daten!E:E,"SELL",Daten!L:L,"&lt;0")</f>
        <v>0</v>
      </c>
      <c r="W7" s="7">
        <f t="shared" si="9"/>
        <v>0</v>
      </c>
      <c r="X7" s="7">
        <f t="shared" si="8"/>
        <v>-0.17822991701528024</v>
      </c>
    </row>
    <row r="8" spans="1:24" x14ac:dyDescent="0.25">
      <c r="A8" s="9" t="s">
        <v>293</v>
      </c>
      <c r="B8" s="5" t="s">
        <v>32</v>
      </c>
      <c r="C8" s="5" t="s">
        <v>294</v>
      </c>
      <c r="D8" s="5">
        <f>SUMIFS(Daten!I:I,Daten!H:H,C8,Daten!E:E,"BUY")</f>
        <v>23.832335</v>
      </c>
      <c r="E8" s="5">
        <f>-SUMIFS(Daten!I:I,Daten!H:H,C8,Daten!E:E,"SELL")</f>
        <v>23.832335</v>
      </c>
      <c r="F8" s="5">
        <f t="shared" si="0"/>
        <v>0</v>
      </c>
      <c r="G8" s="6">
        <f>-SUMIFS(Daten!K:K,Daten!H:H,C8,Daten!E:E,"BUY")</f>
        <v>199</v>
      </c>
      <c r="H8" s="6">
        <f>SUMIFS(Daten!K:K,Daten!H:H,C8,Daten!E:E,"SELL")</f>
        <v>252.62</v>
      </c>
      <c r="I8" s="6">
        <f>SUMIFS(Daten!L:L,Daten!H:H,C8)*-1</f>
        <v>3</v>
      </c>
      <c r="J8" s="6">
        <f>-SUMIFS(Daten!M:M,Daten!E:E,"SELL",Daten!H:H,C8)</f>
        <v>0</v>
      </c>
      <c r="K8" s="6">
        <f t="shared" si="7"/>
        <v>50.620000000000005</v>
      </c>
      <c r="L8" s="5" t="str">
        <f t="shared" si="1"/>
        <v>GESCHLOSSEN</v>
      </c>
      <c r="M8">
        <v>0</v>
      </c>
      <c r="N8">
        <v>0</v>
      </c>
      <c r="O8" s="21">
        <f t="shared" si="2"/>
        <v>0</v>
      </c>
      <c r="P8" s="6">
        <f t="shared" si="3"/>
        <v>0</v>
      </c>
      <c r="Q8" s="6">
        <f t="shared" si="4"/>
        <v>0</v>
      </c>
      <c r="R8" s="7">
        <f t="shared" si="5"/>
        <v>0</v>
      </c>
      <c r="S8" s="6">
        <f>IF(L8="GESCHLOSSEN",
H8-G8-I8 + SUMIFS(Daten!K:K,Daten!H:H,C8,Daten!E:E,"DIVIDEND"),
IF(L8="OFFEN",
IF(E8=0,
0,
H8+SUMIFS(Daten!K:K,Daten!H:H,C8,Daten!E:E,"DIVIDEND")-(G8-(F8*M8))-I8
),
""))</f>
        <v>50.620000000000005</v>
      </c>
      <c r="T8" s="6">
        <f t="shared" si="6"/>
        <v>202</v>
      </c>
      <c r="U8" s="26">
        <f>COUNTIFS(Daten!H:H,C8,Daten!E:E,"BUY",Daten!L:L,"&lt;0")</f>
        <v>1</v>
      </c>
      <c r="V8" s="26">
        <f>COUNTIFS(Daten!H:H,C8,Daten!E:E,"SELL",Daten!L:L,"&lt;0")</f>
        <v>2</v>
      </c>
      <c r="W8" s="7">
        <f t="shared" si="9"/>
        <v>0.25059405940594059</v>
      </c>
      <c r="X8" s="7">
        <f t="shared" si="8"/>
        <v>0.25059405940594059</v>
      </c>
    </row>
    <row r="9" spans="1:24" x14ac:dyDescent="0.25">
      <c r="A9" s="9" t="s">
        <v>107</v>
      </c>
      <c r="B9" s="5" t="s">
        <v>64</v>
      </c>
      <c r="C9" s="5" t="s">
        <v>108</v>
      </c>
      <c r="D9" s="5">
        <f>SUMIFS(Daten!I:I,Daten!H:H,C9,Daten!E:E,"BUY")</f>
        <v>39.670690999999998</v>
      </c>
      <c r="E9" s="5">
        <f>-SUMIFS(Daten!I:I,Daten!H:H,C9,Daten!E:E,"SELL")</f>
        <v>24.110118</v>
      </c>
      <c r="F9" s="5">
        <f t="shared" si="0"/>
        <v>15.560572999999998</v>
      </c>
      <c r="G9" s="6">
        <f>-SUMIFS(Daten!K:K,Daten!H:H,C9,Daten!E:E,"BUY")</f>
        <v>422.62</v>
      </c>
      <c r="H9" s="6">
        <f>SUMIFS(Daten!K:K,Daten!H:H,C9,Daten!E:E,"SELL")</f>
        <v>263.52999999999997</v>
      </c>
      <c r="I9" s="6">
        <f>SUMIFS(Daten!L:L,Daten!H:H,C9)*-1</f>
        <v>8</v>
      </c>
      <c r="J9" s="6">
        <f>-SUMIFS(Daten!M:M,Daten!E:E,"SELL",Daten!H:H,C9)</f>
        <v>0</v>
      </c>
      <c r="K9" s="6">
        <f t="shared" si="7"/>
        <v>-167.09000000000003</v>
      </c>
      <c r="L9" s="5" t="str">
        <f t="shared" si="1"/>
        <v>OFFEN</v>
      </c>
      <c r="M9">
        <v>11.67</v>
      </c>
      <c r="N9">
        <v>11.47</v>
      </c>
      <c r="O9" s="21">
        <f t="shared" si="2"/>
        <v>-3.112114599999984</v>
      </c>
      <c r="P9" s="6">
        <f t="shared" si="3"/>
        <v>178.47977230999999</v>
      </c>
      <c r="Q9" s="6">
        <f t="shared" si="4"/>
        <v>181.59188690999997</v>
      </c>
      <c r="R9" s="7">
        <f t="shared" si="5"/>
        <v>-1.7137960582690574E-2</v>
      </c>
      <c r="S9" s="6">
        <f>IF(L9="GESCHLOSSEN",
H9-G9-I9 + SUMIFS(Daten!K:K,Daten!H:H,C9,Daten!E:E,"DIVIDEND"),
IF(L9="OFFEN",
IF(E9=0,
0,
H9+SUMIFS(Daten!K:K,Daten!H:H,C9,Daten!E:E,"DIVIDEND")-(G9-(F9*M9))-I9
),
""))</f>
        <v>14.501886909999939</v>
      </c>
      <c r="T9" s="6">
        <f t="shared" si="6"/>
        <v>249.02811309000003</v>
      </c>
      <c r="U9" s="26">
        <f>COUNTIFS(Daten!H:H,C9,Daten!E:E,"BUY",Daten!L:L,"&lt;0")</f>
        <v>7</v>
      </c>
      <c r="V9" s="26">
        <f>COUNTIFS(Daten!H:H,C9,Daten!E:E,"SELL",Daten!L:L,"&lt;0")</f>
        <v>1</v>
      </c>
      <c r="W9" s="7">
        <f t="shared" si="9"/>
        <v>5.8233934835939118E-2</v>
      </c>
      <c r="X9" s="7">
        <f t="shared" si="8"/>
        <v>2.6950386422791055E-2</v>
      </c>
    </row>
    <row r="10" spans="1:24" x14ac:dyDescent="0.25">
      <c r="A10" s="9" t="s">
        <v>1154</v>
      </c>
      <c r="B10" s="5" t="s">
        <v>464</v>
      </c>
      <c r="C10" s="5" t="s">
        <v>1155</v>
      </c>
      <c r="D10" s="5">
        <f>SUMIFS(Daten!I:I,Daten!H:H,C10,Daten!E:E,"BUY")</f>
        <v>14.461017</v>
      </c>
      <c r="E10" s="5">
        <f>-SUMIFS(Daten!I:I,Daten!H:H,C10,Daten!E:E,"SELL")</f>
        <v>0</v>
      </c>
      <c r="F10" s="5">
        <f t="shared" si="0"/>
        <v>14.461017</v>
      </c>
      <c r="G10" s="6">
        <f>-SUMIFS(Daten!K:K,Daten!H:H,C10,Daten!E:E,"BUY")</f>
        <v>698.08</v>
      </c>
      <c r="H10" s="6">
        <f>SUMIFS(Daten!K:K,Daten!H:H,C10,Daten!E:E,"SELL")</f>
        <v>0</v>
      </c>
      <c r="I10" s="6">
        <f>SUMIFS(Daten!L:L,Daten!H:H,C10)*-1</f>
        <v>1</v>
      </c>
      <c r="J10" s="6">
        <f>-SUMIFS(Daten!M:M,Daten!E:E,"SELL",Daten!H:H,C10)</f>
        <v>0</v>
      </c>
      <c r="K10" s="6">
        <f t="shared" si="7"/>
        <v>-699.08</v>
      </c>
      <c r="L10" s="5" t="str">
        <f t="shared" si="1"/>
        <v>OFFEN</v>
      </c>
      <c r="M10">
        <v>48.34</v>
      </c>
      <c r="N10">
        <v>48.936999999999998</v>
      </c>
      <c r="O10" s="21">
        <f t="shared" si="2"/>
        <v>8.6332271489999357</v>
      </c>
      <c r="P10" s="6">
        <f t="shared" si="3"/>
        <v>707.67878892900001</v>
      </c>
      <c r="Q10" s="6">
        <f t="shared" si="4"/>
        <v>699.04556178000007</v>
      </c>
      <c r="R10" s="7">
        <f t="shared" si="5"/>
        <v>1.2350020686801726E-2</v>
      </c>
      <c r="S10" s="6">
        <f>IF(L10="GESCHLOSSEN",
H10-G10-I10 + SUMIFS(Daten!K:K,Daten!H:H,C10,Daten!E:E,"DIVIDEND"),
IF(L10="OFFEN",
IF(E10=0,
0,
H10+SUMIFS(Daten!K:K,Daten!H:H,C10,Daten!E:E,"DIVIDEND")-(G10-(F10*M10))-I10
),
""))</f>
        <v>0</v>
      </c>
      <c r="T10" s="6">
        <f t="shared" si="6"/>
        <v>0</v>
      </c>
      <c r="U10" s="26">
        <f>COUNTIFS(Daten!H:H,C10,Daten!E:E,"BUY",Daten!L:L,"&lt;0")</f>
        <v>1</v>
      </c>
      <c r="V10" s="26">
        <f>COUNTIFS(Daten!H:H,C10,Daten!E:E,"SELL",Daten!L:L,"&lt;0")</f>
        <v>0</v>
      </c>
      <c r="W10" s="7">
        <f t="shared" si="9"/>
        <v>0</v>
      </c>
      <c r="X10" s="7">
        <f t="shared" si="8"/>
        <v>1.2317770067900477E-2</v>
      </c>
    </row>
    <row r="11" spans="1:24" x14ac:dyDescent="0.25">
      <c r="A11" s="9" t="s">
        <v>465</v>
      </c>
      <c r="B11" s="5" t="s">
        <v>464</v>
      </c>
      <c r="C11" s="5" t="s">
        <v>466</v>
      </c>
      <c r="D11" s="5">
        <f>SUMIFS(Daten!I:I,Daten!H:H,C11,Daten!E:E,"BUY")</f>
        <v>9.0643020000000014</v>
      </c>
      <c r="E11" s="5">
        <f>-SUMIFS(Daten!I:I,Daten!H:H,C11,Daten!E:E,"SELL")</f>
        <v>9.0643019999999996</v>
      </c>
      <c r="F11" s="5">
        <f t="shared" si="0"/>
        <v>0</v>
      </c>
      <c r="G11" s="6">
        <f>-SUMIFS(Daten!K:K,Daten!H:H,C11,Daten!E:E,"BUY")</f>
        <v>1049.99</v>
      </c>
      <c r="H11" s="6">
        <f>SUMIFS(Daten!K:K,Daten!H:H,C11,Daten!E:E,"SELL")</f>
        <v>1179.9000000000001</v>
      </c>
      <c r="I11" s="6">
        <f>SUMIFS(Daten!L:L,Daten!H:H,C11)*-1</f>
        <v>9</v>
      </c>
      <c r="J11" s="6">
        <f>-SUMIFS(Daten!M:M,Daten!E:E,"SELL",Daten!H:H,C11)</f>
        <v>16.5</v>
      </c>
      <c r="K11" s="6">
        <f t="shared" si="7"/>
        <v>104.41000000000008</v>
      </c>
      <c r="L11" s="5" t="str">
        <f t="shared" si="1"/>
        <v>GESCHLOSSEN</v>
      </c>
      <c r="M11">
        <v>0</v>
      </c>
      <c r="N11">
        <v>0</v>
      </c>
      <c r="O11" s="21">
        <f t="shared" si="2"/>
        <v>0</v>
      </c>
      <c r="P11" s="6">
        <f t="shared" si="3"/>
        <v>0</v>
      </c>
      <c r="Q11" s="6">
        <f t="shared" si="4"/>
        <v>0</v>
      </c>
      <c r="R11" s="7">
        <f t="shared" si="5"/>
        <v>0</v>
      </c>
      <c r="S11" s="6">
        <f>IF(L11="GESCHLOSSEN",
H11-G11-I11 + SUMIFS(Daten!K:K,Daten!H:H,C11,Daten!E:E,"DIVIDEND"),
IF(L11="OFFEN",
IF(E11=0,
0,
H11+SUMIFS(Daten!K:K,Daten!H:H,C11,Daten!E:E,"DIVIDEND")-(G11-(F11*M11))-I11
),
""))</f>
        <v>120.91000000000008</v>
      </c>
      <c r="T11" s="6">
        <f t="shared" si="6"/>
        <v>1058.99</v>
      </c>
      <c r="U11" s="26">
        <f>COUNTIFS(Daten!H:H,C11,Daten!E:E,"BUY",Daten!L:L,"&lt;0")</f>
        <v>7</v>
      </c>
      <c r="V11" s="26">
        <f>COUNTIFS(Daten!H:H,C11,Daten!E:E,"SELL",Daten!L:L,"&lt;0")</f>
        <v>2</v>
      </c>
      <c r="W11" s="7">
        <f t="shared" si="9"/>
        <v>0.11417482695776171</v>
      </c>
      <c r="X11" s="7">
        <f t="shared" si="8"/>
        <v>9.8593943285583505E-2</v>
      </c>
    </row>
    <row r="12" spans="1:24" x14ac:dyDescent="0.25">
      <c r="A12" s="9" t="s">
        <v>526</v>
      </c>
      <c r="B12" s="5" t="s">
        <v>464</v>
      </c>
      <c r="C12" s="5" t="s">
        <v>527</v>
      </c>
      <c r="D12" s="5">
        <f>SUMIFS(Daten!I:I,Daten!H:H,C12,Daten!E:E,"BUY")</f>
        <v>2.8623150000000002</v>
      </c>
      <c r="E12" s="5">
        <f>-SUMIFS(Daten!I:I,Daten!H:H,C12,Daten!E:E,"SELL")</f>
        <v>1.5264419999999999</v>
      </c>
      <c r="F12" s="5">
        <f t="shared" si="0"/>
        <v>1.3358730000000003</v>
      </c>
      <c r="G12" s="6">
        <f>-SUMIFS(Daten!K:K,Daten!H:H,C12,Daten!E:E,"BUY")</f>
        <v>1837.88</v>
      </c>
      <c r="H12" s="6">
        <f>SUMIFS(Daten!K:K,Daten!H:H,C12,Daten!E:E,"SELL")</f>
        <v>1134</v>
      </c>
      <c r="I12" s="6">
        <f>SUMIFS(Daten!L:L,Daten!H:H,C12)*-1</f>
        <v>10</v>
      </c>
      <c r="J12" s="6">
        <f>-SUMIFS(Daten!M:M,Daten!E:E,"SELL",Daten!H:H,C12)</f>
        <v>13.16</v>
      </c>
      <c r="K12" s="6">
        <f t="shared" si="7"/>
        <v>-727.04000000000008</v>
      </c>
      <c r="L12" s="5" t="str">
        <f t="shared" si="1"/>
        <v>OFFEN</v>
      </c>
      <c r="M12">
        <v>674.19</v>
      </c>
      <c r="N12">
        <v>749.4</v>
      </c>
      <c r="O12" s="21">
        <f t="shared" si="2"/>
        <v>100.4710083299999</v>
      </c>
      <c r="P12" s="6">
        <f t="shared" si="3"/>
        <v>1001.1032262000002</v>
      </c>
      <c r="Q12" s="6">
        <f t="shared" si="4"/>
        <v>900.63221787000032</v>
      </c>
      <c r="R12" s="7">
        <f t="shared" si="5"/>
        <v>0.11155608952965766</v>
      </c>
      <c r="S12" s="6">
        <f>IF(L12="GESCHLOSSEN",
H12-G12-I12 + SUMIFS(Daten!K:K,Daten!H:H,C12,Daten!E:E,"DIVIDEND"),
IF(L12="OFFEN",
IF(E12=0,
0,
H12+SUMIFS(Daten!K:K,Daten!H:H,C12,Daten!E:E,"DIVIDEND")-(G12-(F12*M12))-I12
),
""))</f>
        <v>186.75221787000021</v>
      </c>
      <c r="T12" s="6">
        <f t="shared" si="6"/>
        <v>947.24778212999979</v>
      </c>
      <c r="U12" s="26">
        <f>COUNTIFS(Daten!H:H,C12,Daten!E:E,"BUY",Daten!L:L,"&lt;0")</f>
        <v>8</v>
      </c>
      <c r="V12" s="26">
        <f>COUNTIFS(Daten!H:H,C12,Daten!E:E,"SELL",Daten!L:L,"&lt;0")</f>
        <v>2</v>
      </c>
      <c r="W12" s="7">
        <f t="shared" si="9"/>
        <v>0.19715244669147236</v>
      </c>
      <c r="X12" s="7">
        <f t="shared" si="8"/>
        <v>0.15627964078177042</v>
      </c>
    </row>
    <row r="13" spans="1:24" x14ac:dyDescent="0.25">
      <c r="A13" s="9" t="s">
        <v>815</v>
      </c>
      <c r="B13" s="5" t="s">
        <v>464</v>
      </c>
      <c r="C13" s="5" t="s">
        <v>816</v>
      </c>
      <c r="D13" s="5">
        <f>SUMIFS(Daten!I:I,Daten!H:H,C13,Daten!E:E,"BUY")</f>
        <v>2.3372229999999998</v>
      </c>
      <c r="E13" s="5">
        <f>-SUMIFS(Daten!I:I,Daten!H:H,C13,Daten!E:E,"SELL")</f>
        <v>0</v>
      </c>
      <c r="F13" s="5">
        <f t="shared" si="0"/>
        <v>2.3372229999999998</v>
      </c>
      <c r="G13" s="6">
        <f>-SUMIFS(Daten!K:K,Daten!H:H,C13,Daten!E:E,"BUY")</f>
        <v>703.81</v>
      </c>
      <c r="H13" s="6">
        <f>SUMIFS(Daten!K:K,Daten!H:H,C13,Daten!E:E,"SELL")</f>
        <v>0</v>
      </c>
      <c r="I13" s="6">
        <f>SUMIFS(Daten!L:L,Daten!H:H,C13)*-1</f>
        <v>3</v>
      </c>
      <c r="J13" s="6">
        <f>-SUMIFS(Daten!M:M,Daten!E:E,"SELL",Daten!H:H,C13)</f>
        <v>0</v>
      </c>
      <c r="K13" s="6">
        <f t="shared" si="7"/>
        <v>-706.81</v>
      </c>
      <c r="L13" s="5" t="str">
        <f t="shared" si="1"/>
        <v>OFFEN</v>
      </c>
      <c r="M13">
        <v>302.41000000000003</v>
      </c>
      <c r="N13">
        <v>311.45</v>
      </c>
      <c r="O13" s="21">
        <f t="shared" si="2"/>
        <v>21.128495919999864</v>
      </c>
      <c r="P13" s="6">
        <f t="shared" si="3"/>
        <v>727.9281033499999</v>
      </c>
      <c r="Q13" s="6">
        <f t="shared" si="4"/>
        <v>706.79960743000004</v>
      </c>
      <c r="R13" s="7">
        <f t="shared" si="5"/>
        <v>2.9893191362719292E-2</v>
      </c>
      <c r="S13" s="6">
        <f>IF(L13="GESCHLOSSEN",
H13-G13-I13 + SUMIFS(Daten!K:K,Daten!H:H,C13,Daten!E:E,"DIVIDEND"),
IF(L13="OFFEN",
IF(E13=0,
0,
H13+SUMIFS(Daten!K:K,Daten!H:H,C13,Daten!E:E,"DIVIDEND")-(G13-(F13*M13))-I13
),
""))</f>
        <v>0</v>
      </c>
      <c r="T13" s="6">
        <f t="shared" si="6"/>
        <v>0</v>
      </c>
      <c r="U13" s="26">
        <f>COUNTIFS(Daten!H:H,C13,Daten!E:E,"BUY",Daten!L:L,"&lt;0")</f>
        <v>3</v>
      </c>
      <c r="V13" s="26">
        <f>COUNTIFS(Daten!H:H,C13,Daten!E:E,"SELL",Daten!L:L,"&lt;0")</f>
        <v>0</v>
      </c>
      <c r="W13" s="7">
        <f t="shared" si="9"/>
        <v>0</v>
      </c>
      <c r="X13" s="7">
        <f t="shared" si="8"/>
        <v>3.0005403944246258E-2</v>
      </c>
    </row>
    <row r="14" spans="1:24" x14ac:dyDescent="0.25">
      <c r="A14" s="9" t="s">
        <v>718</v>
      </c>
      <c r="B14" s="5" t="s">
        <v>464</v>
      </c>
      <c r="C14" s="5" t="s">
        <v>719</v>
      </c>
      <c r="D14" s="5">
        <f>SUMIFS(Daten!I:I,Daten!H:H,C14,Daten!E:E,"BUY")</f>
        <v>2.2190669999999999</v>
      </c>
      <c r="E14" s="5">
        <f>-SUMIFS(Daten!I:I,Daten!H:H,C14,Daten!E:E,"SELL")</f>
        <v>2.2190669999999999</v>
      </c>
      <c r="F14" s="5">
        <f t="shared" si="0"/>
        <v>0</v>
      </c>
      <c r="G14" s="6">
        <f>-SUMIFS(Daten!K:K,Daten!H:H,C14,Daten!E:E,"BUY")</f>
        <v>500</v>
      </c>
      <c r="H14" s="6">
        <f>SUMIFS(Daten!K:K,Daten!H:H,C14,Daten!E:E,"SELL")</f>
        <v>506.61</v>
      </c>
      <c r="I14" s="6">
        <f>SUMIFS(Daten!L:L,Daten!H:H,C14)*-1</f>
        <v>3</v>
      </c>
      <c r="J14" s="6">
        <f>-SUMIFS(Daten!M:M,Daten!E:E,"SELL",Daten!H:H,C14)</f>
        <v>0</v>
      </c>
      <c r="K14" s="6">
        <f t="shared" si="7"/>
        <v>3.6100000000000136</v>
      </c>
      <c r="L14" s="5" t="str">
        <f t="shared" si="1"/>
        <v>GESCHLOSSEN</v>
      </c>
      <c r="M14">
        <v>0</v>
      </c>
      <c r="N14">
        <v>0</v>
      </c>
      <c r="O14" s="21">
        <f t="shared" si="2"/>
        <v>0</v>
      </c>
      <c r="P14" s="6">
        <f t="shared" si="3"/>
        <v>0</v>
      </c>
      <c r="Q14" s="6">
        <f t="shared" si="4"/>
        <v>0</v>
      </c>
      <c r="R14" s="7">
        <f t="shared" si="5"/>
        <v>0</v>
      </c>
      <c r="S14" s="6">
        <f>IF(L14="GESCHLOSSEN",
H14-G14-I14 + SUMIFS(Daten!K:K,Daten!H:H,C14,Daten!E:E,"DIVIDEND"),
IF(L14="OFFEN",
IF(E14=0,
0,
H14+SUMIFS(Daten!K:K,Daten!H:H,C14,Daten!E:E,"DIVIDEND")-(G14-(F14*M14))-I14
),
""))</f>
        <v>3.6100000000000136</v>
      </c>
      <c r="T14" s="6">
        <f t="shared" si="6"/>
        <v>503</v>
      </c>
      <c r="U14" s="26">
        <f>COUNTIFS(Daten!H:H,C14,Daten!E:E,"BUY",Daten!L:L,"&lt;0")</f>
        <v>2</v>
      </c>
      <c r="V14" s="26">
        <f>COUNTIFS(Daten!H:H,C14,Daten!E:E,"SELL",Daten!L:L,"&lt;0")</f>
        <v>1</v>
      </c>
      <c r="W14" s="7">
        <f t="shared" si="9"/>
        <v>7.1769383697813391E-3</v>
      </c>
      <c r="X14" s="7">
        <f t="shared" si="8"/>
        <v>7.1769383697813391E-3</v>
      </c>
    </row>
    <row r="15" spans="1:24" x14ac:dyDescent="0.25">
      <c r="A15" s="9" t="s">
        <v>1018</v>
      </c>
      <c r="B15" s="5" t="s">
        <v>464</v>
      </c>
      <c r="C15" s="5" t="s">
        <v>1019</v>
      </c>
      <c r="D15" s="5">
        <f>SUMIFS(Daten!I:I,Daten!H:H,C15,Daten!E:E,"BUY")</f>
        <v>7.1821020000000004</v>
      </c>
      <c r="E15" s="5">
        <f>-SUMIFS(Daten!I:I,Daten!H:H,C15,Daten!E:E,"SELL")</f>
        <v>0</v>
      </c>
      <c r="F15" s="5">
        <f t="shared" si="0"/>
        <v>7.1821020000000004</v>
      </c>
      <c r="G15" s="6">
        <f>-SUMIFS(Daten!K:K,Daten!H:H,C15,Daten!E:E,"BUY")</f>
        <v>399.98999999999995</v>
      </c>
      <c r="H15" s="6">
        <f>SUMIFS(Daten!K:K,Daten!H:H,C15,Daten!E:E,"SELL")</f>
        <v>0</v>
      </c>
      <c r="I15" s="6">
        <f>SUMIFS(Daten!L:L,Daten!H:H,C15)*-1</f>
        <v>3</v>
      </c>
      <c r="J15" s="6">
        <f>-SUMIFS(Daten!M:M,Daten!E:E,"SELL",Daten!H:H,C15)</f>
        <v>0</v>
      </c>
      <c r="K15" s="6">
        <f t="shared" si="7"/>
        <v>-402.98999999999995</v>
      </c>
      <c r="L15" s="5" t="str">
        <f t="shared" si="1"/>
        <v>OFFEN</v>
      </c>
      <c r="M15">
        <v>56.11</v>
      </c>
      <c r="N15">
        <v>50.12</v>
      </c>
      <c r="O15" s="21">
        <f t="shared" si="2"/>
        <v>-43.020790980000015</v>
      </c>
      <c r="P15" s="6">
        <f t="shared" si="3"/>
        <v>359.96695224000001</v>
      </c>
      <c r="Q15" s="6">
        <f t="shared" si="4"/>
        <v>402.98774322000003</v>
      </c>
      <c r="R15" s="7">
        <f t="shared" si="5"/>
        <v>-0.10675458919978617</v>
      </c>
      <c r="S15" s="6">
        <f>IF(L15="GESCHLOSSEN",
H15-G15-I15 + SUMIFS(Daten!K:K,Daten!H:H,C15,Daten!E:E,"DIVIDEND"),
IF(L15="OFFEN",
IF(E15=0,
0,
H15+SUMIFS(Daten!K:K,Daten!H:H,C15,Daten!E:E,"DIVIDEND")-(G15-(F15*M15))-I15
),
""))</f>
        <v>0</v>
      </c>
      <c r="T15" s="6">
        <f t="shared" si="6"/>
        <v>0</v>
      </c>
      <c r="U15" s="26">
        <f>COUNTIFS(Daten!H:H,C15,Daten!E:E,"BUY",Daten!L:L,"&lt;0")</f>
        <v>3</v>
      </c>
      <c r="V15" s="26">
        <f>COUNTIFS(Daten!H:H,C15,Daten!E:E,"SELL",Daten!L:L,"&lt;0")</f>
        <v>0</v>
      </c>
      <c r="W15" s="7">
        <f t="shared" si="9"/>
        <v>0</v>
      </c>
      <c r="X15" s="7">
        <f t="shared" si="8"/>
        <v>-0.10756030840771005</v>
      </c>
    </row>
    <row r="16" spans="1:24" x14ac:dyDescent="0.25">
      <c r="A16" s="9" t="s">
        <v>300</v>
      </c>
      <c r="B16" s="5" t="s">
        <v>32</v>
      </c>
      <c r="C16" s="5" t="s">
        <v>301</v>
      </c>
      <c r="D16" s="5">
        <f>SUMIFS(Daten!I:I,Daten!H:H,C16,Daten!E:E,"BUY")</f>
        <v>30</v>
      </c>
      <c r="E16" s="5">
        <f>-SUMIFS(Daten!I:I,Daten!H:H,C16,Daten!E:E,"SELL")</f>
        <v>0</v>
      </c>
      <c r="F16" s="5">
        <f t="shared" si="0"/>
        <v>30</v>
      </c>
      <c r="G16" s="6">
        <f>-SUMIFS(Daten!K:K,Daten!H:H,C16,Daten!E:E,"BUY")</f>
        <v>56.55</v>
      </c>
      <c r="H16" s="6">
        <f>SUMIFS(Daten!K:K,Daten!H:H,C16,Daten!E:E,"SELL")</f>
        <v>0</v>
      </c>
      <c r="I16" s="6">
        <f>SUMIFS(Daten!L:L,Daten!H:H,C16)*-1</f>
        <v>1</v>
      </c>
      <c r="J16" s="6">
        <f>-SUMIFS(Daten!M:M,Daten!E:E,"SELL",Daten!H:H,C16)</f>
        <v>0</v>
      </c>
      <c r="K16" s="6">
        <f t="shared" si="7"/>
        <v>-57.55</v>
      </c>
      <c r="L16" s="5" t="str">
        <f t="shared" si="1"/>
        <v>OFFEN</v>
      </c>
      <c r="M16">
        <v>1.9179999999999999</v>
      </c>
      <c r="N16">
        <v>1.49</v>
      </c>
      <c r="O16" s="21">
        <f t="shared" si="2"/>
        <v>-12.839999999999996</v>
      </c>
      <c r="P16" s="6">
        <f t="shared" si="3"/>
        <v>44.7</v>
      </c>
      <c r="Q16" s="6">
        <f t="shared" si="4"/>
        <v>57.54</v>
      </c>
      <c r="R16" s="7">
        <f t="shared" si="5"/>
        <v>-0.22314911366006251</v>
      </c>
      <c r="S16" s="6">
        <f>IF(L16="GESCHLOSSEN",
H16-G16-I16 + SUMIFS(Daten!K:K,Daten!H:H,C16,Daten!E:E,"DIVIDEND"),
IF(L16="OFFEN",
IF(E16=0,
0,
H16+SUMIFS(Daten!K:K,Daten!H:H,C16,Daten!E:E,"DIVIDEND")-(G16-(F16*M16))-I16
),
""))</f>
        <v>0</v>
      </c>
      <c r="T16" s="6">
        <f t="shared" si="6"/>
        <v>0</v>
      </c>
      <c r="U16" s="26">
        <f>COUNTIFS(Daten!H:H,C16,Daten!E:E,"BUY",Daten!L:L,"&lt;0")</f>
        <v>1</v>
      </c>
      <c r="V16" s="26">
        <f>COUNTIFS(Daten!H:H,C16,Daten!E:E,"SELL",Daten!L:L,"&lt;0")</f>
        <v>0</v>
      </c>
      <c r="W16" s="7">
        <f t="shared" si="9"/>
        <v>0</v>
      </c>
      <c r="X16" s="7">
        <f t="shared" si="8"/>
        <v>-0.22723253757736508</v>
      </c>
    </row>
    <row r="17" spans="1:24" x14ac:dyDescent="0.25">
      <c r="A17" s="9" t="s">
        <v>1421</v>
      </c>
      <c r="B17" s="5" t="s">
        <v>64</v>
      </c>
      <c r="C17" s="5" t="s">
        <v>1422</v>
      </c>
      <c r="D17" s="5">
        <f>SUMIFS(Daten!I:I,Daten!H:H,C17,Daten!E:E,"BUY")</f>
        <v>1356.0241370000001</v>
      </c>
      <c r="E17" s="5">
        <f>-SUMIFS(Daten!I:I,Daten!H:H,C17,Daten!E:E,"SELL")</f>
        <v>0</v>
      </c>
      <c r="F17" s="5">
        <f t="shared" si="0"/>
        <v>1356.0241370000001</v>
      </c>
      <c r="G17" s="6">
        <f>-SUMIFS(Daten!K:K,Daten!H:H,C17,Daten!E:E,"BUY")</f>
        <v>100</v>
      </c>
      <c r="H17" s="6">
        <f>SUMIFS(Daten!K:K,Daten!H:H,C17,Daten!E:E,"SELL")</f>
        <v>0</v>
      </c>
      <c r="I17" s="6">
        <f>SUMIFS(Daten!L:L,Daten!H:H,C17)*-1</f>
        <v>1</v>
      </c>
      <c r="J17" s="6">
        <f>-SUMIFS(Daten!M:M,Daten!E:E,"SELL",Daten!H:H,C17)</f>
        <v>0</v>
      </c>
      <c r="K17" s="6">
        <f t="shared" si="7"/>
        <v>-101</v>
      </c>
      <c r="L17" s="5" t="str">
        <f t="shared" si="1"/>
        <v>OFFEN</v>
      </c>
      <c r="M17">
        <v>7.4499999999999997E-2</v>
      </c>
      <c r="N17">
        <v>7.5813000000000005E-2</v>
      </c>
      <c r="O17" s="21">
        <f t="shared" si="2"/>
        <v>1.7804596918810063</v>
      </c>
      <c r="P17" s="6">
        <f t="shared" si="3"/>
        <v>102.80425789838101</v>
      </c>
      <c r="Q17" s="6">
        <f t="shared" si="4"/>
        <v>101.0237982065</v>
      </c>
      <c r="R17" s="7">
        <f t="shared" si="5"/>
        <v>1.7624161073825566E-2</v>
      </c>
      <c r="S17" s="6">
        <f>IF(L17="GESCHLOSSEN",
H17-G17-I17 + SUMIFS(Daten!K:K,Daten!H:H,C17,Daten!E:E,"DIVIDEND"),
IF(L17="OFFEN",
IF(E17=0,
0,
H17+SUMIFS(Daten!K:K,Daten!H:H,C17,Daten!E:E,"DIVIDEND")-(G17-(F17*M17))-I17
),
""))</f>
        <v>0</v>
      </c>
      <c r="T17" s="6">
        <f t="shared" si="6"/>
        <v>0</v>
      </c>
      <c r="U17" s="26">
        <f>COUNTIFS(Daten!H:H,C17,Daten!E:E,"BUY",Daten!L:L,"&lt;0")</f>
        <v>1</v>
      </c>
      <c r="V17" s="26">
        <f>COUNTIFS(Daten!H:H,C17,Daten!E:E,"SELL",Daten!L:L,"&lt;0")</f>
        <v>0</v>
      </c>
      <c r="W17" s="7">
        <f t="shared" si="9"/>
        <v>0</v>
      </c>
      <c r="X17" s="7">
        <f t="shared" si="8"/>
        <v>1.8042578983810103E-2</v>
      </c>
    </row>
    <row r="18" spans="1:24" x14ac:dyDescent="0.25">
      <c r="A18" s="9" t="s">
        <v>315</v>
      </c>
      <c r="B18" s="5" t="s">
        <v>32</v>
      </c>
      <c r="C18" s="5" t="s">
        <v>316</v>
      </c>
      <c r="D18" s="5">
        <f>SUMIFS(Daten!I:I,Daten!H:H,C18,Daten!E:E,"BUY")</f>
        <v>14.905659999999999</v>
      </c>
      <c r="E18" s="5">
        <f>-SUMIFS(Daten!I:I,Daten!H:H,C18,Daten!E:E,"SELL")</f>
        <v>14.905659999999999</v>
      </c>
      <c r="F18" s="5">
        <f t="shared" si="0"/>
        <v>0</v>
      </c>
      <c r="G18" s="6">
        <f>-SUMIFS(Daten!K:K,Daten!H:H,C18,Daten!E:E,"BUY")</f>
        <v>79</v>
      </c>
      <c r="H18" s="6">
        <f>SUMIFS(Daten!K:K,Daten!H:H,C18,Daten!E:E,"SELL")</f>
        <v>122.97</v>
      </c>
      <c r="I18" s="6">
        <f>SUMIFS(Daten!L:L,Daten!H:H,C18)*-1</f>
        <v>2</v>
      </c>
      <c r="J18" s="6">
        <f>-SUMIFS(Daten!M:M,Daten!E:E,"SELL",Daten!H:H,C18)</f>
        <v>0</v>
      </c>
      <c r="K18" s="6">
        <f t="shared" si="7"/>
        <v>41.97</v>
      </c>
      <c r="L18" s="5" t="str">
        <f t="shared" si="1"/>
        <v>GESCHLOSSEN</v>
      </c>
      <c r="M18">
        <v>0</v>
      </c>
      <c r="N18">
        <v>0</v>
      </c>
      <c r="O18" s="21">
        <f t="shared" si="2"/>
        <v>0</v>
      </c>
      <c r="P18" s="6">
        <f t="shared" si="3"/>
        <v>0</v>
      </c>
      <c r="Q18" s="6">
        <f t="shared" si="4"/>
        <v>0</v>
      </c>
      <c r="R18" s="7">
        <f t="shared" si="5"/>
        <v>0</v>
      </c>
      <c r="S18" s="6">
        <f>IF(L18="GESCHLOSSEN",
H18-G18-I18 + SUMIFS(Daten!K:K,Daten!H:H,C18,Daten!E:E,"DIVIDEND"),
IF(L18="OFFEN",
IF(E18=0,
0,
H18+SUMIFS(Daten!K:K,Daten!H:H,C18,Daten!E:E,"DIVIDEND")-(G18-(F18*M18))-I18
),
""))</f>
        <v>41.97</v>
      </c>
      <c r="T18" s="6">
        <f t="shared" si="6"/>
        <v>81</v>
      </c>
      <c r="U18" s="26">
        <f>COUNTIFS(Daten!H:H,C18,Daten!E:E,"BUY",Daten!L:L,"&lt;0")</f>
        <v>1</v>
      </c>
      <c r="V18" s="26">
        <f>COUNTIFS(Daten!H:H,C18,Daten!E:E,"SELL",Daten!L:L,"&lt;0")</f>
        <v>1</v>
      </c>
      <c r="W18" s="7">
        <f t="shared" si="9"/>
        <v>0.51814814814814814</v>
      </c>
      <c r="X18" s="7">
        <f t="shared" si="8"/>
        <v>0.51814814814814814</v>
      </c>
    </row>
    <row r="19" spans="1:24" x14ac:dyDescent="0.25">
      <c r="A19" s="9" t="s">
        <v>1004</v>
      </c>
      <c r="B19" s="5" t="s">
        <v>464</v>
      </c>
      <c r="C19" s="5" t="s">
        <v>1005</v>
      </c>
      <c r="D19" s="5">
        <f>SUMIFS(Daten!I:I,Daten!H:H,C19,Daten!E:E,"BUY")</f>
        <v>102.799402</v>
      </c>
      <c r="E19" s="5">
        <f>-SUMIFS(Daten!I:I,Daten!H:H,C19,Daten!E:E,"SELL")</f>
        <v>0</v>
      </c>
      <c r="F19" s="5">
        <f t="shared" si="0"/>
        <v>102.799402</v>
      </c>
      <c r="G19" s="6">
        <f>-SUMIFS(Daten!K:K,Daten!H:H,C19,Daten!E:E,"BUY")</f>
        <v>649.91</v>
      </c>
      <c r="H19" s="6">
        <f>SUMIFS(Daten!K:K,Daten!H:H,C19,Daten!E:E,"SELL")</f>
        <v>0</v>
      </c>
      <c r="I19" s="6">
        <f>SUMIFS(Daten!L:L,Daten!H:H,C19)*-1</f>
        <v>8</v>
      </c>
      <c r="J19" s="6">
        <f>-SUMIFS(Daten!M:M,Daten!E:E,"SELL",Daten!H:H,C19)</f>
        <v>0</v>
      </c>
      <c r="K19" s="6">
        <f t="shared" si="7"/>
        <v>-657.91</v>
      </c>
      <c r="L19" s="5" t="str">
        <f t="shared" si="1"/>
        <v>OFFEN</v>
      </c>
      <c r="M19">
        <v>6.4</v>
      </c>
      <c r="N19">
        <v>4.4924999999999997</v>
      </c>
      <c r="O19" s="21">
        <f t="shared" si="2"/>
        <v>-196.08985931500007</v>
      </c>
      <c r="P19" s="6">
        <f t="shared" si="3"/>
        <v>461.82631348499996</v>
      </c>
      <c r="Q19" s="6">
        <f t="shared" si="4"/>
        <v>657.91617280000003</v>
      </c>
      <c r="R19" s="7">
        <f t="shared" si="5"/>
        <v>-0.2980468750000001</v>
      </c>
      <c r="S19" s="6">
        <f>IF(L19="GESCHLOSSEN",
H19-G19-I19 + SUMIFS(Daten!K:K,Daten!H:H,C19,Daten!E:E,"DIVIDEND"),
IF(L19="OFFEN",
IF(E19=0,
0,
H19+SUMIFS(Daten!K:K,Daten!H:H,C19,Daten!E:E,"DIVIDEND")-(G19-(F19*M19))-I19
),
""))</f>
        <v>0</v>
      </c>
      <c r="T19" s="6">
        <f t="shared" si="6"/>
        <v>0</v>
      </c>
      <c r="U19" s="26">
        <f>COUNTIFS(Daten!H:H,C19,Daten!E:E,"BUY",Daten!L:L,"&lt;0")</f>
        <v>8</v>
      </c>
      <c r="V19" s="26">
        <f>COUNTIFS(Daten!H:H,C19,Daten!E:E,"SELL",Daten!L:L,"&lt;0")</f>
        <v>0</v>
      </c>
      <c r="W19" s="7">
        <f t="shared" si="9"/>
        <v>0</v>
      </c>
      <c r="X19" s="7">
        <f t="shared" si="8"/>
        <v>-0.30170898511332339</v>
      </c>
    </row>
    <row r="20" spans="1:24" x14ac:dyDescent="0.25">
      <c r="A20" s="9" t="s">
        <v>167</v>
      </c>
      <c r="B20" s="5" t="s">
        <v>32</v>
      </c>
      <c r="C20" s="5" t="s">
        <v>168</v>
      </c>
      <c r="D20" s="5">
        <f>SUMIFS(Daten!I:I,Daten!H:H,C20,Daten!E:E,"BUY")</f>
        <v>1655.3585759999999</v>
      </c>
      <c r="E20" s="5">
        <f>-SUMIFS(Daten!I:I,Daten!H:H,C20,Daten!E:E,"SELL")</f>
        <v>629.09074399999997</v>
      </c>
      <c r="F20" s="5">
        <f t="shared" si="0"/>
        <v>1026.267832</v>
      </c>
      <c r="G20" s="6">
        <f>-SUMIFS(Daten!K:K,Daten!H:H,C20,Daten!E:E,"BUY")</f>
        <v>2889.5099999999993</v>
      </c>
      <c r="H20" s="6">
        <f>SUMIFS(Daten!K:K,Daten!H:H,C20,Daten!E:E,"SELL")</f>
        <v>1716.62</v>
      </c>
      <c r="I20" s="6">
        <f>SUMIFS(Daten!L:L,Daten!H:H,C20)*-1</f>
        <v>35</v>
      </c>
      <c r="J20" s="6">
        <f>-SUMIFS(Daten!M:M,Daten!E:E,"SELL",Daten!H:H,C20)</f>
        <v>40.070000000000007</v>
      </c>
      <c r="K20" s="6">
        <f t="shared" si="7"/>
        <v>-1247.9599999999994</v>
      </c>
      <c r="L20" s="5" t="str">
        <f t="shared" si="1"/>
        <v>OFFEN</v>
      </c>
      <c r="M20">
        <v>1.401</v>
      </c>
      <c r="N20">
        <v>1.0004</v>
      </c>
      <c r="O20" s="21">
        <f t="shared" si="2"/>
        <v>-411.12289349920002</v>
      </c>
      <c r="P20" s="6">
        <f t="shared" si="3"/>
        <v>1026.6783391327999</v>
      </c>
      <c r="Q20" s="6">
        <f t="shared" si="4"/>
        <v>1437.8012326319999</v>
      </c>
      <c r="R20" s="7">
        <f t="shared" si="5"/>
        <v>-0.28593861527480374</v>
      </c>
      <c r="S20" s="6">
        <f>IF(L20="GESCHLOSSEN",
H20-G20-I20 + SUMIFS(Daten!K:K,Daten!H:H,C20,Daten!E:E,"DIVIDEND"),
IF(L20="OFFEN",
IF(E20=0,
0,
H20+SUMIFS(Daten!K:K,Daten!H:H,C20,Daten!E:E,"DIVIDEND")-(G20-(F20*M20))-I20
),
""))</f>
        <v>229.91123263200052</v>
      </c>
      <c r="T20" s="6">
        <f t="shared" si="6"/>
        <v>1486.7087673679994</v>
      </c>
      <c r="U20" s="26">
        <f>COUNTIFS(Daten!H:H,C20,Daten!E:E,"BUY",Daten!L:L,"&lt;0")</f>
        <v>29</v>
      </c>
      <c r="V20" s="26">
        <f>COUNTIFS(Daten!H:H,C20,Daten!E:E,"SELL",Daten!L:L,"&lt;0")</f>
        <v>6</v>
      </c>
      <c r="W20" s="7">
        <f t="shared" si="9"/>
        <v>0.1546444318338317</v>
      </c>
      <c r="X20" s="7">
        <f t="shared" si="8"/>
        <v>-6.2713629946669E-2</v>
      </c>
    </row>
    <row r="21" spans="1:24" x14ac:dyDescent="0.25">
      <c r="A21" s="9" t="s">
        <v>154</v>
      </c>
      <c r="B21" s="5" t="s">
        <v>32</v>
      </c>
      <c r="C21" s="5" t="s">
        <v>155</v>
      </c>
      <c r="D21" s="5">
        <f>SUMIFS(Daten!I:I,Daten!H:H,C21,Daten!E:E,"BUY")</f>
        <v>144.247488</v>
      </c>
      <c r="E21" s="5">
        <f>-SUMIFS(Daten!I:I,Daten!H:H,C21,Daten!E:E,"SELL")</f>
        <v>100.459531</v>
      </c>
      <c r="F21" s="5">
        <f t="shared" si="0"/>
        <v>43.787957000000006</v>
      </c>
      <c r="G21" s="6">
        <f>-SUMIFS(Daten!K:K,Daten!H:H,C21,Daten!E:E,"BUY")</f>
        <v>2670.34</v>
      </c>
      <c r="H21" s="6">
        <f>SUMIFS(Daten!K:K,Daten!H:H,C21,Daten!E:E,"SELL")</f>
        <v>2118.5699999999997</v>
      </c>
      <c r="I21" s="6">
        <f>SUMIFS(Daten!L:L,Daten!H:H,C21)*-1</f>
        <v>28</v>
      </c>
      <c r="J21" s="6">
        <f>-SUMIFS(Daten!M:M,Daten!E:E,"SELL",Daten!H:H,C21)</f>
        <v>15.58</v>
      </c>
      <c r="K21" s="6">
        <f t="shared" si="7"/>
        <v>-595.35000000000048</v>
      </c>
      <c r="L21" s="5" t="str">
        <f t="shared" si="1"/>
        <v>OFFEN</v>
      </c>
      <c r="M21">
        <v>18.46</v>
      </c>
      <c r="N21">
        <v>13.391999999999999</v>
      </c>
      <c r="O21" s="21">
        <f t="shared" si="2"/>
        <v>-221.91736607600012</v>
      </c>
      <c r="P21" s="6">
        <f t="shared" si="3"/>
        <v>586.40832014400007</v>
      </c>
      <c r="Q21" s="6">
        <f t="shared" si="4"/>
        <v>808.32568622000019</v>
      </c>
      <c r="R21" s="7">
        <f t="shared" si="5"/>
        <v>-0.27453954496208027</v>
      </c>
      <c r="S21" s="6">
        <f>IF(L21="GESCHLOSSEN",
H21-G21-I21 + SUMIFS(Daten!K:K,Daten!H:H,C21,Daten!E:E,"DIVIDEND"),
IF(L21="OFFEN",
IF(E21=0,
0,
H21+SUMIFS(Daten!K:K,Daten!H:H,C21,Daten!E:E,"DIVIDEND")-(G21-(F21*M21))-I21
),
""))</f>
        <v>228.55568621999964</v>
      </c>
      <c r="T21" s="6">
        <f t="shared" si="6"/>
        <v>1890.0143137800001</v>
      </c>
      <c r="U21" s="26">
        <f>COUNTIFS(Daten!H:H,C21,Daten!E:E,"BUY",Daten!L:L,"&lt;0")</f>
        <v>21</v>
      </c>
      <c r="V21" s="26">
        <f>COUNTIFS(Daten!H:H,C21,Daten!E:E,"SELL",Daten!L:L,"&lt;0")</f>
        <v>7</v>
      </c>
      <c r="W21" s="7">
        <f t="shared" si="9"/>
        <v>0.12092801866822464</v>
      </c>
      <c r="X21" s="7">
        <f t="shared" si="8"/>
        <v>2.4859456638478277E-3</v>
      </c>
    </row>
    <row r="22" spans="1:24" x14ac:dyDescent="0.25">
      <c r="A22" s="9" t="s">
        <v>604</v>
      </c>
      <c r="B22" s="5" t="s">
        <v>32</v>
      </c>
      <c r="C22" s="5" t="s">
        <v>605</v>
      </c>
      <c r="D22" s="5">
        <f>SUMIFS(Daten!I:I,Daten!H:H,C22,Daten!E:E,"BUY")</f>
        <v>531.45139600000005</v>
      </c>
      <c r="E22" s="5">
        <f>-SUMIFS(Daten!I:I,Daten!H:H,C22,Daten!E:E,"SELL")</f>
        <v>531.45139600000005</v>
      </c>
      <c r="F22" s="5">
        <f t="shared" si="0"/>
        <v>0</v>
      </c>
      <c r="G22" s="6">
        <f>-SUMIFS(Daten!K:K,Daten!H:H,C22,Daten!E:E,"BUY")</f>
        <v>349</v>
      </c>
      <c r="H22" s="6">
        <f>SUMIFS(Daten!K:K,Daten!H:H,C22,Daten!E:E,"SELL")</f>
        <v>371.71000000000004</v>
      </c>
      <c r="I22" s="6">
        <f>SUMIFS(Daten!L:L,Daten!H:H,C22)*-1</f>
        <v>5</v>
      </c>
      <c r="J22" s="6">
        <f>-SUMIFS(Daten!M:M,Daten!E:E,"SELL",Daten!H:H,C22)</f>
        <v>0</v>
      </c>
      <c r="K22" s="6">
        <f t="shared" si="7"/>
        <v>17.710000000000036</v>
      </c>
      <c r="L22" s="5" t="str">
        <f t="shared" si="1"/>
        <v>GESCHLOSSEN</v>
      </c>
      <c r="M22">
        <v>0</v>
      </c>
      <c r="N22">
        <v>0</v>
      </c>
      <c r="O22" s="21">
        <f t="shared" si="2"/>
        <v>0</v>
      </c>
      <c r="P22" s="6">
        <f t="shared" si="3"/>
        <v>0</v>
      </c>
      <c r="Q22" s="6">
        <f t="shared" si="4"/>
        <v>0</v>
      </c>
      <c r="R22" s="7">
        <f t="shared" si="5"/>
        <v>0</v>
      </c>
      <c r="S22" s="6">
        <f>IF(L22="GESCHLOSSEN",
H22-G22-I22 + SUMIFS(Daten!K:K,Daten!H:H,C22,Daten!E:E,"DIVIDEND"),
IF(L22="OFFEN",
IF(E22=0,
0,
H22+SUMIFS(Daten!K:K,Daten!H:H,C22,Daten!E:E,"DIVIDEND")-(G22-(F22*M22))-I22
),
""))</f>
        <v>17.710000000000036</v>
      </c>
      <c r="T22" s="6">
        <f t="shared" si="6"/>
        <v>354</v>
      </c>
      <c r="U22" s="26">
        <f>COUNTIFS(Daten!H:H,C22,Daten!E:E,"BUY",Daten!L:L,"&lt;0")</f>
        <v>3</v>
      </c>
      <c r="V22" s="26">
        <f>COUNTIFS(Daten!H:H,C22,Daten!E:E,"SELL",Daten!L:L,"&lt;0")</f>
        <v>2</v>
      </c>
      <c r="W22" s="7">
        <f t="shared" si="9"/>
        <v>5.0028248587570726E-2</v>
      </c>
      <c r="X22" s="7">
        <f t="shared" si="8"/>
        <v>5.0028248587570726E-2</v>
      </c>
    </row>
    <row r="23" spans="1:24" x14ac:dyDescent="0.25">
      <c r="A23" s="9" t="s">
        <v>340</v>
      </c>
      <c r="B23" s="5" t="s">
        <v>32</v>
      </c>
      <c r="C23" s="5" t="s">
        <v>341</v>
      </c>
      <c r="D23" s="5">
        <f>SUMIFS(Daten!I:I,Daten!H:H,C23,Daten!E:E,"BUY")</f>
        <v>18.553222999999999</v>
      </c>
      <c r="E23" s="5">
        <f>-SUMIFS(Daten!I:I,Daten!H:H,C23,Daten!E:E,"SELL")</f>
        <v>18.553222999999999</v>
      </c>
      <c r="F23" s="5">
        <f t="shared" si="0"/>
        <v>0</v>
      </c>
      <c r="G23" s="6">
        <f>-SUMIFS(Daten!K:K,Daten!H:H,C23,Daten!E:E,"BUY")</f>
        <v>99</v>
      </c>
      <c r="H23" s="6">
        <f>SUMIFS(Daten!K:K,Daten!H:H,C23,Daten!E:E,"SELL")</f>
        <v>119.14999999999999</v>
      </c>
      <c r="I23" s="6">
        <f>SUMIFS(Daten!L:L,Daten!H:H,C23)*-1</f>
        <v>2</v>
      </c>
      <c r="J23" s="6">
        <f>-SUMIFS(Daten!M:M,Daten!E:E,"SELL",Daten!H:H,C23)</f>
        <v>0</v>
      </c>
      <c r="K23" s="6">
        <f t="shared" si="7"/>
        <v>18.149999999999991</v>
      </c>
      <c r="L23" s="5" t="str">
        <f t="shared" si="1"/>
        <v>GESCHLOSSEN</v>
      </c>
      <c r="M23">
        <v>0</v>
      </c>
      <c r="N23">
        <v>0</v>
      </c>
      <c r="O23" s="21">
        <f t="shared" si="2"/>
        <v>0</v>
      </c>
      <c r="P23" s="6">
        <f t="shared" si="3"/>
        <v>0</v>
      </c>
      <c r="Q23" s="6">
        <f t="shared" si="4"/>
        <v>0</v>
      </c>
      <c r="R23" s="7">
        <f t="shared" si="5"/>
        <v>0</v>
      </c>
      <c r="S23" s="6">
        <f>IF(L23="GESCHLOSSEN",
H23-G23-I23 + SUMIFS(Daten!K:K,Daten!H:H,C23,Daten!E:E,"DIVIDEND"),
IF(L23="OFFEN",
IF(E23=0,
0,
H23+SUMIFS(Daten!K:K,Daten!H:H,C23,Daten!E:E,"DIVIDEND")-(G23-(F23*M23))-I23
),
""))</f>
        <v>18.149999999999991</v>
      </c>
      <c r="T23" s="6">
        <f t="shared" si="6"/>
        <v>101</v>
      </c>
      <c r="U23" s="26">
        <f>COUNTIFS(Daten!H:H,C23,Daten!E:E,"BUY",Daten!L:L,"&lt;0")</f>
        <v>1</v>
      </c>
      <c r="V23" s="26">
        <f>COUNTIFS(Daten!H:H,C23,Daten!E:E,"SELL",Daten!L:L,"&lt;0")</f>
        <v>1</v>
      </c>
      <c r="W23" s="7">
        <f t="shared" si="9"/>
        <v>0.17970297029702961</v>
      </c>
      <c r="X23" s="7">
        <f t="shared" si="8"/>
        <v>0.17970297029702961</v>
      </c>
    </row>
    <row r="24" spans="1:24" x14ac:dyDescent="0.25">
      <c r="A24" s="9" t="s">
        <v>33</v>
      </c>
      <c r="B24" s="5" t="s">
        <v>32</v>
      </c>
      <c r="C24" s="5" t="s">
        <v>34</v>
      </c>
      <c r="D24" s="5">
        <f>SUMIFS(Daten!I:I,Daten!H:H,C24,Daten!E:E,"BUY")</f>
        <v>1.009325</v>
      </c>
      <c r="E24" s="5">
        <f>-SUMIFS(Daten!I:I,Daten!H:H,C24,Daten!E:E,"SELL")</f>
        <v>1.009325</v>
      </c>
      <c r="F24" s="5">
        <f t="shared" si="0"/>
        <v>0</v>
      </c>
      <c r="G24" s="6">
        <f>-SUMIFS(Daten!K:K,Daten!H:H,C24,Daten!E:E,"BUY")</f>
        <v>92</v>
      </c>
      <c r="H24" s="6">
        <f>SUMIFS(Daten!K:K,Daten!H:H,C24,Daten!E:E,"SELL")</f>
        <v>103.7</v>
      </c>
      <c r="I24" s="6">
        <f>SUMIFS(Daten!L:L,Daten!H:H,C24)*-1</f>
        <v>3</v>
      </c>
      <c r="J24" s="6">
        <f>-SUMIFS(Daten!M:M,Daten!E:E,"SELL",Daten!H:H,C24)</f>
        <v>2.29</v>
      </c>
      <c r="K24" s="6">
        <f t="shared" si="7"/>
        <v>6.4100000000000028</v>
      </c>
      <c r="L24" s="5" t="str">
        <f t="shared" si="1"/>
        <v>GESCHLOSSEN</v>
      </c>
      <c r="M24">
        <v>0</v>
      </c>
      <c r="N24">
        <v>0</v>
      </c>
      <c r="O24" s="21">
        <f t="shared" si="2"/>
        <v>0</v>
      </c>
      <c r="P24" s="6">
        <f t="shared" si="3"/>
        <v>0</v>
      </c>
      <c r="Q24" s="6">
        <f t="shared" si="4"/>
        <v>0</v>
      </c>
      <c r="R24" s="7">
        <f t="shared" si="5"/>
        <v>0</v>
      </c>
      <c r="S24" s="6">
        <f>IF(L24="GESCHLOSSEN",
H24-G24-I24 + SUMIFS(Daten!K:K,Daten!H:H,C24,Daten!E:E,"DIVIDEND"),
IF(L24="OFFEN",
IF(E24=0,
0,
H24+SUMIFS(Daten!K:K,Daten!H:H,C24,Daten!E:E,"DIVIDEND")-(G24-(F24*M24))-I24
),
""))</f>
        <v>8.7000000000000028</v>
      </c>
      <c r="T24" s="6">
        <f t="shared" si="6"/>
        <v>95</v>
      </c>
      <c r="U24" s="26">
        <f>COUNTIFS(Daten!H:H,C24,Daten!E:E,"BUY",Daten!L:L,"&lt;0")</f>
        <v>1</v>
      </c>
      <c r="V24" s="26">
        <f>COUNTIFS(Daten!H:H,C24,Daten!E:E,"SELL",Daten!L:L,"&lt;0")</f>
        <v>2</v>
      </c>
      <c r="W24" s="7">
        <f t="shared" si="9"/>
        <v>9.1578947368421079E-2</v>
      </c>
      <c r="X24" s="7">
        <f t="shared" si="8"/>
        <v>6.7473684210526338E-2</v>
      </c>
    </row>
    <row r="25" spans="1:24" x14ac:dyDescent="0.25">
      <c r="A25" s="9" t="s">
        <v>55</v>
      </c>
      <c r="B25" s="5" t="s">
        <v>32</v>
      </c>
      <c r="C25" s="5" t="s">
        <v>56</v>
      </c>
      <c r="D25" s="5">
        <f>SUMIFS(Daten!I:I,Daten!H:H,C25,Daten!E:E,"BUY")</f>
        <v>1.8711989999999998</v>
      </c>
      <c r="E25" s="5">
        <f>-SUMIFS(Daten!I:I,Daten!H:H,C25,Daten!E:E,"SELL")</f>
        <v>1.8711989999999998</v>
      </c>
      <c r="F25" s="5">
        <f t="shared" si="0"/>
        <v>0</v>
      </c>
      <c r="G25" s="6">
        <f>-SUMIFS(Daten!K:K,Daten!H:H,C25,Daten!E:E,"BUY")</f>
        <v>60</v>
      </c>
      <c r="H25" s="6">
        <f>SUMIFS(Daten!K:K,Daten!H:H,C25,Daten!E:E,"SELL")</f>
        <v>64.16</v>
      </c>
      <c r="I25" s="6">
        <f>SUMIFS(Daten!L:L,Daten!H:H,C25)*-1</f>
        <v>2</v>
      </c>
      <c r="J25" s="6">
        <f>-SUMIFS(Daten!M:M,Daten!E:E,"SELL",Daten!H:H,C25)</f>
        <v>0.57000000000000006</v>
      </c>
      <c r="K25" s="6">
        <f t="shared" si="7"/>
        <v>1.5899999999999965</v>
      </c>
      <c r="L25" s="5" t="str">
        <f t="shared" si="1"/>
        <v>GESCHLOSSEN</v>
      </c>
      <c r="M25">
        <v>0</v>
      </c>
      <c r="N25">
        <v>0</v>
      </c>
      <c r="O25" s="21">
        <f t="shared" si="2"/>
        <v>0</v>
      </c>
      <c r="P25" s="6">
        <f t="shared" si="3"/>
        <v>0</v>
      </c>
      <c r="Q25" s="6">
        <f t="shared" si="4"/>
        <v>0</v>
      </c>
      <c r="R25" s="7">
        <f t="shared" si="5"/>
        <v>0</v>
      </c>
      <c r="S25" s="6">
        <f>IF(L25="GESCHLOSSEN",
H25-G25-I25 + SUMIFS(Daten!K:K,Daten!H:H,C25,Daten!E:E,"DIVIDEND"),
IF(L25="OFFEN",
IF(E25=0,
0,
H25+SUMIFS(Daten!K:K,Daten!H:H,C25,Daten!E:E,"DIVIDEND")-(G25-(F25*M25))-I25
),
""))</f>
        <v>2.1599999999999966</v>
      </c>
      <c r="T25" s="6">
        <f t="shared" si="6"/>
        <v>62</v>
      </c>
      <c r="U25" s="26">
        <f>COUNTIFS(Daten!H:H,C25,Daten!E:E,"BUY",Daten!L:L,"&lt;0")</f>
        <v>1</v>
      </c>
      <c r="V25" s="26">
        <f>COUNTIFS(Daten!H:H,C25,Daten!E:E,"SELL",Daten!L:L,"&lt;0")</f>
        <v>1</v>
      </c>
      <c r="W25" s="7">
        <f t="shared" si="9"/>
        <v>3.4838709677419297E-2</v>
      </c>
      <c r="X25" s="7">
        <f t="shared" si="8"/>
        <v>2.5645161290322526E-2</v>
      </c>
    </row>
    <row r="26" spans="1:24" x14ac:dyDescent="0.25">
      <c r="A26" s="9" t="s">
        <v>664</v>
      </c>
      <c r="B26" s="5" t="s">
        <v>32</v>
      </c>
      <c r="C26" s="5" t="s">
        <v>665</v>
      </c>
      <c r="D26" s="5">
        <f>SUMIFS(Daten!I:I,Daten!H:H,C26,Daten!E:E,"BUY")</f>
        <v>70.051445000000001</v>
      </c>
      <c r="E26" s="5">
        <f>-SUMIFS(Daten!I:I,Daten!H:H,C26,Daten!E:E,"SELL")</f>
        <v>26.322716</v>
      </c>
      <c r="F26" s="5">
        <f t="shared" si="0"/>
        <v>43.728729000000001</v>
      </c>
      <c r="G26" s="6">
        <f>-SUMIFS(Daten!K:K,Daten!H:H,C26,Daten!E:E,"BUY")</f>
        <v>552.96</v>
      </c>
      <c r="H26" s="6">
        <f>SUMIFS(Daten!K:K,Daten!H:H,C26,Daten!E:E,"SELL")</f>
        <v>210.27</v>
      </c>
      <c r="I26" s="6">
        <f>SUMIFS(Daten!L:L,Daten!H:H,C26)*-1</f>
        <v>6</v>
      </c>
      <c r="J26" s="6">
        <f>-SUMIFS(Daten!M:M,Daten!E:E,"SELL",Daten!H:H,C26)</f>
        <v>0</v>
      </c>
      <c r="K26" s="6">
        <f t="shared" si="7"/>
        <v>-348.69000000000005</v>
      </c>
      <c r="L26" s="5" t="str">
        <f t="shared" si="1"/>
        <v>OFFEN</v>
      </c>
      <c r="M26">
        <v>8.16</v>
      </c>
      <c r="N26">
        <v>7.274</v>
      </c>
      <c r="O26" s="21">
        <f t="shared" si="2"/>
        <v>-38.743653894000033</v>
      </c>
      <c r="P26" s="6">
        <f t="shared" si="3"/>
        <v>318.08277474599998</v>
      </c>
      <c r="Q26" s="6">
        <f t="shared" si="4"/>
        <v>356.82642864000002</v>
      </c>
      <c r="R26" s="7">
        <f t="shared" si="5"/>
        <v>-0.10857843137254911</v>
      </c>
      <c r="S26" s="6">
        <f>IF(L26="GESCHLOSSEN",
H26-G26-I26 + SUMIFS(Daten!K:K,Daten!H:H,C26,Daten!E:E,"DIVIDEND"),
IF(L26="OFFEN",
IF(E26=0,
0,
H26+SUMIFS(Daten!K:K,Daten!H:H,C26,Daten!E:E,"DIVIDEND")-(G26-(F26*M26))-I26
),
""))</f>
        <v>8.1364286399999912</v>
      </c>
      <c r="T26" s="6">
        <f t="shared" si="6"/>
        <v>202.13357136000002</v>
      </c>
      <c r="U26" s="26">
        <f>COUNTIFS(Daten!H:H,C26,Daten!E:E,"BUY",Daten!L:L,"&lt;0")</f>
        <v>5</v>
      </c>
      <c r="V26" s="26">
        <f>COUNTIFS(Daten!H:H,C26,Daten!E:E,"SELL",Daten!L:L,"&lt;0")</f>
        <v>1</v>
      </c>
      <c r="W26" s="7">
        <f t="shared" si="9"/>
        <v>4.0252732810568147E-2</v>
      </c>
      <c r="X26" s="7">
        <f t="shared" si="8"/>
        <v>-5.5351608170572934E-2</v>
      </c>
    </row>
    <row r="27" spans="1:24" x14ac:dyDescent="0.25">
      <c r="A27" s="9" t="s">
        <v>364</v>
      </c>
      <c r="B27" s="5" t="s">
        <v>32</v>
      </c>
      <c r="C27" s="5" t="s">
        <v>365</v>
      </c>
      <c r="D27" s="5">
        <f>SUMIFS(Daten!I:I,Daten!H:H,C27,Daten!E:E,"BUY")</f>
        <v>39.442231</v>
      </c>
      <c r="E27" s="5">
        <f>-SUMIFS(Daten!I:I,Daten!H:H,C27,Daten!E:E,"SELL")</f>
        <v>39.442231</v>
      </c>
      <c r="F27" s="5">
        <f t="shared" si="0"/>
        <v>0</v>
      </c>
      <c r="G27" s="6">
        <f>-SUMIFS(Daten!K:K,Daten!H:H,C27,Daten!E:E,"BUY")</f>
        <v>99</v>
      </c>
      <c r="H27" s="6">
        <f>SUMIFS(Daten!K:K,Daten!H:H,C27,Daten!E:E,"SELL")</f>
        <v>116.35</v>
      </c>
      <c r="I27" s="6">
        <f>SUMIFS(Daten!L:L,Daten!H:H,C27)*-1</f>
        <v>2</v>
      </c>
      <c r="J27" s="6">
        <f>-SUMIFS(Daten!M:M,Daten!E:E,"SELL",Daten!H:H,C27)</f>
        <v>0</v>
      </c>
      <c r="K27" s="6">
        <f t="shared" si="7"/>
        <v>15.349999999999994</v>
      </c>
      <c r="L27" s="5" t="str">
        <f t="shared" si="1"/>
        <v>GESCHLOSSEN</v>
      </c>
      <c r="M27">
        <v>0</v>
      </c>
      <c r="N27">
        <v>0</v>
      </c>
      <c r="O27" s="21">
        <f t="shared" si="2"/>
        <v>0</v>
      </c>
      <c r="P27" s="6">
        <f t="shared" si="3"/>
        <v>0</v>
      </c>
      <c r="Q27" s="6">
        <f t="shared" si="4"/>
        <v>0</v>
      </c>
      <c r="R27" s="7">
        <f t="shared" si="5"/>
        <v>0</v>
      </c>
      <c r="S27" s="6">
        <f>IF(L27="GESCHLOSSEN",
H27-G27-I27 + SUMIFS(Daten!K:K,Daten!H:H,C27,Daten!E:E,"DIVIDEND"),
IF(L27="OFFEN",
IF(E27=0,
0,
H27+SUMIFS(Daten!K:K,Daten!H:H,C27,Daten!E:E,"DIVIDEND")-(G27-(F27*M27))-I27
),
""))</f>
        <v>15.349999999999994</v>
      </c>
      <c r="T27" s="6">
        <f t="shared" si="6"/>
        <v>101</v>
      </c>
      <c r="U27" s="26">
        <f>COUNTIFS(Daten!H:H,C27,Daten!E:E,"BUY",Daten!L:L,"&lt;0")</f>
        <v>1</v>
      </c>
      <c r="V27" s="26">
        <f>COUNTIFS(Daten!H:H,C27,Daten!E:E,"SELL",Daten!L:L,"&lt;0")</f>
        <v>1</v>
      </c>
      <c r="W27" s="7">
        <f t="shared" si="9"/>
        <v>0.15198019801980192</v>
      </c>
      <c r="X27" s="7">
        <f t="shared" si="8"/>
        <v>0.15198019801980192</v>
      </c>
    </row>
    <row r="28" spans="1:24" x14ac:dyDescent="0.25">
      <c r="A28" s="9" t="s">
        <v>799</v>
      </c>
      <c r="B28" s="5" t="s">
        <v>464</v>
      </c>
      <c r="C28" s="5" t="s">
        <v>800</v>
      </c>
      <c r="D28" s="5">
        <f>SUMIFS(Daten!I:I,Daten!H:H,C28,Daten!E:E,"BUY")</f>
        <v>6.0335359999999998</v>
      </c>
      <c r="E28" s="5">
        <f>-SUMIFS(Daten!I:I,Daten!H:H,C28,Daten!E:E,"SELL")</f>
        <v>2.0335359999999998</v>
      </c>
      <c r="F28" s="5">
        <f t="shared" si="0"/>
        <v>4</v>
      </c>
      <c r="G28" s="6">
        <f>-SUMIFS(Daten!K:K,Daten!H:H,C28,Daten!E:E,"BUY")</f>
        <v>766.99</v>
      </c>
      <c r="H28" s="6">
        <f>SUMIFS(Daten!K:K,Daten!H:H,C28,Daten!E:E,"SELL")</f>
        <v>316.42</v>
      </c>
      <c r="I28" s="6">
        <f>SUMIFS(Daten!L:L,Daten!H:H,C28)*-1</f>
        <v>4</v>
      </c>
      <c r="J28" s="6">
        <f>-SUMIFS(Daten!M:M,Daten!E:E,"SELL",Daten!H:H,C28)</f>
        <v>12.07</v>
      </c>
      <c r="K28" s="6">
        <f t="shared" si="7"/>
        <v>-466.64</v>
      </c>
      <c r="L28" s="5" t="str">
        <f t="shared" si="1"/>
        <v>OFFEN</v>
      </c>
      <c r="M28">
        <v>130</v>
      </c>
      <c r="N28">
        <v>156.41999999999999</v>
      </c>
      <c r="O28" s="21">
        <f t="shared" si="2"/>
        <v>105.67999999999995</v>
      </c>
      <c r="P28" s="6">
        <f t="shared" si="3"/>
        <v>625.67999999999995</v>
      </c>
      <c r="Q28" s="6">
        <f t="shared" si="4"/>
        <v>520</v>
      </c>
      <c r="R28" s="7">
        <f t="shared" si="5"/>
        <v>0.20323076923076913</v>
      </c>
      <c r="S28" s="6">
        <f>IF(L28="GESCHLOSSEN",
H28-G28-I28 + SUMIFS(Daten!K:K,Daten!H:H,C28,Daten!E:E,"DIVIDEND"),
IF(L28="OFFEN",
IF(E28=0,
0,
H28+SUMIFS(Daten!K:K,Daten!H:H,C28,Daten!E:E,"DIVIDEND")-(G28-(F28*M28))-I28
),
""))</f>
        <v>65.430000000000007</v>
      </c>
      <c r="T28" s="6">
        <f t="shared" si="6"/>
        <v>250.99</v>
      </c>
      <c r="U28" s="26">
        <f>COUNTIFS(Daten!H:H,C28,Daten!E:E,"BUY",Daten!L:L,"&lt;0")</f>
        <v>3</v>
      </c>
      <c r="V28" s="26">
        <f>COUNTIFS(Daten!H:H,C28,Daten!E:E,"SELL",Daten!L:L,"&lt;0")</f>
        <v>1</v>
      </c>
      <c r="W28" s="7">
        <f t="shared" si="9"/>
        <v>0.26068767679987254</v>
      </c>
      <c r="X28" s="7">
        <f t="shared" si="8"/>
        <v>0.22309286952893767</v>
      </c>
    </row>
    <row r="29" spans="1:24" x14ac:dyDescent="0.25">
      <c r="A29" s="9" t="s">
        <v>1237</v>
      </c>
      <c r="B29" s="5" t="s">
        <v>464</v>
      </c>
      <c r="C29" s="5" t="s">
        <v>1238</v>
      </c>
      <c r="D29" s="5">
        <f>SUMIFS(Daten!I:I,Daten!H:H,C29,Daten!E:E,"BUY")</f>
        <v>8.3333329999999997</v>
      </c>
      <c r="E29" s="5">
        <f>-SUMIFS(Daten!I:I,Daten!H:H,C29,Daten!E:E,"SELL")</f>
        <v>0</v>
      </c>
      <c r="F29" s="5">
        <f t="shared" si="0"/>
        <v>8.3333329999999997</v>
      </c>
      <c r="G29" s="6">
        <f>-SUMIFS(Daten!K:K,Daten!H:H,C29,Daten!E:E,"BUY")</f>
        <v>399.96</v>
      </c>
      <c r="H29" s="6">
        <f>SUMIFS(Daten!K:K,Daten!H:H,C29,Daten!E:E,"SELL")</f>
        <v>0</v>
      </c>
      <c r="I29" s="6">
        <f>SUMIFS(Daten!L:L,Daten!H:H,C29)*-1</f>
        <v>1</v>
      </c>
      <c r="J29" s="6">
        <f>-SUMIFS(Daten!M:M,Daten!E:E,"SELL",Daten!H:H,C29)</f>
        <v>0</v>
      </c>
      <c r="K29" s="6">
        <f t="shared" si="7"/>
        <v>-400.96</v>
      </c>
      <c r="L29" s="5" t="str">
        <f t="shared" si="1"/>
        <v>OFFEN</v>
      </c>
      <c r="M29">
        <v>48.12</v>
      </c>
      <c r="N29">
        <v>48.55</v>
      </c>
      <c r="O29" s="21">
        <f t="shared" si="2"/>
        <v>3.5833331900000189</v>
      </c>
      <c r="P29" s="6">
        <f t="shared" si="3"/>
        <v>404.58331714999997</v>
      </c>
      <c r="Q29" s="6">
        <f t="shared" si="4"/>
        <v>400.99998395999995</v>
      </c>
      <c r="R29" s="7">
        <f t="shared" si="5"/>
        <v>8.9359933499584855E-3</v>
      </c>
      <c r="S29" s="6">
        <f>IF(L29="GESCHLOSSEN",
H29-G29-I29 + SUMIFS(Daten!K:K,Daten!H:H,C29,Daten!E:E,"DIVIDEND"),
IF(L29="OFFEN",
IF(E29=0,
0,
H29+SUMIFS(Daten!K:K,Daten!H:H,C29,Daten!E:E,"DIVIDEND")-(G29-(F29*M29))-I29
),
""))</f>
        <v>0</v>
      </c>
      <c r="T29" s="6">
        <f t="shared" si="6"/>
        <v>0</v>
      </c>
      <c r="U29" s="26">
        <f>COUNTIFS(Daten!H:H,C29,Daten!E:E,"BUY",Daten!L:L,"&lt;0")</f>
        <v>1</v>
      </c>
      <c r="V29" s="26">
        <f>COUNTIFS(Daten!H:H,C29,Daten!E:E,"SELL",Daten!L:L,"&lt;0")</f>
        <v>0</v>
      </c>
      <c r="W29" s="7">
        <f t="shared" si="9"/>
        <v>0</v>
      </c>
      <c r="X29" s="7">
        <f t="shared" si="8"/>
        <v>9.059198794879467E-3</v>
      </c>
    </row>
    <row r="30" spans="1:24" x14ac:dyDescent="0.25">
      <c r="A30" s="9" t="s">
        <v>1178</v>
      </c>
      <c r="B30" s="5" t="s">
        <v>464</v>
      </c>
      <c r="C30" s="5" t="s">
        <v>1179</v>
      </c>
      <c r="D30" s="5">
        <f>SUMIFS(Daten!I:I,Daten!H:H,C30,Daten!E:E,"BUY")</f>
        <v>10.354191</v>
      </c>
      <c r="E30" s="5">
        <f>-SUMIFS(Daten!I:I,Daten!H:H,C30,Daten!E:E,"SELL")</f>
        <v>0</v>
      </c>
      <c r="F30" s="5">
        <f t="shared" si="0"/>
        <v>10.354191</v>
      </c>
      <c r="G30" s="6">
        <f>-SUMIFS(Daten!K:K,Daten!H:H,C30,Daten!E:E,"BUY")</f>
        <v>550</v>
      </c>
      <c r="H30" s="6">
        <f>SUMIFS(Daten!K:K,Daten!H:H,C30,Daten!E:E,"SELL")</f>
        <v>0</v>
      </c>
      <c r="I30" s="6">
        <f>SUMIFS(Daten!L:L,Daten!H:H,C30)*-1</f>
        <v>1</v>
      </c>
      <c r="J30" s="6">
        <f>-SUMIFS(Daten!M:M,Daten!E:E,"SELL",Daten!H:H,C30)</f>
        <v>0</v>
      </c>
      <c r="K30" s="6">
        <f t="shared" si="7"/>
        <v>-551</v>
      </c>
      <c r="L30" s="5" t="str">
        <f t="shared" si="1"/>
        <v>OFFEN</v>
      </c>
      <c r="M30">
        <v>53.22</v>
      </c>
      <c r="N30">
        <v>54.55</v>
      </c>
      <c r="O30" s="21">
        <f t="shared" si="2"/>
        <v>13.771074030000023</v>
      </c>
      <c r="P30" s="6">
        <f t="shared" si="3"/>
        <v>564.82111904999999</v>
      </c>
      <c r="Q30" s="6">
        <f t="shared" si="4"/>
        <v>551.05004501999997</v>
      </c>
      <c r="R30" s="7">
        <f t="shared" si="5"/>
        <v>2.4990605035700907E-2</v>
      </c>
      <c r="S30" s="6">
        <f>IF(L30="GESCHLOSSEN",
H30-G30-I30 + SUMIFS(Daten!K:K,Daten!H:H,C30,Daten!E:E,"DIVIDEND"),
IF(L30="OFFEN",
IF(E30=0,
0,
H30+SUMIFS(Daten!K:K,Daten!H:H,C30,Daten!E:E,"DIVIDEND")-(G30-(F30*M30))-I30
),
""))</f>
        <v>0</v>
      </c>
      <c r="T30" s="6">
        <f t="shared" si="6"/>
        <v>0</v>
      </c>
      <c r="U30" s="26">
        <f>COUNTIFS(Daten!H:H,C30,Daten!E:E,"BUY",Daten!L:L,"&lt;0")</f>
        <v>1</v>
      </c>
      <c r="V30" s="26">
        <f>COUNTIFS(Daten!H:H,C30,Daten!E:E,"SELL",Daten!L:L,"&lt;0")</f>
        <v>0</v>
      </c>
      <c r="W30" s="7">
        <f t="shared" si="9"/>
        <v>0</v>
      </c>
      <c r="X30" s="7">
        <f t="shared" si="8"/>
        <v>2.512930736363635E-2</v>
      </c>
    </row>
    <row r="31" spans="1:24" x14ac:dyDescent="0.25">
      <c r="A31" s="9" t="s">
        <v>747</v>
      </c>
      <c r="B31" s="5" t="s">
        <v>32</v>
      </c>
      <c r="C31" s="5" t="s">
        <v>748</v>
      </c>
      <c r="D31" s="5">
        <f>SUMIFS(Daten!I:I,Daten!H:H,C31,Daten!E:E,"BUY")</f>
        <v>7.1999240000000002</v>
      </c>
      <c r="E31" s="5">
        <f>-SUMIFS(Daten!I:I,Daten!H:H,C31,Daten!E:E,"SELL")</f>
        <v>0</v>
      </c>
      <c r="F31" s="5">
        <f t="shared" si="0"/>
        <v>7.1999240000000002</v>
      </c>
      <c r="G31" s="6">
        <f>-SUMIFS(Daten!K:K,Daten!H:H,C31,Daten!E:E,"BUY")</f>
        <v>527.53</v>
      </c>
      <c r="H31" s="6">
        <f>SUMIFS(Daten!K:K,Daten!H:H,C31,Daten!E:E,"SELL")</f>
        <v>0</v>
      </c>
      <c r="I31" s="6">
        <f>SUMIFS(Daten!L:L,Daten!H:H,C31)*-1</f>
        <v>6</v>
      </c>
      <c r="J31" s="6">
        <f>-SUMIFS(Daten!M:M,Daten!E:E,"SELL",Daten!H:H,C31)</f>
        <v>0</v>
      </c>
      <c r="K31" s="6">
        <f t="shared" si="7"/>
        <v>-533.53</v>
      </c>
      <c r="L31" s="5" t="str">
        <f t="shared" si="1"/>
        <v>OFFEN</v>
      </c>
      <c r="M31">
        <v>74.099999999999994</v>
      </c>
      <c r="N31">
        <v>63.5398</v>
      </c>
      <c r="O31" s="21">
        <f t="shared" si="2"/>
        <v>-76.03263742479993</v>
      </c>
      <c r="P31" s="6">
        <f t="shared" si="3"/>
        <v>457.48173097520004</v>
      </c>
      <c r="Q31" s="6">
        <f t="shared" si="4"/>
        <v>533.51436839999997</v>
      </c>
      <c r="R31" s="7">
        <f t="shared" si="5"/>
        <v>-0.14251282051282038</v>
      </c>
      <c r="S31" s="6">
        <f>IF(L31="GESCHLOSSEN",
H31-G31-I31 + SUMIFS(Daten!K:K,Daten!H:H,C31,Daten!E:E,"DIVIDEND"),
IF(L31="OFFEN",
IF(E31=0,
0,
H31+SUMIFS(Daten!K:K,Daten!H:H,C31,Daten!E:E,"DIVIDEND")-(G31-(F31*M31))-I31
),
""))</f>
        <v>0</v>
      </c>
      <c r="T31" s="6">
        <f t="shared" si="6"/>
        <v>0</v>
      </c>
      <c r="U31" s="26">
        <f>COUNTIFS(Daten!H:H,C31,Daten!E:E,"BUY",Daten!L:L,"&lt;0")</f>
        <v>6</v>
      </c>
      <c r="V31" s="26">
        <f>COUNTIFS(Daten!H:H,C31,Daten!E:E,"SELL",Daten!L:L,"&lt;0")</f>
        <v>0</v>
      </c>
      <c r="W31" s="7">
        <f t="shared" si="9"/>
        <v>0</v>
      </c>
      <c r="X31" s="7">
        <f t="shared" si="8"/>
        <v>-0.14415913602032102</v>
      </c>
    </row>
    <row r="32" spans="1:24" x14ac:dyDescent="0.25">
      <c r="A32" s="9" t="s">
        <v>1011</v>
      </c>
      <c r="B32" s="5" t="s">
        <v>464</v>
      </c>
      <c r="C32" s="5" t="s">
        <v>1012</v>
      </c>
      <c r="D32" s="5">
        <f>SUMIFS(Daten!I:I,Daten!H:H,C32,Daten!E:E,"BUY")</f>
        <v>8.7359650000000002</v>
      </c>
      <c r="E32" s="5">
        <f>-SUMIFS(Daten!I:I,Daten!H:H,C32,Daten!E:E,"SELL")</f>
        <v>0</v>
      </c>
      <c r="F32" s="5">
        <f t="shared" si="0"/>
        <v>8.7359650000000002</v>
      </c>
      <c r="G32" s="6">
        <f>-SUMIFS(Daten!K:K,Daten!H:H,C32,Daten!E:E,"BUY")</f>
        <v>400.01</v>
      </c>
      <c r="H32" s="6">
        <f>SUMIFS(Daten!K:K,Daten!H:H,C32,Daten!E:E,"SELL")</f>
        <v>0</v>
      </c>
      <c r="I32" s="6">
        <f>SUMIFS(Daten!L:L,Daten!H:H,C32)*-1</f>
        <v>3</v>
      </c>
      <c r="J32" s="6">
        <f>-SUMIFS(Daten!M:M,Daten!E:E,"SELL",Daten!H:H,C32)</f>
        <v>0</v>
      </c>
      <c r="K32" s="6">
        <f t="shared" si="7"/>
        <v>-403.01</v>
      </c>
      <c r="L32" s="5" t="str">
        <f t="shared" si="1"/>
        <v>OFFEN</v>
      </c>
      <c r="M32">
        <v>46.13</v>
      </c>
      <c r="N32">
        <v>41.255000000000003</v>
      </c>
      <c r="O32" s="21">
        <f t="shared" si="2"/>
        <v>-42.587829375000013</v>
      </c>
      <c r="P32" s="6">
        <f t="shared" si="3"/>
        <v>360.40223607500002</v>
      </c>
      <c r="Q32" s="6">
        <f t="shared" si="4"/>
        <v>402.99006545000003</v>
      </c>
      <c r="R32" s="7">
        <f t="shared" si="5"/>
        <v>-0.1056796011272491</v>
      </c>
      <c r="S32" s="6">
        <f>IF(L32="GESCHLOSSEN",
H32-G32-I32 + SUMIFS(Daten!K:K,Daten!H:H,C32,Daten!E:E,"DIVIDEND"),
IF(L32="OFFEN",
IF(E32=0,
0,
H32+SUMIFS(Daten!K:K,Daten!H:H,C32,Daten!E:E,"DIVIDEND")-(G32-(F32*M32))-I32
),
""))</f>
        <v>0</v>
      </c>
      <c r="T32" s="6">
        <f t="shared" si="6"/>
        <v>0</v>
      </c>
      <c r="U32" s="26">
        <f>COUNTIFS(Daten!H:H,C32,Daten!E:E,"BUY",Daten!L:L,"&lt;0")</f>
        <v>3</v>
      </c>
      <c r="V32" s="26">
        <f>COUNTIFS(Daten!H:H,C32,Daten!E:E,"SELL",Daten!L:L,"&lt;0")</f>
        <v>0</v>
      </c>
      <c r="W32" s="7">
        <f t="shared" si="9"/>
        <v>0</v>
      </c>
      <c r="X32" s="7">
        <f t="shared" si="8"/>
        <v>-0.10651674689382759</v>
      </c>
    </row>
    <row r="33" spans="1:24" x14ac:dyDescent="0.25">
      <c r="A33" s="9" t="s">
        <v>1182</v>
      </c>
      <c r="B33" s="5" t="s">
        <v>32</v>
      </c>
      <c r="C33" s="5" t="s">
        <v>1183</v>
      </c>
      <c r="D33" s="5">
        <f>SUMIFS(Daten!I:I,Daten!H:H,C33,Daten!E:E,"BUY")</f>
        <v>7.7689640000000004</v>
      </c>
      <c r="E33" s="5">
        <f>-SUMIFS(Daten!I:I,Daten!H:H,C33,Daten!E:E,"SELL")</f>
        <v>0</v>
      </c>
      <c r="F33" s="5">
        <f t="shared" si="0"/>
        <v>7.7689640000000004</v>
      </c>
      <c r="G33" s="6">
        <f>-SUMIFS(Daten!K:K,Daten!H:H,C33,Daten!E:E,"BUY")</f>
        <v>268.15999999999997</v>
      </c>
      <c r="H33" s="6">
        <f>SUMIFS(Daten!K:K,Daten!H:H,C33,Daten!E:E,"SELL")</f>
        <v>0</v>
      </c>
      <c r="I33" s="6">
        <f>SUMIFS(Daten!L:L,Daten!H:H,C33)*-1</f>
        <v>3</v>
      </c>
      <c r="J33" s="6">
        <f>-SUMIFS(Daten!M:M,Daten!E:E,"SELL",Daten!H:H,C33)</f>
        <v>0</v>
      </c>
      <c r="K33" s="6">
        <f t="shared" si="7"/>
        <v>-271.15999999999997</v>
      </c>
      <c r="L33" s="5" t="str">
        <f t="shared" si="1"/>
        <v>OFFEN</v>
      </c>
      <c r="M33">
        <v>34.9</v>
      </c>
      <c r="N33">
        <v>31.135000000000002</v>
      </c>
      <c r="O33" s="21">
        <f t="shared" si="2"/>
        <v>-29.250149459999989</v>
      </c>
      <c r="P33" s="6">
        <f t="shared" si="3"/>
        <v>241.88669414000003</v>
      </c>
      <c r="Q33" s="6">
        <f t="shared" si="4"/>
        <v>271.13684360000002</v>
      </c>
      <c r="R33" s="7">
        <f t="shared" si="5"/>
        <v>-0.1078796561604584</v>
      </c>
      <c r="S33" s="6">
        <f>IF(L33="GESCHLOSSEN",
H33-G33-I33 + SUMIFS(Daten!K:K,Daten!H:H,C33,Daten!E:E,"DIVIDEND"),
IF(L33="OFFEN",
IF(E33=0,
0,
H33+SUMIFS(Daten!K:K,Daten!H:H,C33,Daten!E:E,"DIVIDEND")-(G33-(F33*M33))-I33
),
""))</f>
        <v>0</v>
      </c>
      <c r="T33" s="6">
        <f t="shared" si="6"/>
        <v>0</v>
      </c>
      <c r="U33" s="26">
        <f>COUNTIFS(Daten!H:H,C33,Daten!E:E,"BUY",Daten!L:L,"&lt;0")</f>
        <v>3</v>
      </c>
      <c r="V33" s="26">
        <f>COUNTIFS(Daten!H:H,C33,Daten!E:E,"SELL",Daten!L:L,"&lt;0")</f>
        <v>0</v>
      </c>
      <c r="W33" s="7">
        <f t="shared" si="9"/>
        <v>0</v>
      </c>
      <c r="X33" s="7">
        <f t="shared" si="8"/>
        <v>-0.10916358092183749</v>
      </c>
    </row>
    <row r="34" spans="1:24" x14ac:dyDescent="0.25">
      <c r="A34" s="9" t="s">
        <v>40</v>
      </c>
      <c r="B34" s="5" t="s">
        <v>32</v>
      </c>
      <c r="C34" s="5" t="s">
        <v>41</v>
      </c>
      <c r="D34" s="5">
        <f>SUMIFS(Daten!I:I,Daten!H:H,C34,Daten!E:E,"BUY")</f>
        <v>1.3543989999999999</v>
      </c>
      <c r="E34" s="5">
        <f>-SUMIFS(Daten!I:I,Daten!H:H,C34,Daten!E:E,"SELL")</f>
        <v>1.3543989999999999</v>
      </c>
      <c r="F34" s="5">
        <f t="shared" ref="F34:F63" si="10">D34-E34</f>
        <v>0</v>
      </c>
      <c r="G34" s="6">
        <f>-SUMIFS(Daten!K:K,Daten!H:H,C34,Daten!E:E,"BUY")</f>
        <v>196</v>
      </c>
      <c r="H34" s="6">
        <f>SUMIFS(Daten!K:K,Daten!H:H,C34,Daten!E:E,"SELL")</f>
        <v>205.19</v>
      </c>
      <c r="I34" s="6">
        <f>SUMIFS(Daten!L:L,Daten!H:H,C34)*-1</f>
        <v>4</v>
      </c>
      <c r="J34" s="6">
        <f>-SUMIFS(Daten!M:M,Daten!E:E,"SELL",Daten!H:H,C34)</f>
        <v>1.6</v>
      </c>
      <c r="K34" s="6">
        <f t="shared" si="7"/>
        <v>3.5899999999999976</v>
      </c>
      <c r="L34" s="5" t="str">
        <f t="shared" ref="L34:L63" si="11">IF(F34&gt;0,"OFFEN","GESCHLOSSEN")</f>
        <v>GESCHLOSSEN</v>
      </c>
      <c r="M34">
        <v>0</v>
      </c>
      <c r="N34">
        <v>0</v>
      </c>
      <c r="O34" s="21">
        <f t="shared" ref="O34:O63" si="12">IF(L34="GESCHLOSSEN",
0,
IF(L34="OFFEN",
((N34*F34)-(M34*F34)),
""))</f>
        <v>0</v>
      </c>
      <c r="P34" s="6">
        <f t="shared" ref="P34:P63" si="13">IF(F34&gt;0,F34*N34,0)</f>
        <v>0</v>
      </c>
      <c r="Q34" s="6">
        <f t="shared" ref="Q34:Q63" si="14">IF(F34&gt;0,F34*M34,0)</f>
        <v>0</v>
      </c>
      <c r="R34" s="7">
        <f t="shared" ref="R34:R63" si="15">IF(L34="GESCHLOSSEN",
0,
IF(L34="OFFEN",
(O34/(M34*F34))))</f>
        <v>0</v>
      </c>
      <c r="S34" s="6">
        <f>IF(L34="GESCHLOSSEN",
H34-G34-I34 + SUMIFS(Daten!K:K,Daten!H:H,C34,Daten!E:E,"DIVIDEND"),
IF(L34="OFFEN",
IF(E34=0,
0,
H34+SUMIFS(Daten!K:K,Daten!H:H,C34,Daten!E:E,"DIVIDEND")-(G34-(F34*M34))-I34
),
""))</f>
        <v>5.1999999999999975</v>
      </c>
      <c r="T34" s="6">
        <f t="shared" ref="T34:T63" si="16">IF(E34=0,
0,
(G34-(F34*M34))+I34
)</f>
        <v>200</v>
      </c>
      <c r="U34" s="26">
        <f>COUNTIFS(Daten!H:H,C34,Daten!E:E,"BUY",Daten!L:L,"&lt;0")</f>
        <v>2</v>
      </c>
      <c r="V34" s="26">
        <f>COUNTIFS(Daten!H:H,C34,Daten!E:E,"SELL",Daten!L:L,"&lt;0")</f>
        <v>2</v>
      </c>
      <c r="W34" s="7">
        <f t="shared" ref="W34:W63" si="17">IF(T34&gt;0,S34/T34,0)</f>
        <v>2.5999999999999988E-2</v>
      </c>
      <c r="X34" s="7">
        <f t="shared" si="8"/>
        <v>1.7949999999999987E-2</v>
      </c>
    </row>
    <row r="35" spans="1:24" x14ac:dyDescent="0.25">
      <c r="A35" s="9" t="s">
        <v>95</v>
      </c>
      <c r="B35" s="5" t="s">
        <v>32</v>
      </c>
      <c r="C35" s="5" t="s">
        <v>96</v>
      </c>
      <c r="D35" s="5">
        <f>SUMIFS(Daten!I:I,Daten!H:H,C35,Daten!E:E,"BUY")</f>
        <v>1.052408</v>
      </c>
      <c r="E35" s="5">
        <f>-SUMIFS(Daten!I:I,Daten!H:H,C35,Daten!E:E,"SELL")</f>
        <v>1.052408</v>
      </c>
      <c r="F35" s="5">
        <f t="shared" si="10"/>
        <v>0</v>
      </c>
      <c r="G35" s="6">
        <f>-SUMIFS(Daten!K:K,Daten!H:H,C35,Daten!E:E,"BUY")</f>
        <v>149</v>
      </c>
      <c r="H35" s="6">
        <f>SUMIFS(Daten!K:K,Daten!H:H,C35,Daten!E:E,"SELL")</f>
        <v>161.5</v>
      </c>
      <c r="I35" s="6">
        <f>SUMIFS(Daten!L:L,Daten!H:H,C35)*-1</f>
        <v>2</v>
      </c>
      <c r="J35" s="6">
        <f>-SUMIFS(Daten!M:M,Daten!E:E,"SELL",Daten!H:H,C35)</f>
        <v>2.7600000000000002</v>
      </c>
      <c r="K35" s="6">
        <f t="shared" si="7"/>
        <v>7.74</v>
      </c>
      <c r="L35" s="5" t="str">
        <f t="shared" si="11"/>
        <v>GESCHLOSSEN</v>
      </c>
      <c r="M35">
        <v>0</v>
      </c>
      <c r="N35">
        <v>0</v>
      </c>
      <c r="O35" s="21">
        <f t="shared" si="12"/>
        <v>0</v>
      </c>
      <c r="P35" s="6">
        <f t="shared" si="13"/>
        <v>0</v>
      </c>
      <c r="Q35" s="6">
        <f t="shared" si="14"/>
        <v>0</v>
      </c>
      <c r="R35" s="7">
        <f t="shared" si="15"/>
        <v>0</v>
      </c>
      <c r="S35" s="6">
        <f>IF(L35="GESCHLOSSEN",
H35-G35-I35 + SUMIFS(Daten!K:K,Daten!H:H,C35,Daten!E:E,"DIVIDEND"),
IF(L35="OFFEN",
IF(E35=0,
0,
H35+SUMIFS(Daten!K:K,Daten!H:H,C35,Daten!E:E,"DIVIDEND")-(G35-(F35*M35))-I35
),
""))</f>
        <v>10.5</v>
      </c>
      <c r="T35" s="6">
        <f t="shared" si="16"/>
        <v>151</v>
      </c>
      <c r="U35" s="26">
        <f>COUNTIFS(Daten!H:H,C35,Daten!E:E,"BUY",Daten!L:L,"&lt;0")</f>
        <v>1</v>
      </c>
      <c r="V35" s="26">
        <f>COUNTIFS(Daten!H:H,C35,Daten!E:E,"SELL",Daten!L:L,"&lt;0")</f>
        <v>1</v>
      </c>
      <c r="W35" s="7">
        <f t="shared" si="17"/>
        <v>6.9536423841059597E-2</v>
      </c>
      <c r="X35" s="7">
        <f t="shared" si="8"/>
        <v>5.1258278145695363E-2</v>
      </c>
    </row>
    <row r="36" spans="1:24" x14ac:dyDescent="0.25">
      <c r="A36" s="9" t="s">
        <v>640</v>
      </c>
      <c r="B36" s="5" t="s">
        <v>32</v>
      </c>
      <c r="C36" s="5" t="s">
        <v>641</v>
      </c>
      <c r="D36" s="5">
        <f>SUMIFS(Daten!I:I,Daten!H:H,C36,Daten!E:E,"BUY")</f>
        <v>63.615581999999996</v>
      </c>
      <c r="E36" s="5">
        <f>-SUMIFS(Daten!I:I,Daten!H:H,C36,Daten!E:E,"SELL")</f>
        <v>63.615581999999996</v>
      </c>
      <c r="F36" s="5">
        <f t="shared" si="10"/>
        <v>0</v>
      </c>
      <c r="G36" s="6">
        <f>-SUMIFS(Daten!K:K,Daten!H:H,C36,Daten!E:E,"BUY")</f>
        <v>600</v>
      </c>
      <c r="H36" s="6">
        <f>SUMIFS(Daten!K:K,Daten!H:H,C36,Daten!E:E,"SELL")</f>
        <v>633.09999999999991</v>
      </c>
      <c r="I36" s="6">
        <f>SUMIFS(Daten!L:L,Daten!H:H,C36)*-1</f>
        <v>5</v>
      </c>
      <c r="J36" s="6">
        <f>-SUMIFS(Daten!M:M,Daten!E:E,"SELL",Daten!H:H,C36)</f>
        <v>0</v>
      </c>
      <c r="K36" s="6">
        <f t="shared" si="7"/>
        <v>28.099999999999909</v>
      </c>
      <c r="L36" s="5" t="str">
        <f t="shared" si="11"/>
        <v>GESCHLOSSEN</v>
      </c>
      <c r="M36">
        <v>0</v>
      </c>
      <c r="N36">
        <v>0</v>
      </c>
      <c r="O36" s="21">
        <f t="shared" si="12"/>
        <v>0</v>
      </c>
      <c r="P36" s="6">
        <f t="shared" si="13"/>
        <v>0</v>
      </c>
      <c r="Q36" s="6">
        <f t="shared" si="14"/>
        <v>0</v>
      </c>
      <c r="R36" s="7">
        <f t="shared" si="15"/>
        <v>0</v>
      </c>
      <c r="S36" s="6">
        <f>IF(L36="GESCHLOSSEN",
H36-G36-I36 + SUMIFS(Daten!K:K,Daten!H:H,C36,Daten!E:E,"DIVIDEND"),
IF(L36="OFFEN",
IF(E36=0,
0,
H36+SUMIFS(Daten!K:K,Daten!H:H,C36,Daten!E:E,"DIVIDEND")-(G36-(F36*M36))-I36
),
""))</f>
        <v>28.099999999999909</v>
      </c>
      <c r="T36" s="6">
        <f t="shared" si="16"/>
        <v>605</v>
      </c>
      <c r="U36" s="26">
        <f>COUNTIFS(Daten!H:H,C36,Daten!E:E,"BUY",Daten!L:L,"&lt;0")</f>
        <v>3</v>
      </c>
      <c r="V36" s="26">
        <f>COUNTIFS(Daten!H:H,C36,Daten!E:E,"SELL",Daten!L:L,"&lt;0")</f>
        <v>2</v>
      </c>
      <c r="W36" s="7">
        <f t="shared" si="17"/>
        <v>4.6446280991735388E-2</v>
      </c>
      <c r="X36" s="7">
        <f t="shared" si="8"/>
        <v>4.6446280991735388E-2</v>
      </c>
    </row>
    <row r="37" spans="1:24" x14ac:dyDescent="0.25">
      <c r="A37" s="9" t="s">
        <v>864</v>
      </c>
      <c r="B37" s="5" t="s">
        <v>32</v>
      </c>
      <c r="C37" s="5" t="s">
        <v>865</v>
      </c>
      <c r="D37" s="5">
        <f>SUMIFS(Daten!I:I,Daten!H:H,C37,Daten!E:E,"BUY")</f>
        <v>9.0826519999999995</v>
      </c>
      <c r="E37" s="5">
        <f>-SUMIFS(Daten!I:I,Daten!H:H,C37,Daten!E:E,"SELL")</f>
        <v>9.0826519999999995</v>
      </c>
      <c r="F37" s="5">
        <f t="shared" si="10"/>
        <v>0</v>
      </c>
      <c r="G37" s="6">
        <f>-SUMIFS(Daten!K:K,Daten!H:H,C37,Daten!E:E,"BUY")</f>
        <v>200</v>
      </c>
      <c r="H37" s="6">
        <f>SUMIFS(Daten!K:K,Daten!H:H,C37,Daten!E:E,"SELL")</f>
        <v>202.27</v>
      </c>
      <c r="I37" s="6">
        <f>SUMIFS(Daten!L:L,Daten!H:H,C37)*-1</f>
        <v>2</v>
      </c>
      <c r="J37" s="6">
        <f>-SUMIFS(Daten!M:M,Daten!E:E,"SELL",Daten!H:H,C37)</f>
        <v>0</v>
      </c>
      <c r="K37" s="6">
        <f t="shared" si="7"/>
        <v>0.27000000000001023</v>
      </c>
      <c r="L37" s="5" t="str">
        <f t="shared" si="11"/>
        <v>GESCHLOSSEN</v>
      </c>
      <c r="M37">
        <v>0</v>
      </c>
      <c r="N37">
        <v>0</v>
      </c>
      <c r="O37" s="21">
        <f t="shared" si="12"/>
        <v>0</v>
      </c>
      <c r="P37" s="6">
        <f t="shared" si="13"/>
        <v>0</v>
      </c>
      <c r="Q37" s="6">
        <f t="shared" si="14"/>
        <v>0</v>
      </c>
      <c r="R37" s="7">
        <f t="shared" si="15"/>
        <v>0</v>
      </c>
      <c r="S37" s="6">
        <f>IF(L37="GESCHLOSSEN",
H37-G37-I37 + SUMIFS(Daten!K:K,Daten!H:H,C37,Daten!E:E,"DIVIDEND"),
IF(L37="OFFEN",
IF(E37=0,
0,
H37+SUMIFS(Daten!K:K,Daten!H:H,C37,Daten!E:E,"DIVIDEND")-(G37-(F37*M37))-I37
),
""))</f>
        <v>0.27000000000001023</v>
      </c>
      <c r="T37" s="6">
        <f t="shared" si="16"/>
        <v>202</v>
      </c>
      <c r="U37" s="26">
        <f>COUNTIFS(Daten!H:H,C37,Daten!E:E,"BUY",Daten!L:L,"&lt;0")</f>
        <v>1</v>
      </c>
      <c r="V37" s="26">
        <f>COUNTIFS(Daten!H:H,C37,Daten!E:E,"SELL",Daten!L:L,"&lt;0")</f>
        <v>1</v>
      </c>
      <c r="W37" s="7">
        <f t="shared" si="17"/>
        <v>1.3366336633663873E-3</v>
      </c>
      <c r="X37" s="7">
        <f t="shared" si="8"/>
        <v>1.3366336633663873E-3</v>
      </c>
    </row>
    <row r="38" spans="1:24" x14ac:dyDescent="0.25">
      <c r="A38" s="9" t="s">
        <v>205</v>
      </c>
      <c r="B38" s="5" t="s">
        <v>32</v>
      </c>
      <c r="C38" s="5" t="s">
        <v>206</v>
      </c>
      <c r="D38" s="5">
        <f>SUMIFS(Daten!I:I,Daten!H:H,C38,Daten!E:E,"BUY")</f>
        <v>99.269513000000003</v>
      </c>
      <c r="E38" s="5">
        <f>-SUMIFS(Daten!I:I,Daten!H:H,C38,Daten!E:E,"SELL")</f>
        <v>99.269513000000003</v>
      </c>
      <c r="F38" s="5">
        <f t="shared" si="10"/>
        <v>0</v>
      </c>
      <c r="G38" s="6">
        <f>-SUMIFS(Daten!K:K,Daten!H:H,C38,Daten!E:E,"BUY")</f>
        <v>268</v>
      </c>
      <c r="H38" s="6">
        <f>SUMIFS(Daten!K:K,Daten!H:H,C38,Daten!E:E,"SELL")</f>
        <v>279.45</v>
      </c>
      <c r="I38" s="6">
        <f>SUMIFS(Daten!L:L,Daten!H:H,C38)*-1</f>
        <v>5</v>
      </c>
      <c r="J38" s="6">
        <f>-SUMIFS(Daten!M:M,Daten!E:E,"SELL",Daten!H:H,C38)</f>
        <v>0</v>
      </c>
      <c r="K38" s="6">
        <f t="shared" si="7"/>
        <v>6.4499999999999886</v>
      </c>
      <c r="L38" s="5" t="str">
        <f t="shared" si="11"/>
        <v>GESCHLOSSEN</v>
      </c>
      <c r="M38">
        <v>0</v>
      </c>
      <c r="N38">
        <v>0</v>
      </c>
      <c r="O38" s="21">
        <f t="shared" si="12"/>
        <v>0</v>
      </c>
      <c r="P38" s="6">
        <f t="shared" si="13"/>
        <v>0</v>
      </c>
      <c r="Q38" s="6">
        <f t="shared" si="14"/>
        <v>0</v>
      </c>
      <c r="R38" s="7">
        <f t="shared" si="15"/>
        <v>0</v>
      </c>
      <c r="S38" s="6">
        <f>IF(L38="GESCHLOSSEN",
H38-G38-I38 + SUMIFS(Daten!K:K,Daten!H:H,C38,Daten!E:E,"DIVIDEND"),
IF(L38="OFFEN",
IF(E38=0,
0,
H38+SUMIFS(Daten!K:K,Daten!H:H,C38,Daten!E:E,"DIVIDEND")-(G38-(F38*M38))-I38
),
""))</f>
        <v>6.4499999999999886</v>
      </c>
      <c r="T38" s="6">
        <f t="shared" si="16"/>
        <v>273</v>
      </c>
      <c r="U38" s="26">
        <f>COUNTIFS(Daten!H:H,C38,Daten!E:E,"BUY",Daten!L:L,"&lt;0")</f>
        <v>4</v>
      </c>
      <c r="V38" s="26">
        <f>COUNTIFS(Daten!H:H,C38,Daten!E:E,"SELL",Daten!L:L,"&lt;0")</f>
        <v>1</v>
      </c>
      <c r="W38" s="7">
        <f t="shared" si="17"/>
        <v>2.3626373626373584E-2</v>
      </c>
      <c r="X38" s="7">
        <f t="shared" si="8"/>
        <v>2.3626373626373584E-2</v>
      </c>
    </row>
    <row r="39" spans="1:24" x14ac:dyDescent="0.25">
      <c r="A39" s="9" t="s">
        <v>118</v>
      </c>
      <c r="B39" s="5" t="s">
        <v>64</v>
      </c>
      <c r="C39" s="5" t="s">
        <v>119</v>
      </c>
      <c r="D39" s="5">
        <f>SUMIFS(Daten!I:I,Daten!H:H,C39,Daten!E:E,"BUY")</f>
        <v>80.193626999999992</v>
      </c>
      <c r="E39" s="5">
        <f>-SUMIFS(Daten!I:I,Daten!H:H,C39,Daten!E:E,"SELL")</f>
        <v>0</v>
      </c>
      <c r="F39" s="5">
        <f t="shared" si="10"/>
        <v>80.193626999999992</v>
      </c>
      <c r="G39" s="6">
        <f>-SUMIFS(Daten!K:K,Daten!H:H,C39,Daten!E:E,"BUY")</f>
        <v>112.99</v>
      </c>
      <c r="H39" s="6">
        <f>SUMIFS(Daten!K:K,Daten!H:H,C39,Daten!E:E,"SELL")</f>
        <v>0</v>
      </c>
      <c r="I39" s="6">
        <f>SUMIFS(Daten!L:L,Daten!H:H,C39)*-1</f>
        <v>5</v>
      </c>
      <c r="J39" s="6">
        <f>-SUMIFS(Daten!M:M,Daten!E:E,"SELL",Daten!H:H,C39)</f>
        <v>0</v>
      </c>
      <c r="K39" s="6">
        <f t="shared" si="7"/>
        <v>-117.99</v>
      </c>
      <c r="L39" s="5" t="str">
        <f t="shared" si="11"/>
        <v>OFFEN</v>
      </c>
      <c r="M39">
        <v>1.4710000000000001</v>
      </c>
      <c r="N39">
        <v>1.0580000000000001</v>
      </c>
      <c r="O39" s="21">
        <f t="shared" si="12"/>
        <v>-33.119967950999992</v>
      </c>
      <c r="P39" s="6">
        <f t="shared" si="13"/>
        <v>84.844857365999999</v>
      </c>
      <c r="Q39" s="6">
        <f t="shared" si="14"/>
        <v>117.96482531699999</v>
      </c>
      <c r="R39" s="7">
        <f t="shared" si="15"/>
        <v>-0.28076138681169266</v>
      </c>
      <c r="S39" s="6">
        <f>IF(L39="GESCHLOSSEN",
H39-G39-I39 + SUMIFS(Daten!K:K,Daten!H:H,C39,Daten!E:E,"DIVIDEND"),
IF(L39="OFFEN",
IF(E39=0,
0,
H39+SUMIFS(Daten!K:K,Daten!H:H,C39,Daten!E:E,"DIVIDEND")-(G39-(F39*M39))-I39
),
""))</f>
        <v>0</v>
      </c>
      <c r="T39" s="6">
        <f t="shared" si="16"/>
        <v>0</v>
      </c>
      <c r="U39" s="26">
        <f>COUNTIFS(Daten!H:H,C39,Daten!E:E,"BUY",Daten!L:L,"&lt;0")</f>
        <v>5</v>
      </c>
      <c r="V39" s="26">
        <f>COUNTIFS(Daten!H:H,C39,Daten!E:E,"SELL",Daten!L:L,"&lt;0")</f>
        <v>0</v>
      </c>
      <c r="W39" s="7">
        <f t="shared" si="17"/>
        <v>0</v>
      </c>
      <c r="X39" s="7">
        <f t="shared" si="8"/>
        <v>-0.29334580612443578</v>
      </c>
    </row>
    <row r="40" spans="1:24" x14ac:dyDescent="0.25">
      <c r="A40" s="9" t="s">
        <v>355</v>
      </c>
      <c r="B40" s="5" t="s">
        <v>64</v>
      </c>
      <c r="C40" s="5" t="s">
        <v>356</v>
      </c>
      <c r="D40" s="5">
        <f>SUMIFS(Daten!I:I,Daten!H:H,C40,Daten!E:E,"BUY")</f>
        <v>223.93145699999999</v>
      </c>
      <c r="E40" s="5">
        <f>-SUMIFS(Daten!I:I,Daten!H:H,C40,Daten!E:E,"SELL")</f>
        <v>0</v>
      </c>
      <c r="F40" s="5">
        <f t="shared" si="10"/>
        <v>223.93145699999999</v>
      </c>
      <c r="G40" s="6">
        <f>-SUMIFS(Daten!K:K,Daten!H:H,C40,Daten!E:E,"BUY")</f>
        <v>23</v>
      </c>
      <c r="H40" s="6">
        <f>SUMIFS(Daten!K:K,Daten!H:H,C40,Daten!E:E,"SELL")</f>
        <v>0</v>
      </c>
      <c r="I40" s="6">
        <f>SUMIFS(Daten!L:L,Daten!H:H,C40)*-1</f>
        <v>1</v>
      </c>
      <c r="J40" s="6">
        <f>-SUMIFS(Daten!M:M,Daten!E:E,"SELL",Daten!H:H,C40)</f>
        <v>0</v>
      </c>
      <c r="K40" s="6">
        <f t="shared" si="7"/>
        <v>-24</v>
      </c>
      <c r="L40" s="5" t="str">
        <f t="shared" si="11"/>
        <v>OFFEN</v>
      </c>
      <c r="M40">
        <v>0.1072</v>
      </c>
      <c r="N40">
        <v>8.9429999999999996E-2</v>
      </c>
      <c r="O40" s="21">
        <f t="shared" si="12"/>
        <v>-3.9792619908900022</v>
      </c>
      <c r="P40" s="6">
        <f t="shared" si="13"/>
        <v>20.026190199509998</v>
      </c>
      <c r="Q40" s="6">
        <f t="shared" si="14"/>
        <v>24.0054521904</v>
      </c>
      <c r="R40" s="7">
        <f t="shared" si="15"/>
        <v>-0.16576492537313442</v>
      </c>
      <c r="S40" s="6">
        <f>IF(L40="GESCHLOSSEN",
H40-G40-I40 + SUMIFS(Daten!K:K,Daten!H:H,C40,Daten!E:E,"DIVIDEND"),
IF(L40="OFFEN",
IF(E40=0,
0,
H40+SUMIFS(Daten!K:K,Daten!H:H,C40,Daten!E:E,"DIVIDEND")-(G40-(F40*M40))-I40
),
""))</f>
        <v>0</v>
      </c>
      <c r="T40" s="6">
        <f t="shared" si="16"/>
        <v>0</v>
      </c>
      <c r="U40" s="26">
        <f>COUNTIFS(Daten!H:H,C40,Daten!E:E,"BUY",Daten!L:L,"&lt;0")</f>
        <v>1</v>
      </c>
      <c r="V40" s="26">
        <f>COUNTIFS(Daten!H:H,C40,Daten!E:E,"SELL",Daten!L:L,"&lt;0")</f>
        <v>0</v>
      </c>
      <c r="W40" s="7">
        <f t="shared" si="17"/>
        <v>0</v>
      </c>
      <c r="X40" s="7">
        <f t="shared" si="8"/>
        <v>-0.17277433915173923</v>
      </c>
    </row>
    <row r="41" spans="1:24" x14ac:dyDescent="0.25">
      <c r="A41" s="9" t="s">
        <v>955</v>
      </c>
      <c r="B41" s="5" t="s">
        <v>464</v>
      </c>
      <c r="C41" s="5" t="s">
        <v>956</v>
      </c>
      <c r="D41" s="5">
        <f>SUMIFS(Daten!I:I,Daten!H:H,C41,Daten!E:E,"BUY")</f>
        <v>14.728630000000001</v>
      </c>
      <c r="E41" s="5">
        <f>-SUMIFS(Daten!I:I,Daten!H:H,C41,Daten!E:E,"SELL")</f>
        <v>0</v>
      </c>
      <c r="F41" s="5">
        <f t="shared" si="10"/>
        <v>14.728630000000001</v>
      </c>
      <c r="G41" s="6">
        <f>-SUMIFS(Daten!K:K,Daten!H:H,C41,Daten!E:E,"BUY")</f>
        <v>399.95</v>
      </c>
      <c r="H41" s="6">
        <f>SUMIFS(Daten!K:K,Daten!H:H,C41,Daten!E:E,"SELL")</f>
        <v>0</v>
      </c>
      <c r="I41" s="6">
        <f>SUMIFS(Daten!L:L,Daten!H:H,C41)*-1</f>
        <v>3</v>
      </c>
      <c r="J41" s="6">
        <f>-SUMIFS(Daten!M:M,Daten!E:E,"SELL",Daten!H:H,C41)</f>
        <v>0</v>
      </c>
      <c r="K41" s="6">
        <f t="shared" si="7"/>
        <v>-402.95</v>
      </c>
      <c r="L41" s="5" t="str">
        <f t="shared" si="11"/>
        <v>OFFEN</v>
      </c>
      <c r="M41">
        <v>27.36</v>
      </c>
      <c r="N41">
        <v>25.58</v>
      </c>
      <c r="O41" s="21">
        <f t="shared" si="12"/>
        <v>-26.216961400000059</v>
      </c>
      <c r="P41" s="6">
        <f t="shared" si="13"/>
        <v>376.75835539999997</v>
      </c>
      <c r="Q41" s="6">
        <f t="shared" si="14"/>
        <v>402.97531680000003</v>
      </c>
      <c r="R41" s="7">
        <f t="shared" si="15"/>
        <v>-6.5058479532163885E-2</v>
      </c>
      <c r="S41" s="6">
        <f>IF(L41="GESCHLOSSEN",
H41-G41-I41 + SUMIFS(Daten!K:K,Daten!H:H,C41,Daten!E:E,"DIVIDEND"),
IF(L41="OFFEN",
IF(E41=0,
0,
H41+SUMIFS(Daten!K:K,Daten!H:H,C41,Daten!E:E,"DIVIDEND")-(G41-(F41*M41))-I41
),
""))</f>
        <v>0</v>
      </c>
      <c r="T41" s="6">
        <f t="shared" si="16"/>
        <v>0</v>
      </c>
      <c r="U41" s="26">
        <f>COUNTIFS(Daten!H:H,C41,Daten!E:E,"BUY",Daten!L:L,"&lt;0")</f>
        <v>3</v>
      </c>
      <c r="V41" s="26">
        <f>COUNTIFS(Daten!H:H,C41,Daten!E:E,"SELL",Daten!L:L,"&lt;0")</f>
        <v>0</v>
      </c>
      <c r="W41" s="7">
        <f t="shared" si="17"/>
        <v>0</v>
      </c>
      <c r="X41" s="7">
        <f t="shared" si="8"/>
        <v>-6.5487297412176571E-2</v>
      </c>
    </row>
    <row r="42" spans="1:24" x14ac:dyDescent="0.25">
      <c r="A42" s="9" t="s">
        <v>348</v>
      </c>
      <c r="B42" s="5" t="s">
        <v>32</v>
      </c>
      <c r="C42" s="5" t="s">
        <v>349</v>
      </c>
      <c r="D42" s="5">
        <f>SUMIFS(Daten!I:I,Daten!H:H,C42,Daten!E:E,"BUY")</f>
        <v>28.343948999999999</v>
      </c>
      <c r="E42" s="5">
        <f>-SUMIFS(Daten!I:I,Daten!H:H,C42,Daten!E:E,"SELL")</f>
        <v>28.343948999999999</v>
      </c>
      <c r="F42" s="5">
        <f t="shared" si="10"/>
        <v>0</v>
      </c>
      <c r="G42" s="6">
        <f>-SUMIFS(Daten!K:K,Daten!H:H,C42,Daten!E:E,"BUY")</f>
        <v>89</v>
      </c>
      <c r="H42" s="6">
        <f>SUMIFS(Daten!K:K,Daten!H:H,C42,Daten!E:E,"SELL")</f>
        <v>108.83999999999999</v>
      </c>
      <c r="I42" s="6">
        <f>SUMIFS(Daten!L:L,Daten!H:H,C42)*-1</f>
        <v>2</v>
      </c>
      <c r="J42" s="6">
        <f>-SUMIFS(Daten!M:M,Daten!E:E,"SELL",Daten!H:H,C42)</f>
        <v>0</v>
      </c>
      <c r="K42" s="6">
        <f t="shared" si="7"/>
        <v>17.839999999999989</v>
      </c>
      <c r="L42" s="5" t="str">
        <f t="shared" si="11"/>
        <v>GESCHLOSSEN</v>
      </c>
      <c r="M42">
        <v>0</v>
      </c>
      <c r="N42">
        <v>0</v>
      </c>
      <c r="O42" s="21">
        <f t="shared" si="12"/>
        <v>0</v>
      </c>
      <c r="P42" s="6">
        <f t="shared" si="13"/>
        <v>0</v>
      </c>
      <c r="Q42" s="6">
        <f t="shared" si="14"/>
        <v>0</v>
      </c>
      <c r="R42" s="7">
        <f t="shared" si="15"/>
        <v>0</v>
      </c>
      <c r="S42" s="6">
        <f>IF(L42="GESCHLOSSEN",
H42-G42-I42 + SUMIFS(Daten!K:K,Daten!H:H,C42,Daten!E:E,"DIVIDEND"),
IF(L42="OFFEN",
IF(E42=0,
0,
H42+SUMIFS(Daten!K:K,Daten!H:H,C42,Daten!E:E,"DIVIDEND")-(G42-(F42*M42))-I42
),
""))</f>
        <v>17.839999999999989</v>
      </c>
      <c r="T42" s="6">
        <f t="shared" si="16"/>
        <v>91</v>
      </c>
      <c r="U42" s="26">
        <f>COUNTIFS(Daten!H:H,C42,Daten!E:E,"BUY",Daten!L:L,"&lt;0")</f>
        <v>1</v>
      </c>
      <c r="V42" s="26">
        <f>COUNTIFS(Daten!H:H,C42,Daten!E:E,"SELL",Daten!L:L,"&lt;0")</f>
        <v>1</v>
      </c>
      <c r="W42" s="7">
        <f t="shared" si="17"/>
        <v>0.19604395604395591</v>
      </c>
      <c r="X42" s="7">
        <f t="shared" si="8"/>
        <v>0.19604395604395591</v>
      </c>
    </row>
    <row r="43" spans="1:24" x14ac:dyDescent="0.25">
      <c r="A43" s="9" t="s">
        <v>328</v>
      </c>
      <c r="B43" s="5" t="s">
        <v>32</v>
      </c>
      <c r="C43" s="5" t="s">
        <v>329</v>
      </c>
      <c r="D43" s="5">
        <f>SUMIFS(Daten!I:I,Daten!H:H,C43,Daten!E:E,"BUY")</f>
        <v>14.265129</v>
      </c>
      <c r="E43" s="5">
        <f>-SUMIFS(Daten!I:I,Daten!H:H,C43,Daten!E:E,"SELL")</f>
        <v>14.265129</v>
      </c>
      <c r="F43" s="5">
        <f t="shared" si="10"/>
        <v>0</v>
      </c>
      <c r="G43" s="6">
        <f>-SUMIFS(Daten!K:K,Daten!H:H,C43,Daten!E:E,"BUY")</f>
        <v>98.71</v>
      </c>
      <c r="H43" s="6">
        <f>SUMIFS(Daten!K:K,Daten!H:H,C43,Daten!E:E,"SELL")</f>
        <v>145.5</v>
      </c>
      <c r="I43" s="6">
        <f>SUMIFS(Daten!L:L,Daten!H:H,C43)*-1</f>
        <v>2</v>
      </c>
      <c r="J43" s="6">
        <f>-SUMIFS(Daten!M:M,Daten!E:E,"SELL",Daten!H:H,C43)</f>
        <v>0</v>
      </c>
      <c r="K43" s="6">
        <f t="shared" si="7"/>
        <v>44.790000000000006</v>
      </c>
      <c r="L43" s="5" t="str">
        <f t="shared" si="11"/>
        <v>GESCHLOSSEN</v>
      </c>
      <c r="M43">
        <v>0</v>
      </c>
      <c r="N43">
        <v>0</v>
      </c>
      <c r="O43" s="21">
        <f t="shared" si="12"/>
        <v>0</v>
      </c>
      <c r="P43" s="6">
        <f t="shared" si="13"/>
        <v>0</v>
      </c>
      <c r="Q43" s="6">
        <f t="shared" si="14"/>
        <v>0</v>
      </c>
      <c r="R43" s="7">
        <f t="shared" si="15"/>
        <v>0</v>
      </c>
      <c r="S43" s="6">
        <f>IF(L43="GESCHLOSSEN",
H43-G43-I43 + SUMIFS(Daten!K:K,Daten!H:H,C43,Daten!E:E,"DIVIDEND"),
IF(L43="OFFEN",
IF(E43=0,
0,
H43+SUMIFS(Daten!K:K,Daten!H:H,C43,Daten!E:E,"DIVIDEND")-(G43-(F43*M43))-I43
),
""))</f>
        <v>44.790000000000006</v>
      </c>
      <c r="T43" s="6">
        <f t="shared" si="16"/>
        <v>100.71</v>
      </c>
      <c r="U43" s="26">
        <f>COUNTIFS(Daten!H:H,C43,Daten!E:E,"BUY",Daten!L:L,"&lt;0")</f>
        <v>1</v>
      </c>
      <c r="V43" s="26">
        <f>COUNTIFS(Daten!H:H,C43,Daten!E:E,"SELL",Daten!L:L,"&lt;0")</f>
        <v>1</v>
      </c>
      <c r="W43" s="7">
        <f t="shared" si="17"/>
        <v>0.4447423294608282</v>
      </c>
      <c r="X43" s="7">
        <f t="shared" si="8"/>
        <v>0.4447423294608282</v>
      </c>
    </row>
    <row r="44" spans="1:24" x14ac:dyDescent="0.25">
      <c r="A44" s="9" t="s">
        <v>114</v>
      </c>
      <c r="B44" s="5" t="s">
        <v>64</v>
      </c>
      <c r="C44" s="5" t="s">
        <v>115</v>
      </c>
      <c r="D44" s="5">
        <f>SUMIFS(Daten!I:I,Daten!H:H,C44,Daten!E:E,"BUY")</f>
        <v>24.9</v>
      </c>
      <c r="E44" s="5">
        <f>-SUMIFS(Daten!I:I,Daten!H:H,C44,Daten!E:E,"SELL")</f>
        <v>0</v>
      </c>
      <c r="F44" s="5">
        <f t="shared" si="10"/>
        <v>24.9</v>
      </c>
      <c r="G44" s="6">
        <f>-SUMIFS(Daten!K:K,Daten!H:H,C44,Daten!E:E,"BUY")</f>
        <v>55.97</v>
      </c>
      <c r="H44" s="6">
        <f>SUMIFS(Daten!K:K,Daten!H:H,C44,Daten!E:E,"SELL")</f>
        <v>0</v>
      </c>
      <c r="I44" s="6">
        <f>SUMIFS(Daten!L:L,Daten!H:H,C44)*-1</f>
        <v>3</v>
      </c>
      <c r="J44" s="6">
        <f>-SUMIFS(Daten!M:M,Daten!E:E,"SELL",Daten!H:H,C44)</f>
        <v>0</v>
      </c>
      <c r="K44" s="6">
        <f t="shared" si="7"/>
        <v>-58.97</v>
      </c>
      <c r="L44" s="5" t="str">
        <f t="shared" si="11"/>
        <v>OFFEN</v>
      </c>
      <c r="M44">
        <v>2.37</v>
      </c>
      <c r="N44">
        <v>1.7</v>
      </c>
      <c r="O44" s="21">
        <f t="shared" si="12"/>
        <v>-16.683</v>
      </c>
      <c r="P44" s="6">
        <f t="shared" si="13"/>
        <v>42.33</v>
      </c>
      <c r="Q44" s="6">
        <f t="shared" si="14"/>
        <v>59.012999999999998</v>
      </c>
      <c r="R44" s="7">
        <f t="shared" si="15"/>
        <v>-0.28270042194092826</v>
      </c>
      <c r="S44" s="6">
        <f>IF(L44="GESCHLOSSEN",
H44-G44-I44 + SUMIFS(Daten!K:K,Daten!H:H,C44,Daten!E:E,"DIVIDEND"),
IF(L44="OFFEN",
IF(E44=0,
0,
H44+SUMIFS(Daten!K:K,Daten!H:H,C44,Daten!E:E,"DIVIDEND")-(G44-(F44*M44))-I44
),
""))</f>
        <v>0</v>
      </c>
      <c r="T44" s="6">
        <f t="shared" si="16"/>
        <v>0</v>
      </c>
      <c r="U44" s="26">
        <f>COUNTIFS(Daten!H:H,C44,Daten!E:E,"BUY",Daten!L:L,"&lt;0")</f>
        <v>3</v>
      </c>
      <c r="V44" s="26">
        <f>COUNTIFS(Daten!H:H,C44,Daten!E:E,"SELL",Daten!L:L,"&lt;0")</f>
        <v>0</v>
      </c>
      <c r="W44" s="7">
        <f t="shared" si="17"/>
        <v>0</v>
      </c>
      <c r="X44" s="7">
        <f t="shared" si="8"/>
        <v>-0.29730212613900303</v>
      </c>
    </row>
    <row r="45" spans="1:24" x14ac:dyDescent="0.25">
      <c r="A45" s="9" t="s">
        <v>89</v>
      </c>
      <c r="B45" s="5" t="s">
        <v>32</v>
      </c>
      <c r="C45" s="5" t="s">
        <v>90</v>
      </c>
      <c r="D45" s="5">
        <f>SUMIFS(Daten!I:I,Daten!H:H,C45,Daten!E:E,"BUY")</f>
        <v>1.1348940000000001</v>
      </c>
      <c r="E45" s="5">
        <f>-SUMIFS(Daten!I:I,Daten!H:H,C45,Daten!E:E,"SELL")</f>
        <v>1.1348940000000001</v>
      </c>
      <c r="F45" s="5">
        <f t="shared" si="10"/>
        <v>0</v>
      </c>
      <c r="G45" s="6">
        <f>-SUMIFS(Daten!K:K,Daten!H:H,C45,Daten!E:E,"BUY")</f>
        <v>79</v>
      </c>
      <c r="H45" s="6">
        <f>SUMIFS(Daten!K:K,Daten!H:H,C45,Daten!E:E,"SELL")</f>
        <v>88.28</v>
      </c>
      <c r="I45" s="6">
        <f>SUMIFS(Daten!L:L,Daten!H:H,C45)*-1</f>
        <v>2</v>
      </c>
      <c r="J45" s="6">
        <f>-SUMIFS(Daten!M:M,Daten!E:E,"SELL",Daten!H:H,C45)</f>
        <v>1.92</v>
      </c>
      <c r="K45" s="6">
        <f t="shared" si="7"/>
        <v>5.3600000000000012</v>
      </c>
      <c r="L45" s="5" t="str">
        <f t="shared" si="11"/>
        <v>GESCHLOSSEN</v>
      </c>
      <c r="M45">
        <v>0</v>
      </c>
      <c r="N45">
        <v>0</v>
      </c>
      <c r="O45" s="21">
        <f t="shared" si="12"/>
        <v>0</v>
      </c>
      <c r="P45" s="6">
        <f t="shared" si="13"/>
        <v>0</v>
      </c>
      <c r="Q45" s="6">
        <f t="shared" si="14"/>
        <v>0</v>
      </c>
      <c r="R45" s="7">
        <f t="shared" si="15"/>
        <v>0</v>
      </c>
      <c r="S45" s="6">
        <f>IF(L45="GESCHLOSSEN",
H45-G45-I45 + SUMIFS(Daten!K:K,Daten!H:H,C45,Daten!E:E,"DIVIDEND"),
IF(L45="OFFEN",
IF(E45=0,
0,
H45+SUMIFS(Daten!K:K,Daten!H:H,C45,Daten!E:E,"DIVIDEND")-(G45-(F45*M45))-I45
),
""))</f>
        <v>7.2800000000000011</v>
      </c>
      <c r="T45" s="6">
        <f t="shared" si="16"/>
        <v>81</v>
      </c>
      <c r="U45" s="26">
        <f>COUNTIFS(Daten!H:H,C45,Daten!E:E,"BUY",Daten!L:L,"&lt;0")</f>
        <v>1</v>
      </c>
      <c r="V45" s="26">
        <f>COUNTIFS(Daten!H:H,C45,Daten!E:E,"SELL",Daten!L:L,"&lt;0")</f>
        <v>1</v>
      </c>
      <c r="W45" s="7">
        <f t="shared" si="17"/>
        <v>8.9876543209876564E-2</v>
      </c>
      <c r="X45" s="7">
        <f t="shared" si="8"/>
        <v>6.6172839506172851E-2</v>
      </c>
    </row>
    <row r="46" spans="1:24" x14ac:dyDescent="0.25">
      <c r="A46" s="9" t="s">
        <v>101</v>
      </c>
      <c r="B46" s="5" t="s">
        <v>32</v>
      </c>
      <c r="C46" s="5" t="s">
        <v>102</v>
      </c>
      <c r="D46" s="5">
        <f>SUMIFS(Daten!I:I,Daten!H:H,C46,Daten!E:E,"BUY")</f>
        <v>1.3683320000000001</v>
      </c>
      <c r="E46" s="5">
        <f>-SUMIFS(Daten!I:I,Daten!H:H,C46,Daten!E:E,"SELL")</f>
        <v>1.3683320000000001</v>
      </c>
      <c r="F46" s="5">
        <f t="shared" si="10"/>
        <v>0</v>
      </c>
      <c r="G46" s="6">
        <f>-SUMIFS(Daten!K:K,Daten!H:H,C46,Daten!E:E,"BUY")</f>
        <v>49</v>
      </c>
      <c r="H46" s="6">
        <f>SUMIFS(Daten!K:K,Daten!H:H,C46,Daten!E:E,"SELL")</f>
        <v>53.47</v>
      </c>
      <c r="I46" s="6">
        <f>SUMIFS(Daten!L:L,Daten!H:H,C46)*-1</f>
        <v>2</v>
      </c>
      <c r="J46" s="6">
        <f>-SUMIFS(Daten!M:M,Daten!E:E,"SELL",Daten!H:H,C46)</f>
        <v>0.64</v>
      </c>
      <c r="K46" s="6">
        <f t="shared" si="7"/>
        <v>1.8299999999999987</v>
      </c>
      <c r="L46" s="5" t="str">
        <f t="shared" si="11"/>
        <v>GESCHLOSSEN</v>
      </c>
      <c r="M46">
        <v>0</v>
      </c>
      <c r="N46">
        <v>0</v>
      </c>
      <c r="O46" s="21">
        <f t="shared" si="12"/>
        <v>0</v>
      </c>
      <c r="P46" s="6">
        <f t="shared" si="13"/>
        <v>0</v>
      </c>
      <c r="Q46" s="6">
        <f t="shared" si="14"/>
        <v>0</v>
      </c>
      <c r="R46" s="7">
        <f t="shared" si="15"/>
        <v>0</v>
      </c>
      <c r="S46" s="6">
        <f>IF(L46="GESCHLOSSEN",
H46-G46-I46 + SUMIFS(Daten!K:K,Daten!H:H,C46,Daten!E:E,"DIVIDEND"),
IF(L46="OFFEN",
IF(E46=0,
0,
H46+SUMIFS(Daten!K:K,Daten!H:H,C46,Daten!E:E,"DIVIDEND")-(G46-(F46*M46))-I46
),
""))</f>
        <v>2.4699999999999989</v>
      </c>
      <c r="T46" s="6">
        <f t="shared" si="16"/>
        <v>51</v>
      </c>
      <c r="U46" s="26">
        <f>COUNTIFS(Daten!H:H,C46,Daten!E:E,"BUY",Daten!L:L,"&lt;0")</f>
        <v>1</v>
      </c>
      <c r="V46" s="26">
        <f>COUNTIFS(Daten!H:H,C46,Daten!E:E,"SELL",Daten!L:L,"&lt;0")</f>
        <v>1</v>
      </c>
      <c r="W46" s="7">
        <f t="shared" si="17"/>
        <v>4.8431372549019587E-2</v>
      </c>
      <c r="X46" s="7">
        <f t="shared" si="8"/>
        <v>3.5882352941176449E-2</v>
      </c>
    </row>
    <row r="47" spans="1:24" x14ac:dyDescent="0.25">
      <c r="A47" s="9" t="s">
        <v>994</v>
      </c>
      <c r="B47" s="5" t="s">
        <v>464</v>
      </c>
      <c r="C47" s="5" t="s">
        <v>995</v>
      </c>
      <c r="D47" s="5">
        <f>SUMIFS(Daten!I:I,Daten!H:H,C47,Daten!E:E,"BUY")</f>
        <v>7.237006</v>
      </c>
      <c r="E47" s="5">
        <f>-SUMIFS(Daten!I:I,Daten!H:H,C47,Daten!E:E,"SELL")</f>
        <v>7.237006</v>
      </c>
      <c r="F47" s="5">
        <f t="shared" si="10"/>
        <v>0</v>
      </c>
      <c r="G47" s="6">
        <f>-SUMIFS(Daten!K:K,Daten!H:H,C47,Daten!E:E,"BUY")</f>
        <v>693.54</v>
      </c>
      <c r="H47" s="6">
        <f>SUMIFS(Daten!K:K,Daten!H:H,C47,Daten!E:E,"SELL")</f>
        <v>756.62</v>
      </c>
      <c r="I47" s="6">
        <f>SUMIFS(Daten!L:L,Daten!H:H,C47)*-1</f>
        <v>4</v>
      </c>
      <c r="J47" s="6">
        <f>-SUMIFS(Daten!M:M,Daten!E:E,"SELL",Daten!H:H,C47)</f>
        <v>10.210000000000001</v>
      </c>
      <c r="K47" s="6">
        <f t="shared" si="7"/>
        <v>48.87000000000004</v>
      </c>
      <c r="L47" s="5" t="str">
        <f t="shared" si="11"/>
        <v>GESCHLOSSEN</v>
      </c>
      <c r="M47">
        <v>0</v>
      </c>
      <c r="N47">
        <v>0</v>
      </c>
      <c r="O47" s="21">
        <f t="shared" si="12"/>
        <v>0</v>
      </c>
      <c r="P47" s="6">
        <f t="shared" si="13"/>
        <v>0</v>
      </c>
      <c r="Q47" s="6">
        <f t="shared" si="14"/>
        <v>0</v>
      </c>
      <c r="R47" s="7">
        <f t="shared" si="15"/>
        <v>0</v>
      </c>
      <c r="S47" s="6">
        <f>IF(L47="GESCHLOSSEN",
H47-G47-I47 + SUMIFS(Daten!K:K,Daten!H:H,C47,Daten!E:E,"DIVIDEND"),
IF(L47="OFFEN",
IF(E47=0,
0,
H47+SUMIFS(Daten!K:K,Daten!H:H,C47,Daten!E:E,"DIVIDEND")-(G47-(F47*M47))-I47
),
""))</f>
        <v>59.080000000000041</v>
      </c>
      <c r="T47" s="6">
        <f t="shared" si="16"/>
        <v>697.54</v>
      </c>
      <c r="U47" s="26">
        <f>COUNTIFS(Daten!H:H,C47,Daten!E:E,"BUY",Daten!L:L,"&lt;0")</f>
        <v>2</v>
      </c>
      <c r="V47" s="26">
        <f>COUNTIFS(Daten!H:H,C47,Daten!E:E,"SELL",Daten!L:L,"&lt;0")</f>
        <v>2</v>
      </c>
      <c r="W47" s="7">
        <f t="shared" si="17"/>
        <v>8.4697651747570102E-2</v>
      </c>
      <c r="X47" s="7">
        <f t="shared" si="8"/>
        <v>7.0060498322676898E-2</v>
      </c>
    </row>
    <row r="48" spans="1:24" x14ac:dyDescent="0.25">
      <c r="A48" s="9" t="s">
        <v>47</v>
      </c>
      <c r="B48" s="5" t="s">
        <v>32</v>
      </c>
      <c r="C48" s="5" t="s">
        <v>48</v>
      </c>
      <c r="D48" s="5">
        <f>SUMIFS(Daten!I:I,Daten!H:H,C48,Daten!E:E,"BUY")</f>
        <v>1.0174080000000001</v>
      </c>
      <c r="E48" s="5">
        <f>-SUMIFS(Daten!I:I,Daten!H:H,C48,Daten!E:E,"SELL")</f>
        <v>1.0174080000000001</v>
      </c>
      <c r="F48" s="5">
        <f t="shared" si="10"/>
        <v>0</v>
      </c>
      <c r="G48" s="6">
        <f>-SUMIFS(Daten!K:K,Daten!H:H,C48,Daten!E:E,"BUY")</f>
        <v>90</v>
      </c>
      <c r="H48" s="6">
        <f>SUMIFS(Daten!K:K,Daten!H:H,C48,Daten!E:E,"SELL")</f>
        <v>100.19</v>
      </c>
      <c r="I48" s="6">
        <f>SUMIFS(Daten!L:L,Daten!H:H,C48)*-1</f>
        <v>2</v>
      </c>
      <c r="J48" s="6">
        <f>-SUMIFS(Daten!M:M,Daten!E:E,"SELL",Daten!H:H,C48)</f>
        <v>2.16</v>
      </c>
      <c r="K48" s="6">
        <f t="shared" si="7"/>
        <v>6.0299999999999976</v>
      </c>
      <c r="L48" s="5" t="str">
        <f t="shared" si="11"/>
        <v>GESCHLOSSEN</v>
      </c>
      <c r="M48">
        <v>0</v>
      </c>
      <c r="N48">
        <v>0</v>
      </c>
      <c r="O48" s="21">
        <f t="shared" si="12"/>
        <v>0</v>
      </c>
      <c r="P48" s="6">
        <f t="shared" si="13"/>
        <v>0</v>
      </c>
      <c r="Q48" s="6">
        <f t="shared" si="14"/>
        <v>0</v>
      </c>
      <c r="R48" s="7">
        <f t="shared" si="15"/>
        <v>0</v>
      </c>
      <c r="S48" s="6">
        <f>IF(L48="GESCHLOSSEN",
H48-G48-I48 + SUMIFS(Daten!K:K,Daten!H:H,C48,Daten!E:E,"DIVIDEND"),
IF(L48="OFFEN",
IF(E48=0,
0,
H48+SUMIFS(Daten!K:K,Daten!H:H,C48,Daten!E:E,"DIVIDEND")-(G48-(F48*M48))-I48
),
""))</f>
        <v>8.1899999999999977</v>
      </c>
      <c r="T48" s="6">
        <f t="shared" si="16"/>
        <v>92</v>
      </c>
      <c r="U48" s="26">
        <f>COUNTIFS(Daten!H:H,C48,Daten!E:E,"BUY",Daten!L:L,"&lt;0")</f>
        <v>1</v>
      </c>
      <c r="V48" s="26">
        <f>COUNTIFS(Daten!H:H,C48,Daten!E:E,"SELL",Daten!L:L,"&lt;0")</f>
        <v>1</v>
      </c>
      <c r="W48" s="7">
        <f t="shared" si="17"/>
        <v>8.9021739130434763E-2</v>
      </c>
      <c r="X48" s="7">
        <f t="shared" si="8"/>
        <v>6.5543478260869537E-2</v>
      </c>
    </row>
    <row r="49" spans="1:24" x14ac:dyDescent="0.25">
      <c r="A49" s="9" t="s">
        <v>123</v>
      </c>
      <c r="B49" s="5" t="s">
        <v>32</v>
      </c>
      <c r="C49" s="5" t="s">
        <v>124</v>
      </c>
      <c r="D49" s="5">
        <f>SUMIFS(Daten!I:I,Daten!H:H,C49,Daten!E:E,"BUY")</f>
        <v>2</v>
      </c>
      <c r="E49" s="5">
        <f>-SUMIFS(Daten!I:I,Daten!H:H,C49,Daten!E:E,"SELL")</f>
        <v>2</v>
      </c>
      <c r="F49" s="5">
        <f t="shared" si="10"/>
        <v>0</v>
      </c>
      <c r="G49" s="6">
        <f>-SUMIFS(Daten!K:K,Daten!H:H,C49,Daten!E:E,"BUY")</f>
        <v>80</v>
      </c>
      <c r="H49" s="6">
        <f>SUMIFS(Daten!K:K,Daten!H:H,C49,Daten!E:E,"SELL")</f>
        <v>92.300000000000011</v>
      </c>
      <c r="I49" s="6">
        <f>SUMIFS(Daten!L:L,Daten!H:H,C49)*-1</f>
        <v>3</v>
      </c>
      <c r="J49" s="6">
        <f>-SUMIFS(Daten!M:M,Daten!E:E,"SELL",Daten!H:H,C49)</f>
        <v>2.2000000000000002</v>
      </c>
      <c r="K49" s="6">
        <f t="shared" si="7"/>
        <v>7.1000000000000112</v>
      </c>
      <c r="L49" s="5" t="str">
        <f t="shared" si="11"/>
        <v>GESCHLOSSEN</v>
      </c>
      <c r="M49">
        <v>0</v>
      </c>
      <c r="N49">
        <v>0</v>
      </c>
      <c r="O49" s="21">
        <f t="shared" si="12"/>
        <v>0</v>
      </c>
      <c r="P49" s="6">
        <f t="shared" si="13"/>
        <v>0</v>
      </c>
      <c r="Q49" s="6">
        <f t="shared" si="14"/>
        <v>0</v>
      </c>
      <c r="R49" s="7">
        <f t="shared" si="15"/>
        <v>0</v>
      </c>
      <c r="S49" s="6">
        <f>IF(L49="GESCHLOSSEN",
H49-G49-I49 + SUMIFS(Daten!K:K,Daten!H:H,C49,Daten!E:E,"DIVIDEND"),
IF(L49="OFFEN",
IF(E49=0,
0,
H49+SUMIFS(Daten!K:K,Daten!H:H,C49,Daten!E:E,"DIVIDEND")-(G49-(F49*M49))-I49
),
""))</f>
        <v>9.3000000000000114</v>
      </c>
      <c r="T49" s="6">
        <f t="shared" si="16"/>
        <v>83</v>
      </c>
      <c r="U49" s="26">
        <f>COUNTIFS(Daten!H:H,C49,Daten!E:E,"BUY",Daten!L:L,"&lt;0")</f>
        <v>1</v>
      </c>
      <c r="V49" s="26">
        <f>COUNTIFS(Daten!H:H,C49,Daten!E:E,"SELL",Daten!L:L,"&lt;0")</f>
        <v>2</v>
      </c>
      <c r="W49" s="7">
        <f t="shared" si="17"/>
        <v>0.11204819277108448</v>
      </c>
      <c r="X49" s="7">
        <f t="shared" si="8"/>
        <v>8.5542168674698923E-2</v>
      </c>
    </row>
    <row r="50" spans="1:24" x14ac:dyDescent="0.25">
      <c r="A50" s="9" t="s">
        <v>65</v>
      </c>
      <c r="B50" s="5" t="s">
        <v>64</v>
      </c>
      <c r="C50" s="5" t="s">
        <v>66</v>
      </c>
      <c r="D50" s="5">
        <f>SUMIFS(Daten!I:I,Daten!H:H,C50,Daten!E:E,"BUY")</f>
        <v>12.108418</v>
      </c>
      <c r="E50" s="5">
        <f>-SUMIFS(Daten!I:I,Daten!H:H,C50,Daten!E:E,"SELL")</f>
        <v>12.108418</v>
      </c>
      <c r="F50" s="5">
        <f t="shared" si="10"/>
        <v>0</v>
      </c>
      <c r="G50" s="6">
        <f>-SUMIFS(Daten!K:K,Daten!H:H,C50,Daten!E:E,"BUY")</f>
        <v>1062.25</v>
      </c>
      <c r="H50" s="6">
        <f>SUMIFS(Daten!K:K,Daten!H:H,C50,Daten!E:E,"SELL")</f>
        <v>1148.51</v>
      </c>
      <c r="I50" s="6">
        <f>SUMIFS(Daten!L:L,Daten!H:H,C50)*-1</f>
        <v>12</v>
      </c>
      <c r="J50" s="6">
        <f>-SUMIFS(Daten!M:M,Daten!E:E,"SELL",Daten!H:H,C50)</f>
        <v>0</v>
      </c>
      <c r="K50" s="6">
        <f t="shared" si="7"/>
        <v>74.259999999999991</v>
      </c>
      <c r="L50" s="5" t="str">
        <f t="shared" si="11"/>
        <v>GESCHLOSSEN</v>
      </c>
      <c r="M50">
        <v>0</v>
      </c>
      <c r="N50">
        <v>0</v>
      </c>
      <c r="O50" s="21">
        <f t="shared" si="12"/>
        <v>0</v>
      </c>
      <c r="P50" s="6">
        <f t="shared" si="13"/>
        <v>0</v>
      </c>
      <c r="Q50" s="6">
        <f t="shared" si="14"/>
        <v>0</v>
      </c>
      <c r="R50" s="7">
        <f t="shared" si="15"/>
        <v>0</v>
      </c>
      <c r="S50" s="6">
        <f>IF(L50="GESCHLOSSEN",
H50-G50-I50 + SUMIFS(Daten!K:K,Daten!H:H,C50,Daten!E:E,"DIVIDEND"),
IF(L50="OFFEN",
IF(E50=0,
0,
H50+SUMIFS(Daten!K:K,Daten!H:H,C50,Daten!E:E,"DIVIDEND")-(G50-(F50*M50))-I50
),
""))</f>
        <v>74.259999999999991</v>
      </c>
      <c r="T50" s="6">
        <f t="shared" si="16"/>
        <v>1074.25</v>
      </c>
      <c r="U50" s="26">
        <f>COUNTIFS(Daten!H:H,C50,Daten!E:E,"BUY",Daten!L:L,"&lt;0")</f>
        <v>9</v>
      </c>
      <c r="V50" s="26">
        <f>COUNTIFS(Daten!H:H,C50,Daten!E:E,"SELL",Daten!L:L,"&lt;0")</f>
        <v>3</v>
      </c>
      <c r="W50" s="7">
        <f t="shared" si="17"/>
        <v>6.9127298114963917E-2</v>
      </c>
      <c r="X50" s="7">
        <f t="shared" si="8"/>
        <v>6.9127298114963917E-2</v>
      </c>
    </row>
    <row r="51" spans="1:24" x14ac:dyDescent="0.25">
      <c r="A51" s="9" t="s">
        <v>948</v>
      </c>
      <c r="B51" s="5" t="s">
        <v>464</v>
      </c>
      <c r="C51" s="5" t="s">
        <v>949</v>
      </c>
      <c r="D51" s="5">
        <f>SUMIFS(Daten!I:I,Daten!H:H,C51,Daten!E:E,"BUY")</f>
        <v>5.9082619999999997</v>
      </c>
      <c r="E51" s="5">
        <f>-SUMIFS(Daten!I:I,Daten!H:H,C51,Daten!E:E,"SELL")</f>
        <v>0</v>
      </c>
      <c r="F51" s="5">
        <f t="shared" si="10"/>
        <v>5.9082619999999997</v>
      </c>
      <c r="G51" s="6">
        <f>-SUMIFS(Daten!K:K,Daten!H:H,C51,Daten!E:E,"BUY")</f>
        <v>600.06000000000006</v>
      </c>
      <c r="H51" s="6">
        <f>SUMIFS(Daten!K:K,Daten!H:H,C51,Daten!E:E,"SELL")</f>
        <v>0</v>
      </c>
      <c r="I51" s="6">
        <f>SUMIFS(Daten!L:L,Daten!H:H,C51)*-1</f>
        <v>7</v>
      </c>
      <c r="J51" s="6">
        <f>-SUMIFS(Daten!M:M,Daten!E:E,"SELL",Daten!H:H,C51)</f>
        <v>0</v>
      </c>
      <c r="K51" s="6">
        <f t="shared" si="7"/>
        <v>-607.06000000000006</v>
      </c>
      <c r="L51" s="5" t="str">
        <f t="shared" si="11"/>
        <v>OFFEN</v>
      </c>
      <c r="M51">
        <v>102.75</v>
      </c>
      <c r="N51">
        <v>68.34</v>
      </c>
      <c r="O51" s="21">
        <f t="shared" si="12"/>
        <v>-203.30329541999998</v>
      </c>
      <c r="P51" s="6">
        <f t="shared" si="13"/>
        <v>403.77062508</v>
      </c>
      <c r="Q51" s="6">
        <f t="shared" si="14"/>
        <v>607.07392049999999</v>
      </c>
      <c r="R51" s="7">
        <f t="shared" si="15"/>
        <v>-0.3348905109489051</v>
      </c>
      <c r="S51" s="6">
        <f>IF(L51="GESCHLOSSEN",
H51-G51-I51 + SUMIFS(Daten!K:K,Daten!H:H,C51,Daten!E:E,"DIVIDEND"),
IF(L51="OFFEN",
IF(E51=0,
0,
H51+SUMIFS(Daten!K:K,Daten!H:H,C51,Daten!E:E,"DIVIDEND")-(G51-(F51*M51))-I51
),
""))</f>
        <v>0</v>
      </c>
      <c r="T51" s="6">
        <f t="shared" si="16"/>
        <v>0</v>
      </c>
      <c r="U51" s="26">
        <f>COUNTIFS(Daten!H:H,C51,Daten!E:E,"BUY",Daten!L:L,"&lt;0")</f>
        <v>7</v>
      </c>
      <c r="V51" s="26">
        <f>COUNTIFS(Daten!H:H,C51,Daten!E:E,"SELL",Daten!L:L,"&lt;0")</f>
        <v>0</v>
      </c>
      <c r="W51" s="7">
        <f t="shared" si="17"/>
        <v>0</v>
      </c>
      <c r="X51" s="7">
        <f t="shared" si="8"/>
        <v>-0.33878174669199751</v>
      </c>
    </row>
    <row r="52" spans="1:24" x14ac:dyDescent="0.25">
      <c r="A52" s="9" t="s">
        <v>334</v>
      </c>
      <c r="B52" s="5" t="s">
        <v>32</v>
      </c>
      <c r="C52" s="5" t="s">
        <v>335</v>
      </c>
      <c r="D52" s="5">
        <f>SUMIFS(Daten!I:I,Daten!H:H,C52,Daten!E:E,"BUY")</f>
        <v>16.737109</v>
      </c>
      <c r="E52" s="5">
        <f>-SUMIFS(Daten!I:I,Daten!H:H,C52,Daten!E:E,"SELL")</f>
        <v>16.737109</v>
      </c>
      <c r="F52" s="5">
        <f t="shared" si="10"/>
        <v>0</v>
      </c>
      <c r="G52" s="6">
        <f>-SUMIFS(Daten!K:K,Daten!H:H,C52,Daten!E:E,"BUY")</f>
        <v>99</v>
      </c>
      <c r="H52" s="6">
        <f>SUMIFS(Daten!K:K,Daten!H:H,C52,Daten!E:E,"SELL")</f>
        <v>108.5</v>
      </c>
      <c r="I52" s="6">
        <f>SUMIFS(Daten!L:L,Daten!H:H,C52)*-1</f>
        <v>3</v>
      </c>
      <c r="J52" s="6">
        <f>-SUMIFS(Daten!M:M,Daten!E:E,"SELL",Daten!H:H,C52)</f>
        <v>0</v>
      </c>
      <c r="K52" s="6">
        <f t="shared" si="7"/>
        <v>6.5</v>
      </c>
      <c r="L52" s="5" t="str">
        <f t="shared" si="11"/>
        <v>GESCHLOSSEN</v>
      </c>
      <c r="M52">
        <v>0</v>
      </c>
      <c r="N52">
        <v>0</v>
      </c>
      <c r="O52" s="21">
        <f t="shared" si="12"/>
        <v>0</v>
      </c>
      <c r="P52" s="6">
        <f t="shared" si="13"/>
        <v>0</v>
      </c>
      <c r="Q52" s="6">
        <f t="shared" si="14"/>
        <v>0</v>
      </c>
      <c r="R52" s="7">
        <f t="shared" si="15"/>
        <v>0</v>
      </c>
      <c r="S52" s="6">
        <f>IF(L52="GESCHLOSSEN",
H52-G52-I52 + SUMIFS(Daten!K:K,Daten!H:H,C52,Daten!E:E,"DIVIDEND"),
IF(L52="OFFEN",
IF(E52=0,
0,
H52+SUMIFS(Daten!K:K,Daten!H:H,C52,Daten!E:E,"DIVIDEND")-(G52-(F52*M52))-I52
),
""))</f>
        <v>6.5</v>
      </c>
      <c r="T52" s="6">
        <f t="shared" si="16"/>
        <v>102</v>
      </c>
      <c r="U52" s="26">
        <f>COUNTIFS(Daten!H:H,C52,Daten!E:E,"BUY",Daten!L:L,"&lt;0")</f>
        <v>1</v>
      </c>
      <c r="V52" s="26">
        <f>COUNTIFS(Daten!H:H,C52,Daten!E:E,"SELL",Daten!L:L,"&lt;0")</f>
        <v>2</v>
      </c>
      <c r="W52" s="7">
        <f t="shared" si="17"/>
        <v>6.3725490196078427E-2</v>
      </c>
      <c r="X52" s="7">
        <f t="shared" si="8"/>
        <v>6.3725490196078427E-2</v>
      </c>
    </row>
    <row r="53" spans="1:24" x14ac:dyDescent="0.25">
      <c r="A53" s="9" t="s">
        <v>76</v>
      </c>
      <c r="B53" s="5" t="s">
        <v>32</v>
      </c>
      <c r="C53" s="5" t="s">
        <v>77</v>
      </c>
      <c r="D53" s="5">
        <f>SUMIFS(Daten!I:I,Daten!H:H,C53,Daten!E:E,"BUY")</f>
        <v>2.1868780000000001</v>
      </c>
      <c r="E53" s="5">
        <f>-SUMIFS(Daten!I:I,Daten!H:H,C53,Daten!E:E,"SELL")</f>
        <v>2.1868780000000001</v>
      </c>
      <c r="F53" s="5">
        <f t="shared" si="10"/>
        <v>0</v>
      </c>
      <c r="G53" s="6">
        <f>-SUMIFS(Daten!K:K,Daten!H:H,C53,Daten!E:E,"BUY")</f>
        <v>21.99</v>
      </c>
      <c r="H53" s="6">
        <f>SUMIFS(Daten!K:K,Daten!H:H,C53,Daten!E:E,"SELL")</f>
        <v>25.43</v>
      </c>
      <c r="I53" s="6">
        <f>SUMIFS(Daten!L:L,Daten!H:H,C53)*-1</f>
        <v>2</v>
      </c>
      <c r="J53" s="6">
        <f>-SUMIFS(Daten!M:M,Daten!E:E,"SELL",Daten!H:H,C53)</f>
        <v>0.37</v>
      </c>
      <c r="K53" s="6">
        <f t="shared" si="7"/>
        <v>1.0700000000000012</v>
      </c>
      <c r="L53" s="5" t="str">
        <f t="shared" si="11"/>
        <v>GESCHLOSSEN</v>
      </c>
      <c r="M53">
        <v>0</v>
      </c>
      <c r="N53">
        <v>0</v>
      </c>
      <c r="O53" s="21">
        <f t="shared" si="12"/>
        <v>0</v>
      </c>
      <c r="P53" s="6">
        <f t="shared" si="13"/>
        <v>0</v>
      </c>
      <c r="Q53" s="6">
        <f t="shared" si="14"/>
        <v>0</v>
      </c>
      <c r="R53" s="7">
        <f t="shared" si="15"/>
        <v>0</v>
      </c>
      <c r="S53" s="6">
        <f>IF(L53="GESCHLOSSEN",
H53-G53-I53 + SUMIFS(Daten!K:K,Daten!H:H,C53,Daten!E:E,"DIVIDEND"),
IF(L53="OFFEN",
IF(E53=0,
0,
H53+SUMIFS(Daten!K:K,Daten!H:H,C53,Daten!E:E,"DIVIDEND")-(G53-(F53*M53))-I53
),
""))</f>
        <v>1.4400000000000013</v>
      </c>
      <c r="T53" s="6">
        <f t="shared" si="16"/>
        <v>23.99</v>
      </c>
      <c r="U53" s="26">
        <f>COUNTIFS(Daten!H:H,C53,Daten!E:E,"BUY",Daten!L:L,"&lt;0")</f>
        <v>1</v>
      </c>
      <c r="V53" s="26">
        <f>COUNTIFS(Daten!H:H,C53,Daten!E:E,"SELL",Daten!L:L,"&lt;0")</f>
        <v>1</v>
      </c>
      <c r="W53" s="7">
        <f t="shared" si="17"/>
        <v>6.0025010421008808E-2</v>
      </c>
      <c r="X53" s="7">
        <f t="shared" si="8"/>
        <v>4.4601917465610721E-2</v>
      </c>
    </row>
    <row r="54" spans="1:24" x14ac:dyDescent="0.25">
      <c r="A54" s="9" t="s">
        <v>226</v>
      </c>
      <c r="B54" s="5" t="s">
        <v>32</v>
      </c>
      <c r="C54" s="5" t="s">
        <v>227</v>
      </c>
      <c r="D54" s="5">
        <f>SUMIFS(Daten!I:I,Daten!H:H,C54,Daten!E:E,"BUY")</f>
        <v>7.211239</v>
      </c>
      <c r="E54" s="5">
        <f>-SUMIFS(Daten!I:I,Daten!H:H,C54,Daten!E:E,"SELL")</f>
        <v>7.211239</v>
      </c>
      <c r="F54" s="5">
        <f t="shared" si="10"/>
        <v>0</v>
      </c>
      <c r="G54" s="6">
        <f>-SUMIFS(Daten!K:K,Daten!H:H,C54,Daten!E:E,"BUY")</f>
        <v>115.99000000000001</v>
      </c>
      <c r="H54" s="6">
        <f>SUMIFS(Daten!K:K,Daten!H:H,C54,Daten!E:E,"SELL")</f>
        <v>101.14</v>
      </c>
      <c r="I54" s="6">
        <f>SUMIFS(Daten!L:L,Daten!H:H,C54)*-1</f>
        <v>3</v>
      </c>
      <c r="J54" s="6">
        <f>-SUMIFS(Daten!M:M,Daten!E:E,"SELL",Daten!H:H,C54)</f>
        <v>0</v>
      </c>
      <c r="K54" s="6">
        <f t="shared" si="7"/>
        <v>-17.850000000000009</v>
      </c>
      <c r="L54" s="5" t="str">
        <f t="shared" si="11"/>
        <v>GESCHLOSSEN</v>
      </c>
      <c r="M54">
        <v>0</v>
      </c>
      <c r="N54">
        <v>0</v>
      </c>
      <c r="O54" s="21">
        <f t="shared" si="12"/>
        <v>0</v>
      </c>
      <c r="P54" s="6">
        <f t="shared" si="13"/>
        <v>0</v>
      </c>
      <c r="Q54" s="6">
        <f t="shared" si="14"/>
        <v>0</v>
      </c>
      <c r="R54" s="7">
        <f t="shared" si="15"/>
        <v>0</v>
      </c>
      <c r="S54" s="6">
        <f>IF(L54="GESCHLOSSEN",
H54-G54-I54 + SUMIFS(Daten!K:K,Daten!H:H,C54,Daten!E:E,"DIVIDEND"),
IF(L54="OFFEN",
IF(E54=0,
0,
H54+SUMIFS(Daten!K:K,Daten!H:H,C54,Daten!E:E,"DIVIDEND")-(G54-(F54*M54))-I54
),
""))</f>
        <v>-17.850000000000009</v>
      </c>
      <c r="T54" s="6">
        <f t="shared" si="16"/>
        <v>118.99000000000001</v>
      </c>
      <c r="U54" s="26">
        <f>COUNTIFS(Daten!H:H,C54,Daten!E:E,"BUY",Daten!L:L,"&lt;0")</f>
        <v>1</v>
      </c>
      <c r="V54" s="26">
        <f>COUNTIFS(Daten!H:H,C54,Daten!E:E,"SELL",Daten!L:L,"&lt;0")</f>
        <v>2</v>
      </c>
      <c r="W54" s="7">
        <f t="shared" si="17"/>
        <v>-0.15001260610135311</v>
      </c>
      <c r="X54" s="7">
        <f t="shared" si="8"/>
        <v>-0.15001260610135311</v>
      </c>
    </row>
    <row r="55" spans="1:24" x14ac:dyDescent="0.25">
      <c r="A55" s="9" t="s">
        <v>515</v>
      </c>
      <c r="B55" s="5" t="s">
        <v>32</v>
      </c>
      <c r="C55" s="5" t="s">
        <v>516</v>
      </c>
      <c r="D55" s="5">
        <f>SUMIFS(Daten!I:I,Daten!H:H,C55,Daten!E:E,"BUY")</f>
        <v>74.851702000000003</v>
      </c>
      <c r="E55" s="5">
        <f>-SUMIFS(Daten!I:I,Daten!H:H,C55,Daten!E:E,"SELL")</f>
        <v>0</v>
      </c>
      <c r="F55" s="5">
        <f t="shared" si="10"/>
        <v>74.851702000000003</v>
      </c>
      <c r="G55" s="6">
        <f>-SUMIFS(Daten!K:K,Daten!H:H,C55,Daten!E:E,"BUY")</f>
        <v>825.58000000000015</v>
      </c>
      <c r="H55" s="6">
        <f>SUMIFS(Daten!K:K,Daten!H:H,C55,Daten!E:E,"SELL")</f>
        <v>0</v>
      </c>
      <c r="I55" s="6">
        <f>SUMIFS(Daten!L:L,Daten!H:H,C55)*-1</f>
        <v>8</v>
      </c>
      <c r="J55" s="6">
        <f>-SUMIFS(Daten!M:M,Daten!E:E,"SELL",Daten!H:H,C55)</f>
        <v>0</v>
      </c>
      <c r="K55" s="6">
        <f t="shared" si="7"/>
        <v>-833.58000000000015</v>
      </c>
      <c r="L55" s="5" t="str">
        <f t="shared" si="11"/>
        <v>OFFEN</v>
      </c>
      <c r="M55">
        <v>11.14</v>
      </c>
      <c r="N55">
        <v>8.26</v>
      </c>
      <c r="O55" s="21">
        <f t="shared" si="12"/>
        <v>-215.57290176000004</v>
      </c>
      <c r="P55" s="6">
        <f t="shared" si="13"/>
        <v>618.27505852000002</v>
      </c>
      <c r="Q55" s="6">
        <f t="shared" si="14"/>
        <v>833.84796028000005</v>
      </c>
      <c r="R55" s="7">
        <f t="shared" si="15"/>
        <v>-0.25852782764811494</v>
      </c>
      <c r="S55" s="6">
        <f>IF(L55="GESCHLOSSEN",
H55-G55-I55 + SUMIFS(Daten!K:K,Daten!H:H,C55,Daten!E:E,"DIVIDEND"),
IF(L55="OFFEN",
IF(E55=0,
0,
H55+SUMIFS(Daten!K:K,Daten!H:H,C55,Daten!E:E,"DIVIDEND")-(G55-(F55*M55))-I55
),
""))</f>
        <v>0</v>
      </c>
      <c r="T55" s="6">
        <f t="shared" si="16"/>
        <v>0</v>
      </c>
      <c r="U55" s="26">
        <f>COUNTIFS(Daten!H:H,C55,Daten!E:E,"BUY",Daten!L:L,"&lt;0")</f>
        <v>8</v>
      </c>
      <c r="V55" s="26">
        <f>COUNTIFS(Daten!H:H,C55,Daten!E:E,"SELL",Daten!L:L,"&lt;0")</f>
        <v>0</v>
      </c>
      <c r="W55" s="7">
        <f t="shared" si="17"/>
        <v>0</v>
      </c>
      <c r="X55" s="7">
        <f t="shared" si="8"/>
        <v>-0.26079234172339461</v>
      </c>
    </row>
    <row r="56" spans="1:24" x14ac:dyDescent="0.25">
      <c r="A56" s="9" t="s">
        <v>937</v>
      </c>
      <c r="B56" s="5" t="s">
        <v>32</v>
      </c>
      <c r="C56" s="5" t="s">
        <v>938</v>
      </c>
      <c r="D56" s="5">
        <f>SUMIFS(Daten!I:I,Daten!H:H,C56,Daten!E:E,"BUY")</f>
        <v>63.734862</v>
      </c>
      <c r="E56" s="5">
        <f>-SUMIFS(Daten!I:I,Daten!H:H,C56,Daten!E:E,"SELL")</f>
        <v>63.734862</v>
      </c>
      <c r="F56" s="5">
        <f t="shared" si="10"/>
        <v>0</v>
      </c>
      <c r="G56" s="6">
        <f>-SUMIFS(Daten!K:K,Daten!H:H,C56,Daten!E:E,"BUY")</f>
        <v>200</v>
      </c>
      <c r="H56" s="6">
        <f>SUMIFS(Daten!K:K,Daten!H:H,C56,Daten!E:E,"SELL")</f>
        <v>281.63</v>
      </c>
      <c r="I56" s="6">
        <f>SUMIFS(Daten!L:L,Daten!H:H,C56)*-1</f>
        <v>3</v>
      </c>
      <c r="J56" s="6">
        <f>-SUMIFS(Daten!M:M,Daten!E:E,"SELL",Daten!H:H,C56)</f>
        <v>0</v>
      </c>
      <c r="K56" s="6">
        <f t="shared" si="7"/>
        <v>78.63</v>
      </c>
      <c r="L56" s="5" t="str">
        <f t="shared" si="11"/>
        <v>GESCHLOSSEN</v>
      </c>
      <c r="M56">
        <v>0</v>
      </c>
      <c r="N56">
        <v>0</v>
      </c>
      <c r="O56" s="21">
        <f t="shared" si="12"/>
        <v>0</v>
      </c>
      <c r="P56" s="6">
        <f t="shared" si="13"/>
        <v>0</v>
      </c>
      <c r="Q56" s="6">
        <f t="shared" si="14"/>
        <v>0</v>
      </c>
      <c r="R56" s="7">
        <f t="shared" si="15"/>
        <v>0</v>
      </c>
      <c r="S56" s="6">
        <f>IF(L56="GESCHLOSSEN",
H56-G56-I56 + SUMIFS(Daten!K:K,Daten!H:H,C56,Daten!E:E,"DIVIDEND"),
IF(L56="OFFEN",
IF(E56=0,
0,
H56+SUMIFS(Daten!K:K,Daten!H:H,C56,Daten!E:E,"DIVIDEND")-(G56-(F56*M56))-I56
),
""))</f>
        <v>78.63</v>
      </c>
      <c r="T56" s="6">
        <f t="shared" si="16"/>
        <v>203</v>
      </c>
      <c r="U56" s="26">
        <f>COUNTIFS(Daten!H:H,C56,Daten!E:E,"BUY",Daten!L:L,"&lt;0")</f>
        <v>1</v>
      </c>
      <c r="V56" s="26">
        <f>COUNTIFS(Daten!H:H,C56,Daten!E:E,"SELL",Daten!L:L,"&lt;0")</f>
        <v>2</v>
      </c>
      <c r="W56" s="7">
        <f t="shared" si="17"/>
        <v>0.38733990147783248</v>
      </c>
      <c r="X56" s="7">
        <f t="shared" si="8"/>
        <v>0.38733990147783248</v>
      </c>
    </row>
    <row r="57" spans="1:24" x14ac:dyDescent="0.25">
      <c r="A57" s="9" t="s">
        <v>304</v>
      </c>
      <c r="B57" s="5" t="s">
        <v>32</v>
      </c>
      <c r="C57" s="5" t="s">
        <v>305</v>
      </c>
      <c r="D57" s="5">
        <f>SUMIFS(Daten!I:I,Daten!H:H,C57,Daten!E:E,"BUY")</f>
        <v>50</v>
      </c>
      <c r="E57" s="5">
        <f>-SUMIFS(Daten!I:I,Daten!H:H,C57,Daten!E:E,"SELL")</f>
        <v>50</v>
      </c>
      <c r="F57" s="5">
        <f t="shared" si="10"/>
        <v>0</v>
      </c>
      <c r="G57" s="6">
        <f>-SUMIFS(Daten!K:K,Daten!H:H,C57,Daten!E:E,"BUY")</f>
        <v>17.8</v>
      </c>
      <c r="H57" s="6">
        <f>SUMIFS(Daten!K:K,Daten!H:H,C57,Daten!E:E,"SELL")</f>
        <v>21.1</v>
      </c>
      <c r="I57" s="6">
        <f>SUMIFS(Daten!L:L,Daten!H:H,C57)*-1</f>
        <v>2</v>
      </c>
      <c r="J57" s="6">
        <f>-SUMIFS(Daten!M:M,Daten!E:E,"SELL",Daten!H:H,C57)</f>
        <v>0</v>
      </c>
      <c r="K57" s="6">
        <f t="shared" si="7"/>
        <v>1.3000000000000007</v>
      </c>
      <c r="L57" s="5" t="str">
        <f t="shared" si="11"/>
        <v>GESCHLOSSEN</v>
      </c>
      <c r="M57">
        <v>0</v>
      </c>
      <c r="N57">
        <v>0</v>
      </c>
      <c r="O57" s="21">
        <f t="shared" si="12"/>
        <v>0</v>
      </c>
      <c r="P57" s="6">
        <f t="shared" si="13"/>
        <v>0</v>
      </c>
      <c r="Q57" s="6">
        <f t="shared" si="14"/>
        <v>0</v>
      </c>
      <c r="R57" s="7">
        <f t="shared" si="15"/>
        <v>0</v>
      </c>
      <c r="S57" s="6">
        <f>IF(L57="GESCHLOSSEN",
H57-G57-I57 + SUMIFS(Daten!K:K,Daten!H:H,C57,Daten!E:E,"DIVIDEND"),
IF(L57="OFFEN",
IF(E57=0,
0,
H57+SUMIFS(Daten!K:K,Daten!H:H,C57,Daten!E:E,"DIVIDEND")-(G57-(F57*M57))-I57
),
""))</f>
        <v>1.3000000000000007</v>
      </c>
      <c r="T57" s="6">
        <f t="shared" si="16"/>
        <v>19.8</v>
      </c>
      <c r="U57" s="26">
        <f>COUNTIFS(Daten!H:H,C57,Daten!E:E,"BUY",Daten!L:L,"&lt;0")</f>
        <v>1</v>
      </c>
      <c r="V57" s="26">
        <f>COUNTIFS(Daten!H:H,C57,Daten!E:E,"SELL",Daten!L:L,"&lt;0")</f>
        <v>1</v>
      </c>
      <c r="W57" s="7">
        <f t="shared" si="17"/>
        <v>6.5656565656565691E-2</v>
      </c>
      <c r="X57" s="7">
        <f t="shared" si="8"/>
        <v>6.5656565656565691E-2</v>
      </c>
    </row>
    <row r="58" spans="1:24" x14ac:dyDescent="0.25">
      <c r="A58" s="9" t="s">
        <v>321</v>
      </c>
      <c r="B58" s="5" t="s">
        <v>32</v>
      </c>
      <c r="C58" s="5" t="s">
        <v>322</v>
      </c>
      <c r="D58" s="5">
        <f>SUMIFS(Daten!I:I,Daten!H:H,C58,Daten!E:E,"BUY")</f>
        <v>15.401785</v>
      </c>
      <c r="E58" s="5">
        <f>-SUMIFS(Daten!I:I,Daten!H:H,C58,Daten!E:E,"SELL")</f>
        <v>15.401785</v>
      </c>
      <c r="F58" s="5">
        <f t="shared" si="10"/>
        <v>0</v>
      </c>
      <c r="G58" s="6">
        <f>-SUMIFS(Daten!K:K,Daten!H:H,C58,Daten!E:E,"BUY")</f>
        <v>69</v>
      </c>
      <c r="H58" s="6">
        <f>SUMIFS(Daten!K:K,Daten!H:H,C58,Daten!E:E,"SELL")</f>
        <v>81.63</v>
      </c>
      <c r="I58" s="6">
        <f>SUMIFS(Daten!L:L,Daten!H:H,C58)*-1</f>
        <v>2</v>
      </c>
      <c r="J58" s="6">
        <f>-SUMIFS(Daten!M:M,Daten!E:E,"SELL",Daten!H:H,C58)</f>
        <v>0</v>
      </c>
      <c r="K58" s="6">
        <f t="shared" si="7"/>
        <v>10.629999999999995</v>
      </c>
      <c r="L58" s="5" t="str">
        <f t="shared" si="11"/>
        <v>GESCHLOSSEN</v>
      </c>
      <c r="M58">
        <v>0</v>
      </c>
      <c r="N58">
        <v>0</v>
      </c>
      <c r="O58" s="21">
        <f t="shared" si="12"/>
        <v>0</v>
      </c>
      <c r="P58" s="6">
        <f t="shared" si="13"/>
        <v>0</v>
      </c>
      <c r="Q58" s="6">
        <f t="shared" si="14"/>
        <v>0</v>
      </c>
      <c r="R58" s="7">
        <f t="shared" si="15"/>
        <v>0</v>
      </c>
      <c r="S58" s="6">
        <f>IF(L58="GESCHLOSSEN",
H58-G58-I58 + SUMIFS(Daten!K:K,Daten!H:H,C58,Daten!E:E,"DIVIDEND"),
IF(L58="OFFEN",
IF(E58=0,
0,
H58+SUMIFS(Daten!K:K,Daten!H:H,C58,Daten!E:E,"DIVIDEND")-(G58-(F58*M58))-I58
),
""))</f>
        <v>10.629999999999995</v>
      </c>
      <c r="T58" s="6">
        <f t="shared" si="16"/>
        <v>71</v>
      </c>
      <c r="U58" s="26">
        <f>COUNTIFS(Daten!H:H,C58,Daten!E:E,"BUY",Daten!L:L,"&lt;0")</f>
        <v>1</v>
      </c>
      <c r="V58" s="26">
        <f>COUNTIFS(Daten!H:H,C58,Daten!E:E,"SELL",Daten!L:L,"&lt;0")</f>
        <v>1</v>
      </c>
      <c r="W58" s="7">
        <f t="shared" si="17"/>
        <v>0.14971830985915485</v>
      </c>
      <c r="X58" s="7">
        <f t="shared" si="8"/>
        <v>0.14971830985915485</v>
      </c>
    </row>
    <row r="59" spans="1:24" x14ac:dyDescent="0.25">
      <c r="A59" s="9" t="s">
        <v>308</v>
      </c>
      <c r="B59" s="5" t="s">
        <v>32</v>
      </c>
      <c r="C59" s="5" t="s">
        <v>309</v>
      </c>
      <c r="D59" s="5">
        <f>SUMIFS(Daten!I:I,Daten!H:H,C59,Daten!E:E,"BUY")</f>
        <v>12.345679000000001</v>
      </c>
      <c r="E59" s="5">
        <f>-SUMIFS(Daten!I:I,Daten!H:H,C59,Daten!E:E,"SELL")</f>
        <v>12.345679000000001</v>
      </c>
      <c r="F59" s="5">
        <f t="shared" si="10"/>
        <v>0</v>
      </c>
      <c r="G59" s="6">
        <f>-SUMIFS(Daten!K:K,Daten!H:H,C59,Daten!E:E,"BUY")</f>
        <v>28</v>
      </c>
      <c r="H59" s="6">
        <f>SUMIFS(Daten!K:K,Daten!H:H,C59,Daten!E:E,"SELL")</f>
        <v>33.159999999999997</v>
      </c>
      <c r="I59" s="6">
        <f>SUMIFS(Daten!L:L,Daten!H:H,C59)*-1</f>
        <v>2</v>
      </c>
      <c r="J59" s="6">
        <f>-SUMIFS(Daten!M:M,Daten!E:E,"SELL",Daten!H:H,C59)</f>
        <v>0</v>
      </c>
      <c r="K59" s="6">
        <f t="shared" si="7"/>
        <v>3.1599999999999966</v>
      </c>
      <c r="L59" s="5" t="str">
        <f t="shared" si="11"/>
        <v>GESCHLOSSEN</v>
      </c>
      <c r="M59">
        <v>0</v>
      </c>
      <c r="N59">
        <v>0</v>
      </c>
      <c r="O59" s="21">
        <f t="shared" si="12"/>
        <v>0</v>
      </c>
      <c r="P59" s="6">
        <f t="shared" si="13"/>
        <v>0</v>
      </c>
      <c r="Q59" s="6">
        <f t="shared" si="14"/>
        <v>0</v>
      </c>
      <c r="R59" s="7">
        <f t="shared" si="15"/>
        <v>0</v>
      </c>
      <c r="S59" s="6">
        <f>IF(L59="GESCHLOSSEN",
H59-G59-I59 + SUMIFS(Daten!K:K,Daten!H:H,C59,Daten!E:E,"DIVIDEND"),
IF(L59="OFFEN",
IF(E59=0,
0,
H59+SUMIFS(Daten!K:K,Daten!H:H,C59,Daten!E:E,"DIVIDEND")-(G59-(F59*M59))-I59
),
""))</f>
        <v>3.1599999999999966</v>
      </c>
      <c r="T59" s="6">
        <f t="shared" si="16"/>
        <v>30</v>
      </c>
      <c r="U59" s="26">
        <f>COUNTIFS(Daten!H:H,C59,Daten!E:E,"BUY",Daten!L:L,"&lt;0")</f>
        <v>1</v>
      </c>
      <c r="V59" s="26">
        <f>COUNTIFS(Daten!H:H,C59,Daten!E:E,"SELL",Daten!L:L,"&lt;0")</f>
        <v>1</v>
      </c>
      <c r="W59" s="7">
        <f t="shared" si="17"/>
        <v>0.10533333333333322</v>
      </c>
      <c r="X59" s="7">
        <f t="shared" si="8"/>
        <v>0.10533333333333322</v>
      </c>
    </row>
    <row r="60" spans="1:24" x14ac:dyDescent="0.25">
      <c r="A60" s="9" t="s">
        <v>691</v>
      </c>
      <c r="B60" s="5" t="s">
        <v>32</v>
      </c>
      <c r="C60" s="5" t="s">
        <v>692</v>
      </c>
      <c r="D60" s="5">
        <f>SUMIFS(Daten!I:I,Daten!H:H,C60,Daten!E:E,"BUY")</f>
        <v>19.212295000000001</v>
      </c>
      <c r="E60" s="5">
        <f>-SUMIFS(Daten!I:I,Daten!H:H,C60,Daten!E:E,"SELL")</f>
        <v>19.212295000000001</v>
      </c>
      <c r="F60" s="5">
        <f t="shared" si="10"/>
        <v>0</v>
      </c>
      <c r="G60" s="6">
        <f>-SUMIFS(Daten!K:K,Daten!H:H,C60,Daten!E:E,"BUY")</f>
        <v>200</v>
      </c>
      <c r="H60" s="6">
        <f>SUMIFS(Daten!K:K,Daten!H:H,C60,Daten!E:E,"SELL")</f>
        <v>221.32999999999998</v>
      </c>
      <c r="I60" s="6">
        <f>SUMIFS(Daten!L:L,Daten!H:H,C60)*-1</f>
        <v>2</v>
      </c>
      <c r="J60" s="6">
        <f>-SUMIFS(Daten!M:M,Daten!E:E,"SELL",Daten!H:H,C60)</f>
        <v>0</v>
      </c>
      <c r="K60" s="6">
        <f t="shared" si="7"/>
        <v>19.329999999999984</v>
      </c>
      <c r="L60" s="5" t="str">
        <f t="shared" si="11"/>
        <v>GESCHLOSSEN</v>
      </c>
      <c r="M60">
        <v>0</v>
      </c>
      <c r="N60">
        <v>0</v>
      </c>
      <c r="O60" s="21">
        <f t="shared" si="12"/>
        <v>0</v>
      </c>
      <c r="P60" s="6">
        <f t="shared" si="13"/>
        <v>0</v>
      </c>
      <c r="Q60" s="6">
        <f t="shared" si="14"/>
        <v>0</v>
      </c>
      <c r="R60" s="7">
        <f t="shared" si="15"/>
        <v>0</v>
      </c>
      <c r="S60" s="6">
        <f>IF(L60="GESCHLOSSEN",
H60-G60-I60 + SUMIFS(Daten!K:K,Daten!H:H,C60,Daten!E:E,"DIVIDEND"),
IF(L60="OFFEN",
IF(E60=0,
0,
H60+SUMIFS(Daten!K:K,Daten!H:H,C60,Daten!E:E,"DIVIDEND")-(G60-(F60*M60))-I60
),
""))</f>
        <v>19.329999999999984</v>
      </c>
      <c r="T60" s="6">
        <f t="shared" si="16"/>
        <v>202</v>
      </c>
      <c r="U60" s="26">
        <f>COUNTIFS(Daten!H:H,C60,Daten!E:E,"BUY",Daten!L:L,"&lt;0")</f>
        <v>1</v>
      </c>
      <c r="V60" s="26">
        <f>COUNTIFS(Daten!H:H,C60,Daten!E:E,"SELL",Daten!L:L,"&lt;0")</f>
        <v>1</v>
      </c>
      <c r="W60" s="7">
        <f t="shared" si="17"/>
        <v>9.5693069306930612E-2</v>
      </c>
      <c r="X60" s="7">
        <f t="shared" si="8"/>
        <v>9.5693069306930612E-2</v>
      </c>
    </row>
    <row r="61" spans="1:24" x14ac:dyDescent="0.25">
      <c r="A61" s="9" t="s">
        <v>380</v>
      </c>
      <c r="B61" s="5" t="s">
        <v>32</v>
      </c>
      <c r="C61" s="5" t="s">
        <v>381</v>
      </c>
      <c r="D61" s="5">
        <f>SUMIFS(Daten!I:I,Daten!H:H,C61,Daten!E:E,"BUY")</f>
        <v>7.0017500000000004</v>
      </c>
      <c r="E61" s="5">
        <f>-SUMIFS(Daten!I:I,Daten!H:H,C61,Daten!E:E,"SELL")</f>
        <v>7.0017500000000004</v>
      </c>
      <c r="F61" s="5">
        <f t="shared" si="10"/>
        <v>0</v>
      </c>
      <c r="G61" s="6">
        <f>-SUMIFS(Daten!K:K,Daten!H:H,C61,Daten!E:E,"BUY")</f>
        <v>28</v>
      </c>
      <c r="H61" s="6">
        <f>SUMIFS(Daten!K:K,Daten!H:H,C61,Daten!E:E,"SELL")</f>
        <v>30.310000000000002</v>
      </c>
      <c r="I61" s="6">
        <f>SUMIFS(Daten!L:L,Daten!H:H,C61)*-1</f>
        <v>2</v>
      </c>
      <c r="J61" s="6">
        <f>-SUMIFS(Daten!M:M,Daten!E:E,"SELL",Daten!H:H,C61)</f>
        <v>0</v>
      </c>
      <c r="K61" s="6">
        <f t="shared" si="7"/>
        <v>0.31000000000000227</v>
      </c>
      <c r="L61" s="5" t="str">
        <f t="shared" si="11"/>
        <v>GESCHLOSSEN</v>
      </c>
      <c r="M61">
        <v>0</v>
      </c>
      <c r="N61">
        <v>0</v>
      </c>
      <c r="O61" s="21">
        <f t="shared" si="12"/>
        <v>0</v>
      </c>
      <c r="P61" s="6">
        <f t="shared" si="13"/>
        <v>0</v>
      </c>
      <c r="Q61" s="6">
        <f t="shared" si="14"/>
        <v>0</v>
      </c>
      <c r="R61" s="7">
        <f t="shared" si="15"/>
        <v>0</v>
      </c>
      <c r="S61" s="6">
        <f>IF(L61="GESCHLOSSEN",
H61-G61-I61 + SUMIFS(Daten!K:K,Daten!H:H,C61,Daten!E:E,"DIVIDEND"),
IF(L61="OFFEN",
IF(E61=0,
0,
H61+SUMIFS(Daten!K:K,Daten!H:H,C61,Daten!E:E,"DIVIDEND")-(G61-(F61*M61))-I61
),
""))</f>
        <v>0.31000000000000227</v>
      </c>
      <c r="T61" s="6">
        <f t="shared" si="16"/>
        <v>30</v>
      </c>
      <c r="U61" s="26">
        <f>COUNTIFS(Daten!H:H,C61,Daten!E:E,"BUY",Daten!L:L,"&lt;0")</f>
        <v>1</v>
      </c>
      <c r="V61" s="26">
        <f>COUNTIFS(Daten!H:H,C61,Daten!E:E,"SELL",Daten!L:L,"&lt;0")</f>
        <v>1</v>
      </c>
      <c r="W61" s="7">
        <f t="shared" si="17"/>
        <v>1.033333333333341E-2</v>
      </c>
      <c r="X61" s="7">
        <f t="shared" si="8"/>
        <v>1.033333333333341E-2</v>
      </c>
    </row>
    <row r="62" spans="1:24" x14ac:dyDescent="0.25">
      <c r="A62" s="9" t="s">
        <v>69</v>
      </c>
      <c r="B62" s="5" t="s">
        <v>64</v>
      </c>
      <c r="C62" s="5" t="s">
        <v>69</v>
      </c>
      <c r="D62" s="5">
        <f>SUMIFS(Daten!I:I,Daten!H:H,C62,Daten!E:E,"BUY")</f>
        <v>238.95544699999999</v>
      </c>
      <c r="E62" s="5">
        <f>-SUMIFS(Daten!I:I,Daten!H:H,C62,Daten!E:E,"SELL")</f>
        <v>0</v>
      </c>
      <c r="F62" s="5">
        <f t="shared" si="10"/>
        <v>238.95544699999999</v>
      </c>
      <c r="G62" s="6">
        <f>-SUMIFS(Daten!K:K,Daten!H:H,C62,Daten!E:E,"BUY")</f>
        <v>302.45</v>
      </c>
      <c r="H62" s="6">
        <f>SUMIFS(Daten!K:K,Daten!H:H,C62,Daten!E:E,"SELL")</f>
        <v>0</v>
      </c>
      <c r="I62" s="6">
        <f>SUMIFS(Daten!L:L,Daten!H:H,C62)*-1</f>
        <v>10</v>
      </c>
      <c r="J62" s="6">
        <f>-SUMIFS(Daten!M:M,Daten!E:E,"SELL",Daten!H:H,C62)</f>
        <v>0</v>
      </c>
      <c r="K62" s="6">
        <f t="shared" si="7"/>
        <v>-312.45</v>
      </c>
      <c r="L62" s="5" t="str">
        <f t="shared" si="11"/>
        <v>OFFEN</v>
      </c>
      <c r="M62">
        <v>1.3080000000000001</v>
      </c>
      <c r="N62">
        <v>1.25</v>
      </c>
      <c r="O62" s="21">
        <f t="shared" si="12"/>
        <v>-13.859415925999997</v>
      </c>
      <c r="P62" s="6">
        <f t="shared" si="13"/>
        <v>298.69430875</v>
      </c>
      <c r="Q62" s="6">
        <f t="shared" si="14"/>
        <v>312.553724676</v>
      </c>
      <c r="R62" s="7">
        <f t="shared" si="15"/>
        <v>-4.4342507645259932E-2</v>
      </c>
      <c r="S62" s="6">
        <f>IF(L62="GESCHLOSSEN",
H62-G62-I62 + SUMIFS(Daten!K:K,Daten!H:H,C62,Daten!E:E,"DIVIDEND"),
IF(L62="OFFEN",
IF(E62=0,
0,
H62+SUMIFS(Daten!K:K,Daten!H:H,C62,Daten!E:E,"DIVIDEND")-(G62-(F62*M62))-I62
),
""))</f>
        <v>0</v>
      </c>
      <c r="T62" s="6">
        <f t="shared" si="16"/>
        <v>0</v>
      </c>
      <c r="U62" s="26">
        <f>COUNTIFS(Daten!H:H,C62,Daten!E:E,"BUY",Daten!L:L,"&lt;0")</f>
        <v>10</v>
      </c>
      <c r="V62" s="26">
        <f>COUNTIFS(Daten!H:H,C62,Daten!E:E,"SELL",Daten!L:L,"&lt;0")</f>
        <v>0</v>
      </c>
      <c r="W62" s="7">
        <f t="shared" si="17"/>
        <v>0</v>
      </c>
      <c r="X62" s="7">
        <f t="shared" si="8"/>
        <v>-4.5480877004463495E-2</v>
      </c>
    </row>
    <row r="63" spans="1:24" x14ac:dyDescent="0.25">
      <c r="A63" s="9" t="s">
        <v>1444</v>
      </c>
      <c r="B63" s="5" t="s">
        <v>32</v>
      </c>
      <c r="C63" s="5" t="s">
        <v>1445</v>
      </c>
      <c r="D63" s="5">
        <f>SUMIFS(Daten!I:I,Daten!H:H,C63,Daten!E:E,"BUY")</f>
        <v>8.5034010000000002</v>
      </c>
      <c r="E63" s="5">
        <f>-SUMIFS(Daten!I:I,Daten!H:H,C63,Daten!E:E,"SELL")</f>
        <v>0</v>
      </c>
      <c r="F63" s="5">
        <f t="shared" si="10"/>
        <v>8.5034010000000002</v>
      </c>
      <c r="G63" s="6">
        <f>-SUMIFS(Daten!K:K,Daten!H:H,C63,Daten!E:E,"BUY")</f>
        <v>100</v>
      </c>
      <c r="H63" s="6">
        <f>SUMIFS(Daten!K:K,Daten!H:H,C63,Daten!E:E,"SELL")</f>
        <v>0</v>
      </c>
      <c r="I63" s="6">
        <f>SUMIFS(Daten!L:L,Daten!H:H,C63)*-1</f>
        <v>1</v>
      </c>
      <c r="J63" s="6">
        <f>-SUMIFS(Daten!M:M,Daten!E:E,"SELL",Daten!H:H,C63)</f>
        <v>0</v>
      </c>
      <c r="K63" s="6">
        <f t="shared" si="7"/>
        <v>-101</v>
      </c>
      <c r="L63" s="5" t="str">
        <f t="shared" si="11"/>
        <v>OFFEN</v>
      </c>
      <c r="M63">
        <v>11.88</v>
      </c>
      <c r="N63">
        <v>11.3337</v>
      </c>
      <c r="O63" s="21">
        <f t="shared" si="12"/>
        <v>-4.6454079662999987</v>
      </c>
      <c r="P63" s="6">
        <f t="shared" si="13"/>
        <v>96.374995913700005</v>
      </c>
      <c r="Q63" s="6">
        <f t="shared" si="14"/>
        <v>101.02040388</v>
      </c>
      <c r="R63" s="7">
        <f t="shared" si="15"/>
        <v>-4.5984848484848469E-2</v>
      </c>
      <c r="S63" s="6">
        <f>IF(L63="GESCHLOSSEN",
H63-G63-I63 + SUMIFS(Daten!K:K,Daten!H:H,C63,Daten!E:E,"DIVIDEND"),
IF(L63="OFFEN",
IF(E63=0,
0,
H63+SUMIFS(Daten!K:K,Daten!H:H,C63,Daten!E:E,"DIVIDEND")-(G63-(F63*M63))-I63
),
""))</f>
        <v>0</v>
      </c>
      <c r="T63" s="6">
        <f t="shared" si="16"/>
        <v>0</v>
      </c>
      <c r="U63" s="26">
        <f>COUNTIFS(Daten!H:H,C63,Daten!E:E,"BUY",Daten!L:L,"&lt;0")</f>
        <v>1</v>
      </c>
      <c r="V63" s="26">
        <f>COUNTIFS(Daten!H:H,C63,Daten!E:E,"SELL",Daten!L:L,"&lt;0")</f>
        <v>0</v>
      </c>
      <c r="W63" s="7">
        <f t="shared" si="17"/>
        <v>0</v>
      </c>
      <c r="X63" s="7">
        <f t="shared" si="8"/>
        <v>-4.6250040862999955E-2</v>
      </c>
    </row>
    <row r="72" spans="5:30" x14ac:dyDescent="0.25">
      <c r="E72" s="45" cm="1">
        <f t="array" ref="E72">SUMPRODUCT(
    (Daten!$H$2:$H$10000=C51)*
    (Daten!$E$2:$E$10000="BUY")*
    Daten!$I$2:$I$10000*
    Daten!$J$2:$J$10000
)</f>
        <v>600.06206581999993</v>
      </c>
      <c r="F72" s="5">
        <f>-SUMIFS(Daten!L:L,Daten!H:H,C51,Daten!E:E,"BUY")</f>
        <v>7</v>
      </c>
      <c r="G72" s="44">
        <f>(E72+F72)/D51</f>
        <v>102.74799354192484</v>
      </c>
    </row>
    <row r="73" spans="5:30" x14ac:dyDescent="0.25">
      <c r="E73" s="45" cm="1">
        <f t="array" ref="E73">-SUMPRODUCT(
    (Daten!$H$2:$H$10000=C2)*
    (Daten!$E$2:$E$10000="SELL")*
    Daten!$I$2:$I$10000*
    Daten!$J$2:$J$10000
)</f>
        <v>0</v>
      </c>
      <c r="F73" s="5">
        <f>-SUMIFS(Daten!L:L,Daten!H:H,C2,Daten!E:E,"SELL")</f>
        <v>0</v>
      </c>
      <c r="G73" s="44">
        <f>(E72+F72-E73-F73)/(D2-E2)</f>
        <v>3.7758621485973274</v>
      </c>
      <c r="H73" s="6">
        <f>(E73+F73)/E3</f>
        <v>0</v>
      </c>
    </row>
    <row r="75" spans="5:30" x14ac:dyDescent="0.25">
      <c r="H75" s="44">
        <f>(D3*M3)/F3</f>
        <v>868.48849283571201</v>
      </c>
    </row>
    <row r="77" spans="5:30" x14ac:dyDescent="0.25">
      <c r="AD77" s="19"/>
    </row>
    <row r="78" spans="5:30" x14ac:dyDescent="0.25">
      <c r="AD78" s="19"/>
    </row>
    <row r="83" spans="30:31" x14ac:dyDescent="0.25">
      <c r="AD83" s="1"/>
      <c r="AE83" s="6"/>
    </row>
    <row r="84" spans="30:31" x14ac:dyDescent="0.25">
      <c r="AD84" s="6"/>
      <c r="AE84" s="6"/>
    </row>
    <row r="85" spans="30:31" x14ac:dyDescent="0.25">
      <c r="AD85" s="6"/>
      <c r="AE85" s="6"/>
    </row>
    <row r="86" spans="30:31" x14ac:dyDescent="0.25">
      <c r="AD86" s="6"/>
      <c r="AE86" s="6"/>
    </row>
  </sheetData>
  <autoFilter ref="A1:X63" xr:uid="{00000000-0001-0000-0100-000000000000}"/>
  <sortState xmlns:xlrd2="http://schemas.microsoft.com/office/spreadsheetml/2017/richdata2" ref="A2:AE86">
    <sortCondition ref="A2:A86"/>
  </sortState>
  <conditionalFormatting sqref="O2:O1048576">
    <cfRule type="cellIs" dxfId="8" priority="8" operator="lessThan">
      <formula>0</formula>
    </cfRule>
    <cfRule type="cellIs" dxfId="7" priority="9" operator="greaterThan">
      <formula>0</formula>
    </cfRule>
    <cfRule type="cellIs" dxfId="6" priority="11" operator="greaterThan">
      <formula>0</formula>
    </cfRule>
  </conditionalFormatting>
  <conditionalFormatting sqref="R2:S1048576">
    <cfRule type="cellIs" dxfId="5" priority="3" operator="lessThan">
      <formula>0</formula>
    </cfRule>
    <cfRule type="cellIs" dxfId="4" priority="4" operator="greaterThan">
      <formula>0</formula>
    </cfRule>
  </conditionalFormatting>
  <conditionalFormatting sqref="W2:X1048576">
    <cfRule type="cellIs" dxfId="3" priority="1" operator="lessThan">
      <formula>0</formula>
    </cfRule>
    <cfRule type="cellIs" dxfId="2" priority="2" operator="greater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62F8-DDEC-4765-A976-35CCA92C6851}">
  <dimension ref="A1:E150"/>
  <sheetViews>
    <sheetView topLeftCell="A112" zoomScale="115" zoomScaleNormal="115" workbookViewId="0">
      <selection activeCell="C118" sqref="C118"/>
    </sheetView>
  </sheetViews>
  <sheetFormatPr baseColWidth="10" defaultRowHeight="15.75" x14ac:dyDescent="0.25"/>
  <cols>
    <col min="1" max="1" width="56" style="12" bestFit="1" customWidth="1"/>
    <col min="2" max="2" width="13.5703125" style="11" bestFit="1" customWidth="1"/>
    <col min="3" max="3" width="11.5703125" style="11" bestFit="1" customWidth="1"/>
    <col min="4" max="4" width="12" bestFit="1" customWidth="1"/>
    <col min="5" max="5" width="12.7109375" bestFit="1" customWidth="1"/>
  </cols>
  <sheetData>
    <row r="1" spans="1:3" s="12" customFormat="1" x14ac:dyDescent="0.25">
      <c r="A1" s="10" t="s">
        <v>1254</v>
      </c>
      <c r="B1" s="11"/>
      <c r="C1" s="11"/>
    </row>
    <row r="2" spans="1:3" s="12" customFormat="1" x14ac:dyDescent="0.25">
      <c r="A2" s="10"/>
      <c r="B2" s="11"/>
      <c r="C2" s="11"/>
    </row>
    <row r="3" spans="1:3" s="12" customFormat="1" x14ac:dyDescent="0.25">
      <c r="A3" s="13" t="s">
        <v>1255</v>
      </c>
      <c r="B3" s="11">
        <f>COUNTA(Auswertung!A:A) - 1</f>
        <v>62</v>
      </c>
      <c r="C3" s="15">
        <f>IF(ABS(B3)&gt;0,B3/B3,0)</f>
        <v>1</v>
      </c>
    </row>
    <row r="4" spans="1:3" s="12" customFormat="1" x14ac:dyDescent="0.25">
      <c r="A4" s="13" t="s">
        <v>1287</v>
      </c>
      <c r="B4" s="11">
        <f>COUNTIFS(Auswertung!B:B,"STOCK")</f>
        <v>39</v>
      </c>
      <c r="C4" s="15">
        <f>IF(ABS(B3)&gt;0,B4/B3,0)</f>
        <v>0.62903225806451613</v>
      </c>
    </row>
    <row r="5" spans="1:3" s="12" customFormat="1" x14ac:dyDescent="0.25">
      <c r="A5" s="13" t="s">
        <v>1288</v>
      </c>
      <c r="B5" s="11">
        <f>COUNTIFS(Auswertung!B:B,"FUND")</f>
        <v>14</v>
      </c>
      <c r="C5" s="15">
        <f>IF(ABS(B3)&gt;0,B5/B3,0)</f>
        <v>0.22580645161290322</v>
      </c>
    </row>
    <row r="6" spans="1:3" s="12" customFormat="1" x14ac:dyDescent="0.25">
      <c r="A6" s="13" t="s">
        <v>1289</v>
      </c>
      <c r="B6" s="11">
        <f>COUNTIFS(Auswertung!B:B,"CRYPTO")</f>
        <v>9</v>
      </c>
      <c r="C6" s="15">
        <f>IF(ABS(B3)&gt;0,B6/B3,0)</f>
        <v>0.14516129032258066</v>
      </c>
    </row>
    <row r="7" spans="1:3" s="12" customFormat="1" x14ac:dyDescent="0.25">
      <c r="A7" s="13"/>
      <c r="B7" s="11"/>
      <c r="C7" s="11"/>
    </row>
    <row r="8" spans="1:3" s="12" customFormat="1" x14ac:dyDescent="0.25">
      <c r="A8" s="13" t="s">
        <v>1293</v>
      </c>
      <c r="B8" s="11">
        <f>COUNTIFS(Auswertung!L:L,"OFFEN")</f>
        <v>28</v>
      </c>
      <c r="C8" s="15">
        <f>IF(ABS(B8)&gt;0,B8/B8,0)</f>
        <v>1</v>
      </c>
    </row>
    <row r="9" spans="1:3" s="12" customFormat="1" x14ac:dyDescent="0.25">
      <c r="A9" s="13" t="s">
        <v>1290</v>
      </c>
      <c r="B9" s="11">
        <f>COUNTIFS(Auswertung!B:B,"STOCK",Auswertung!L:L,"OFFEN")</f>
        <v>9</v>
      </c>
      <c r="C9" s="15">
        <f>IF(ABS(B8)&gt;0,B9/B8,0)</f>
        <v>0.32142857142857145</v>
      </c>
    </row>
    <row r="10" spans="1:3" s="12" customFormat="1" x14ac:dyDescent="0.25">
      <c r="A10" s="13" t="s">
        <v>1291</v>
      </c>
      <c r="B10" s="11">
        <f>COUNTIFS(Auswertung!B:B,"FUND",Auswertung!L:L,"OFFEN")</f>
        <v>11</v>
      </c>
      <c r="C10" s="15">
        <f>IF(ABS(B8)&gt;0,B10/B8,0)</f>
        <v>0.39285714285714285</v>
      </c>
    </row>
    <row r="11" spans="1:3" s="12" customFormat="1" x14ac:dyDescent="0.25">
      <c r="A11" s="13" t="s">
        <v>1292</v>
      </c>
      <c r="B11" s="11">
        <f>COUNTIFS(Auswertung!B:B,"CRYPTO",Auswertung!L:L,"OFFEN")</f>
        <v>8</v>
      </c>
      <c r="C11" s="15">
        <f>IF(ABS(B8)&gt;0,B11/B8,0)</f>
        <v>0.2857142857142857</v>
      </c>
    </row>
    <row r="12" spans="1:3" s="12" customFormat="1" x14ac:dyDescent="0.25">
      <c r="A12" s="13"/>
      <c r="B12" s="11"/>
      <c r="C12" s="11"/>
    </row>
    <row r="13" spans="1:3" s="12" customFormat="1" x14ac:dyDescent="0.25">
      <c r="A13" s="13" t="s">
        <v>1294</v>
      </c>
      <c r="B13" s="11">
        <f>COUNTIFS(Auswertung!L:L,"GESCHLOSSEN")</f>
        <v>34</v>
      </c>
      <c r="C13" s="11"/>
    </row>
    <row r="14" spans="1:3" s="12" customFormat="1" x14ac:dyDescent="0.25">
      <c r="A14" s="13" t="s">
        <v>1295</v>
      </c>
      <c r="B14" s="11">
        <f>COUNTIFS(Auswertung!B:B,"STOCK",Auswertung!L:L,"GESCHLOSSEN")</f>
        <v>30</v>
      </c>
      <c r="C14" s="11"/>
    </row>
    <row r="15" spans="1:3" s="12" customFormat="1" x14ac:dyDescent="0.25">
      <c r="A15" s="13" t="s">
        <v>1296</v>
      </c>
      <c r="B15" s="11">
        <f>COUNTIFS(Auswertung!B:B,"FUND",Auswertung!L:L,"GESCHLOSSEN")</f>
        <v>3</v>
      </c>
      <c r="C15" s="11"/>
    </row>
    <row r="16" spans="1:3" s="12" customFormat="1" x14ac:dyDescent="0.25">
      <c r="A16" s="13" t="s">
        <v>1297</v>
      </c>
      <c r="B16" s="11">
        <f>COUNTIFS(Auswertung!B:B,"CRYPTO",Auswertung!L:L,"GESCHLOSSEN")</f>
        <v>1</v>
      </c>
      <c r="C16" s="11"/>
    </row>
    <row r="17" spans="1:5" s="12" customFormat="1" x14ac:dyDescent="0.25">
      <c r="A17" s="13"/>
      <c r="B17" s="11"/>
      <c r="C17" s="11"/>
    </row>
    <row r="18" spans="1:5" s="12" customFormat="1" x14ac:dyDescent="0.25">
      <c r="A18" s="13" t="s">
        <v>1372</v>
      </c>
      <c r="B18" s="14">
        <f>SUM(Auswertung!G:G)-SUMIFS(Daten!L:L,Daten!E:E,"BUY")</f>
        <v>25883.05385569053</v>
      </c>
      <c r="C18" s="11"/>
      <c r="D18" s="22">
        <f>-SUMIFS(Daten!K:K,Daten!E:E,"BUY")-SUMIFS(Daten!L:L,Daten!E:E,"BUY")</f>
        <v>25776.53</v>
      </c>
    </row>
    <row r="19" spans="1:5" s="12" customFormat="1" x14ac:dyDescent="0.25">
      <c r="A19" s="13" t="s">
        <v>1373</v>
      </c>
      <c r="B19" s="14">
        <f>SUMIFS(Auswertung!G:G,Auswertung!B:B,"STOCK")+SUMIFS(Auswertung!G:G,Auswertung!B:B,"FUND")-SUMIFS(Daten!L:L,Daten!E:E,"BUY",Daten!F:F,"STOCK")-SUMIFS(Daten!L:L,Daten!E:E,"BUY",Daten!F:F,"FUND")</f>
        <v>23457.259999999995</v>
      </c>
      <c r="C19" s="15">
        <f>IF(ABS(B18)&gt;0,B19/B18,0)</f>
        <v>0.90627868453176319</v>
      </c>
      <c r="D19" s="22">
        <f>-SUMIFS(Daten!K:K,Daten!F:F,"STOCK",Daten!E:E,"BUY")-SUMIFS(Daten!K:K,Daten!F:F,"FUND",Daten!E:E,"BUY")-SUMIFS(Daten!L:L,Daten!E:E,"BUY",Daten!F:F,"STOCK")-SUMIFS(Daten!L:L,Daten!E:E,"BUY",Daten!F:F,"FUND")</f>
        <v>23457.259999999995</v>
      </c>
    </row>
    <row r="20" spans="1:5" s="12" customFormat="1" x14ac:dyDescent="0.25">
      <c r="A20" s="13" t="s">
        <v>1374</v>
      </c>
      <c r="B20" s="14">
        <f>SUMIFS(Auswertung!G:G,Auswertung!B:B,"STOCK")-SUMIFS(Daten!L:L,Daten!E:E,"BUY",Daten!F:F,"STOCK")</f>
        <v>13755.089999999997</v>
      </c>
      <c r="C20" s="15">
        <f>IF(ABS(B18)&gt;0,B20/B18,0)</f>
        <v>0.53143226748631378</v>
      </c>
      <c r="D20" s="22">
        <f>-SUMIFS(Daten!K:K,Daten!F:F,"STOCK",Daten!E:E,"BUY")-SUMIFS(Daten!L:L,Daten!E:E,"BUY",Daten!F:F,"STOCK")</f>
        <v>13755.089999999998</v>
      </c>
    </row>
    <row r="21" spans="1:5" s="12" customFormat="1" x14ac:dyDescent="0.25">
      <c r="A21" s="13" t="s">
        <v>1375</v>
      </c>
      <c r="B21" s="14">
        <f>SUMIFS(Auswertung!G:G,Auswertung!B:B,"FUND")-SUMIFS(Daten!L:L,Daten!E:E,"BUY",Daten!F:F,"FUND")</f>
        <v>9702.17</v>
      </c>
      <c r="C21" s="15">
        <f>IF(ABS(B18)&gt;0,B21/B18,0)</f>
        <v>0.37484641704544941</v>
      </c>
      <c r="D21" s="22">
        <f>-SUMIFS(Daten!K:K,Daten!F:F,"FUND",Daten!E:E,"BUY")-SUMIFS(Daten!L:L,Daten!E:E,"BUY",Daten!F:F,"FUND")</f>
        <v>9702.1699999999983</v>
      </c>
    </row>
    <row r="22" spans="1:5" s="12" customFormat="1" x14ac:dyDescent="0.25">
      <c r="A22" s="13" t="s">
        <v>1376</v>
      </c>
      <c r="B22" s="14">
        <f>SUMIFS(Auswertung!G:G,Auswertung!B:B,"CRYPTO")-SUMIFS(Daten!L:L,Daten!E:E,"BUY",Daten!F:F,"CRYPTO")</f>
        <v>2319.27</v>
      </c>
      <c r="C22" s="15">
        <f>IF(ABS(B18)&gt;0,B22/B18,0)</f>
        <v>8.9605732497059887E-2</v>
      </c>
      <c r="D22" s="22">
        <f>-SUMIFS(Daten!K:K,Daten!F:F,"CRYPTO",Daten!E:E,"BUY")-SUMIFS(Daten!L:L,Daten!E:E,"BUY",Daten!F:F,"CRYPTO")</f>
        <v>2319.27</v>
      </c>
    </row>
    <row r="23" spans="1:5" s="12" customFormat="1" x14ac:dyDescent="0.25">
      <c r="A23" s="13"/>
      <c r="B23" s="14"/>
      <c r="C23" s="15"/>
      <c r="D23" s="22"/>
    </row>
    <row r="24" spans="1:5" s="12" customFormat="1" x14ac:dyDescent="0.25">
      <c r="A24" s="13" t="s">
        <v>1377</v>
      </c>
      <c r="B24" s="14">
        <f>SUM(Auswertung!G:G)</f>
        <v>25656.05385569053</v>
      </c>
      <c r="C24" s="15"/>
      <c r="D24" s="22">
        <f>-SUMIFS(Daten!K:K,Daten!E:E,"BUY")</f>
        <v>25549.53</v>
      </c>
    </row>
    <row r="25" spans="1:5" s="12" customFormat="1" x14ac:dyDescent="0.25">
      <c r="A25" s="13" t="s">
        <v>1378</v>
      </c>
      <c r="B25" s="14">
        <f>SUMIFS(Auswertung!G:G,Auswertung!B:B,"STOCK")+SUMIFS(Auswertung!G:G,Auswertung!B:B,"FUND")</f>
        <v>23272.259999999995</v>
      </c>
      <c r="C25" s="15">
        <f>IF(ABS(B24)&gt;0,B25/B24,0)</f>
        <v>0.90708649626716431</v>
      </c>
      <c r="D25" s="22">
        <f>-SUMIFS(Daten!K:K,Daten!F:F,"STOCK",Daten!E:E,"BUY")-SUMIFS(Daten!K:K,Daten!F:F,"FUND",Daten!E:E,"BUY")</f>
        <v>23272.259999999995</v>
      </c>
    </row>
    <row r="26" spans="1:5" s="12" customFormat="1" x14ac:dyDescent="0.25">
      <c r="A26" s="13" t="s">
        <v>1379</v>
      </c>
      <c r="B26" s="14">
        <f>SUMIFS(Auswertung!G:G,Auswertung!B:B,"STOCK")</f>
        <v>13622.089999999997</v>
      </c>
      <c r="C26" s="15">
        <f>IF(ABS(B24)&gt;0,B26/B24,0)</f>
        <v>0.53095031982007657</v>
      </c>
      <c r="D26" s="22">
        <f>-SUMIFS(Daten!K:K,Daten!F:F,"STOCK",Daten!E:E,"BUY")</f>
        <v>13622.089999999998</v>
      </c>
    </row>
    <row r="27" spans="1:5" s="12" customFormat="1" x14ac:dyDescent="0.25">
      <c r="A27" s="13" t="s">
        <v>1380</v>
      </c>
      <c r="B27" s="14">
        <f>SUMIFS(Auswertung!G:G,Auswertung!B:B,"FUND")</f>
        <v>9650.17</v>
      </c>
      <c r="C27" s="15">
        <f>IF(ABS(B24)&gt;0,B27/B24,0)</f>
        <v>0.3761361764470878</v>
      </c>
      <c r="D27" s="22">
        <f>-SUMIFS(Daten!K:K,Daten!F:F,"FUND",Daten!E:E,"BUY")</f>
        <v>9650.1699999999983</v>
      </c>
    </row>
    <row r="28" spans="1:5" s="12" customFormat="1" x14ac:dyDescent="0.25">
      <c r="A28" s="13" t="s">
        <v>1381</v>
      </c>
      <c r="B28" s="14">
        <f>SUMIFS(Auswertung!G:G,Auswertung!B:B,"CRYPTO")</f>
        <v>2277.27</v>
      </c>
      <c r="C28" s="15">
        <f>IF(ABS(B24)&gt;0,B28/B24,0)</f>
        <v>8.8761506847823357E-2</v>
      </c>
      <c r="D28" s="22">
        <f>-SUMIFS(Daten!K:K,Daten!F:F,"CRYPTO",Daten!E:E,"BUY")</f>
        <v>2277.27</v>
      </c>
    </row>
    <row r="29" spans="1:5" s="12" customFormat="1" x14ac:dyDescent="0.25">
      <c r="A29" s="13"/>
      <c r="B29" s="14"/>
      <c r="C29" s="11"/>
    </row>
    <row r="30" spans="1:5" s="12" customFormat="1" x14ac:dyDescent="0.25">
      <c r="A30" s="13" t="s">
        <v>1386</v>
      </c>
      <c r="B30" s="14">
        <f>SUM(Auswertung!H:H)-SUMIFS(Daten!L:L,Daten!E:E,"SELL")</f>
        <v>16730.788492835713</v>
      </c>
      <c r="C30" s="11"/>
      <c r="D30" s="22">
        <f>SUMIFS(Daten!K:K,Daten!E:E,"SELL")-SUMIFS(Daten!L:L,Daten!E:E,"SELL")</f>
        <v>15862.300000000003</v>
      </c>
      <c r="E30" s="22"/>
    </row>
    <row r="31" spans="1:5" s="12" customFormat="1" x14ac:dyDescent="0.25">
      <c r="A31" s="13" t="s">
        <v>1382</v>
      </c>
      <c r="B31" s="14">
        <f>SUMIFS(Auswertung!H:H,Auswertung!B:B,"STOCK")+SUMIFS(Auswertung!H:H,Auswertung!B:B,"FUND")-SUMIFS(Daten!L:L,Daten!E:E,"SELL",Daten!F:F,"STOCK")-SUMIFS(Daten!L:L,Daten!E:E,"SELL",Daten!F:F,"FUND")</f>
        <v>14446.259999999998</v>
      </c>
      <c r="C31" s="15">
        <f>IF(ABS(B30)&gt;0,B31/B30,0)</f>
        <v>0.86345362659901104</v>
      </c>
      <c r="D31" s="22">
        <f>SUMIFS(Daten!K:K,Daten!F:F,"STOCK",Daten!E:E,"SELL")+SUMIFS(Daten!K:K,Daten!F:F,"FUND",Daten!E:E,"SELL")-SUMIFS(Daten!L:L,Daten!E:E,"SELL",Daten!F:F,"STOCK")-SUMIFS(Daten!L:L,Daten!E:E,"SELL",Daten!F:F,"FUND")</f>
        <v>14446.259999999998</v>
      </c>
      <c r="E31" s="22"/>
    </row>
    <row r="32" spans="1:5" s="12" customFormat="1" x14ac:dyDescent="0.25">
      <c r="A32" s="13" t="s">
        <v>1383</v>
      </c>
      <c r="B32" s="14">
        <f>SUMIFS(Auswertung!H:H,Auswertung!B:B,"STOCK")-SUMIFS(Daten!L:L,Daten!E:E,"SELL",Daten!F:F,"STOCK")</f>
        <v>10544.709999999997</v>
      </c>
      <c r="C32" s="15">
        <f>IF(ABS(B30)&gt;0,B32/B30,0)</f>
        <v>0.63025780312238988</v>
      </c>
      <c r="D32" s="22">
        <f>SUMIFS(Daten!K:K,Daten!F:F,"STOCK",Daten!E:E,"SELL")-SUMIFS(Daten!L:L,Daten!E:E,"SELL",Daten!F:F,"STOCK")</f>
        <v>10544.71</v>
      </c>
    </row>
    <row r="33" spans="1:4" s="12" customFormat="1" x14ac:dyDescent="0.25">
      <c r="A33" s="13" t="s">
        <v>1384</v>
      </c>
      <c r="B33" s="14">
        <f>SUMIFS(Auswertung!H:H,Auswertung!B:B,"FUND")-SUMIFS(Daten!L:L,Daten!E:E,"SELL",Daten!F:F,"FUND")</f>
        <v>3901.55</v>
      </c>
      <c r="C33" s="15">
        <f>IF(ABS(B30)&gt;0,B33/B30,0)</f>
        <v>0.2331958234766211</v>
      </c>
      <c r="D33" s="22">
        <f>SUMIFS(Daten!K:K,Daten!F:F,"FUND",Daten!E:E,"SELL")-SUMIFS(Daten!L:L,Daten!E:E,"SELL",Daten!F:F,"FUND")</f>
        <v>3901.55</v>
      </c>
    </row>
    <row r="34" spans="1:4" s="12" customFormat="1" x14ac:dyDescent="0.25">
      <c r="A34" s="13" t="s">
        <v>1385</v>
      </c>
      <c r="B34" s="14">
        <f>SUMIFS(Auswertung!H:H,Auswertung!B:B,"CRYPTO")-SUMIFS(Daten!L:L,Daten!E:E,"SELL",Daten!F:F,"CRYPTO")</f>
        <v>1416.04</v>
      </c>
      <c r="C34" s="15">
        <f>IF(ABS(B30)&gt;0,B33/B30,0)</f>
        <v>0.2331958234766211</v>
      </c>
      <c r="D34" s="22">
        <f>SUMIFS(Daten!K:K,Daten!F:F,"CRYPTO",Daten!E:E,"SELL")-SUMIFS(Daten!L:L,Daten!E:E,"SELL",Daten!F:F,"CRYPTO")</f>
        <v>1416.04</v>
      </c>
    </row>
    <row r="35" spans="1:4" s="12" customFormat="1" x14ac:dyDescent="0.25">
      <c r="A35" s="13"/>
      <c r="B35" s="14"/>
      <c r="C35" s="15"/>
      <c r="D35" s="22"/>
    </row>
    <row r="36" spans="1:4" s="12" customFormat="1" x14ac:dyDescent="0.25">
      <c r="A36" s="13" t="s">
        <v>1387</v>
      </c>
      <c r="B36" s="14">
        <f>SUM(Auswertung!H:H)</f>
        <v>16659.788492835713</v>
      </c>
      <c r="C36" s="15"/>
      <c r="D36" s="22">
        <f>SUMIFS(Daten!K:K,Daten!E:E,"SELL")</f>
        <v>15791.300000000003</v>
      </c>
    </row>
    <row r="37" spans="1:4" s="12" customFormat="1" x14ac:dyDescent="0.25">
      <c r="A37" s="13" t="s">
        <v>1388</v>
      </c>
      <c r="B37" s="14">
        <f>SUMIFS(Auswertung!H:H,Auswertung!B:B,"STOCK")+SUMIFS(Auswertung!H:H,Auswertung!B:B,"FUND")</f>
        <v>14379.259999999998</v>
      </c>
      <c r="C37" s="15">
        <f>IF(ABS(B36)&gt;0,B37/B36,0)</f>
        <v>0.86311179797892268</v>
      </c>
      <c r="D37" s="22">
        <f>SUMIFS(Daten!K:K,Daten!F:F,"STOCK",Daten!E:E,"SELL")+SUMIFS(Daten!K:K,Daten!F:F,"FUND",Daten!E:E,"SELL")</f>
        <v>14379.259999999998</v>
      </c>
    </row>
    <row r="38" spans="1:4" s="12" customFormat="1" x14ac:dyDescent="0.25">
      <c r="A38" s="13" t="s">
        <v>1389</v>
      </c>
      <c r="B38" s="14">
        <f>SUMIFS(Auswertung!H:H,Auswertung!B:B,"STOCK")</f>
        <v>10485.709999999997</v>
      </c>
      <c r="C38" s="15">
        <f>IF(ABS(B36)&gt;0,B38/B36,0)</f>
        <v>0.62940234832568354</v>
      </c>
      <c r="D38" s="22">
        <f>SUMIFS(Daten!K:K,Daten!F:F,"STOCK",Daten!E:E,"SELL")</f>
        <v>10485.709999999999</v>
      </c>
    </row>
    <row r="39" spans="1:4" s="12" customFormat="1" x14ac:dyDescent="0.25">
      <c r="A39" s="13" t="s">
        <v>1390</v>
      </c>
      <c r="B39" s="14">
        <f>SUMIFS(Auswertung!H:H,Auswertung!B:B,"FUND")</f>
        <v>3893.55</v>
      </c>
      <c r="C39" s="15">
        <f>IF(ABS(B36)&gt;0,B39/B36,0)</f>
        <v>0.23370944965323912</v>
      </c>
      <c r="D39" s="22">
        <f>SUMIFS(Daten!K:K,Daten!F:F,"FUND",Daten!E:E,"SELL")</f>
        <v>3893.55</v>
      </c>
    </row>
    <row r="40" spans="1:4" s="12" customFormat="1" x14ac:dyDescent="0.25">
      <c r="A40" s="13" t="s">
        <v>1391</v>
      </c>
      <c r="B40" s="14">
        <f>SUMIFS(Auswertung!H:H,Auswertung!B:B,"CRYPTO")</f>
        <v>1412.04</v>
      </c>
      <c r="C40" s="15">
        <f>IF(ABS(B36)&gt;0,B40/B36,0)</f>
        <v>8.4757378558991084E-2</v>
      </c>
      <c r="D40" s="22">
        <f>SUMIFS(Daten!K:K,Daten!F:F,"CRYPTO",Daten!E:E,"SELL")</f>
        <v>1412.04</v>
      </c>
    </row>
    <row r="41" spans="1:4" s="12" customFormat="1" x14ac:dyDescent="0.25">
      <c r="A41" s="13"/>
      <c r="B41" s="14"/>
      <c r="C41" s="11"/>
    </row>
    <row r="42" spans="1:4" s="12" customFormat="1" x14ac:dyDescent="0.25">
      <c r="A42" s="13" t="s">
        <v>1256</v>
      </c>
      <c r="B42" s="14">
        <f>SUM(Auswertung!I:I)</f>
        <v>298</v>
      </c>
      <c r="C42" s="14">
        <f>-SUM(Daten!L:L)</f>
        <v>298</v>
      </c>
      <c r="D42" s="23"/>
    </row>
    <row r="43" spans="1:4" s="12" customFormat="1" x14ac:dyDescent="0.25">
      <c r="A43" s="13" t="s">
        <v>1366</v>
      </c>
      <c r="B43" s="14">
        <f>SUMIFS(Auswertung!I:I,Auswertung!B:B,"STOCK")+SUMIFS(Auswertung!I:I,Auswertung!B:B,"FUND")</f>
        <v>252</v>
      </c>
      <c r="C43" s="14">
        <f xml:space="preserve"> -SUMIFS(Daten!L:L,Daten!F:F,"STOCK")-SUMIFS(Daten!L:L,Daten!F:F,"FUND")</f>
        <v>252</v>
      </c>
      <c r="D43" s="23">
        <f>IF(ABS(C42)&gt;0,C43/C42,0)</f>
        <v>0.84563758389261745</v>
      </c>
    </row>
    <row r="44" spans="1:4" s="12" customFormat="1" x14ac:dyDescent="0.25">
      <c r="A44" s="13" t="s">
        <v>1301</v>
      </c>
      <c r="B44" s="14">
        <f>SUMIFS(Auswertung!I:I,Auswertung!B:B,"STOCK")</f>
        <v>192</v>
      </c>
      <c r="C44" s="14">
        <f xml:space="preserve"> -SUMIFS(Daten!L:L,Daten!F:F,"STOCK")</f>
        <v>192</v>
      </c>
      <c r="D44" s="23">
        <f>IF(ABS(C42)&gt;0,C44/C42,0)</f>
        <v>0.64429530201342278</v>
      </c>
    </row>
    <row r="45" spans="1:4" s="12" customFormat="1" x14ac:dyDescent="0.25">
      <c r="A45" s="13" t="s">
        <v>1302</v>
      </c>
      <c r="B45" s="14">
        <f>SUMIFS(Auswertung!I:I,Auswertung!B:B,"FUND")</f>
        <v>60</v>
      </c>
      <c r="C45" s="14">
        <f xml:space="preserve"> -SUMIFS(Daten!L:L,Daten!F:F,"FUND")</f>
        <v>60</v>
      </c>
      <c r="D45" s="23">
        <f>IF(ABS(C42)&gt;0,C45/C42,0)</f>
        <v>0.20134228187919462</v>
      </c>
    </row>
    <row r="46" spans="1:4" s="12" customFormat="1" x14ac:dyDescent="0.25">
      <c r="A46" s="13" t="s">
        <v>1303</v>
      </c>
      <c r="B46" s="14">
        <f>SUMIFS(Auswertung!I:I,Auswertung!B:B,"CRYPTO")</f>
        <v>46</v>
      </c>
      <c r="C46" s="14">
        <f xml:space="preserve"> -SUMIFS(Daten!L:L,Daten!F:F,"CRYPTO")</f>
        <v>46</v>
      </c>
      <c r="D46" s="23">
        <f>IF(ABS(C42)&gt;0,C46/C42,0)</f>
        <v>0.15436241610738255</v>
      </c>
    </row>
    <row r="47" spans="1:4" s="12" customFormat="1" x14ac:dyDescent="0.25">
      <c r="A47" s="13"/>
      <c r="B47" s="14"/>
      <c r="C47" s="11"/>
    </row>
    <row r="48" spans="1:4" s="12" customFormat="1" x14ac:dyDescent="0.25">
      <c r="A48" s="13" t="s">
        <v>1350</v>
      </c>
      <c r="B48" s="14">
        <f xml:space="preserve"> -SUMIFS(Daten!L:L,Daten!E:E,"BUY")</f>
        <v>227</v>
      </c>
      <c r="C48" s="11"/>
    </row>
    <row r="49" spans="1:3" s="12" customFormat="1" x14ac:dyDescent="0.25">
      <c r="A49" s="13" t="s">
        <v>1367</v>
      </c>
      <c r="B49" s="14">
        <f xml:space="preserve"> -SUMIFS(Daten!L:L,Daten!E:E,"BUY",Daten!F:F,"STOCK")-SUMIFS(Daten!L:L,Daten!E:E,"BUY",Daten!F:F,"FUND")</f>
        <v>185</v>
      </c>
      <c r="C49" s="15">
        <f>IF(ABS(B48)&gt;0,B49/B48,0)</f>
        <v>0.81497797356828194</v>
      </c>
    </row>
    <row r="50" spans="1:3" s="12" customFormat="1" x14ac:dyDescent="0.25">
      <c r="A50" s="13" t="s">
        <v>1351</v>
      </c>
      <c r="B50" s="14">
        <f xml:space="preserve"> -SUMIFS(Daten!L:L,Daten!E:E,"BUY",Daten!F:F,"STOCK")</f>
        <v>133</v>
      </c>
      <c r="C50" s="15">
        <f>IF(ABS(B48)&gt;0,B50/B48,0)</f>
        <v>0.58590308370044053</v>
      </c>
    </row>
    <row r="51" spans="1:3" s="12" customFormat="1" x14ac:dyDescent="0.25">
      <c r="A51" s="13" t="s">
        <v>1352</v>
      </c>
      <c r="B51" s="14">
        <f xml:space="preserve"> -SUMIFS(Daten!L:L,Daten!E:E,"BUY",Daten!F:F,"FUND")</f>
        <v>52</v>
      </c>
      <c r="C51" s="15">
        <f>IF(ABS(B48)&gt;0,B51/B48,0)</f>
        <v>0.22907488986784141</v>
      </c>
    </row>
    <row r="52" spans="1:3" s="12" customFormat="1" x14ac:dyDescent="0.25">
      <c r="A52" s="13" t="s">
        <v>1353</v>
      </c>
      <c r="B52" s="14">
        <f xml:space="preserve"> -SUMIFS(Daten!L:L,Daten!E:E,"BUY",Daten!F:F,"CRYPTO")</f>
        <v>42</v>
      </c>
      <c r="C52" s="15">
        <f>IF(ABS(B48)&gt;0,B52/B48,0)</f>
        <v>0.18502202643171806</v>
      </c>
    </row>
    <row r="53" spans="1:3" s="12" customFormat="1" x14ac:dyDescent="0.25">
      <c r="A53" s="13"/>
      <c r="B53" s="14"/>
      <c r="C53" s="11"/>
    </row>
    <row r="54" spans="1:3" s="12" customFormat="1" x14ac:dyDescent="0.25">
      <c r="A54" s="13" t="s">
        <v>1355</v>
      </c>
      <c r="B54" s="14">
        <f xml:space="preserve"> -SUMIFS(Daten!L:L,Daten!E:E,"SELL")</f>
        <v>71</v>
      </c>
      <c r="C54" s="15"/>
    </row>
    <row r="55" spans="1:3" s="12" customFormat="1" x14ac:dyDescent="0.25">
      <c r="A55" s="13" t="s">
        <v>1368</v>
      </c>
      <c r="B55" s="14">
        <f xml:space="preserve"> -SUMIFS(Daten!L:L,Daten!E:E,"SELL",Daten!F:F,"STOCK")-SUMIFS(Daten!L:L,Daten!E:E,"SELL",Daten!F:F,"FUND")</f>
        <v>67</v>
      </c>
      <c r="C55" s="15">
        <f>IF(ABS(B54)&gt;0,B55/B54,0)</f>
        <v>0.94366197183098588</v>
      </c>
    </row>
    <row r="56" spans="1:3" s="12" customFormat="1" x14ac:dyDescent="0.25">
      <c r="A56" s="13" t="s">
        <v>1354</v>
      </c>
      <c r="B56" s="14">
        <f xml:space="preserve"> -SUMIFS(Daten!L:L,Daten!E:E,"SELL",Daten!F:F,"STOCK")</f>
        <v>59</v>
      </c>
      <c r="C56" s="15">
        <f>IF(ABS(B54)&gt;0,B56/B54,0)</f>
        <v>0.83098591549295775</v>
      </c>
    </row>
    <row r="57" spans="1:3" s="12" customFormat="1" x14ac:dyDescent="0.25">
      <c r="A57" s="13" t="s">
        <v>1356</v>
      </c>
      <c r="B57" s="14">
        <f xml:space="preserve"> -SUMIFS(Daten!L:L,Daten!E:E,"SELL",Daten!F:F,"FUND")</f>
        <v>8</v>
      </c>
      <c r="C57" s="15">
        <f>IF(ABS(B54)&gt;0,B57/B54,0)</f>
        <v>0.11267605633802817</v>
      </c>
    </row>
    <row r="58" spans="1:3" s="12" customFormat="1" x14ac:dyDescent="0.25">
      <c r="A58" s="13" t="s">
        <v>1357</v>
      </c>
      <c r="B58" s="14">
        <f xml:space="preserve"> -SUMIFS(Daten!L:L,Daten!E:E,"SELL",Daten!F:F,"CRYPTO")</f>
        <v>4</v>
      </c>
      <c r="C58" s="15">
        <f>IF(ABS(B54)&gt;0,B58/B54,0)</f>
        <v>5.6338028169014086E-2</v>
      </c>
    </row>
    <row r="59" spans="1:3" s="12" customFormat="1" x14ac:dyDescent="0.25">
      <c r="A59" s="13"/>
      <c r="B59" s="14"/>
      <c r="C59" s="15"/>
    </row>
    <row r="60" spans="1:3" s="12" customFormat="1" x14ac:dyDescent="0.25">
      <c r="A60" s="13" t="s">
        <v>1397</v>
      </c>
      <c r="B60" s="29">
        <f xml:space="preserve"> SUM(Auswertung!U:U)</f>
        <v>227</v>
      </c>
      <c r="C60" s="15"/>
    </row>
    <row r="61" spans="1:3" s="12" customFormat="1" x14ac:dyDescent="0.25">
      <c r="A61" s="13" t="s">
        <v>1398</v>
      </c>
      <c r="B61" s="29">
        <f xml:space="preserve"> SUMIFS(Auswertung!U:U,Auswertung!B:B,"STOCK")+SUMIFS(Auswertung!U:U,Auswertung!B:B,"FUND")</f>
        <v>185</v>
      </c>
      <c r="C61" s="15">
        <f>IF(ABS(B60)&gt;0,B61/B60,0)</f>
        <v>0.81497797356828194</v>
      </c>
    </row>
    <row r="62" spans="1:3" s="12" customFormat="1" x14ac:dyDescent="0.25">
      <c r="A62" s="13" t="s">
        <v>1399</v>
      </c>
      <c r="B62" s="29">
        <f>SUMIFS(Auswertung!U:U,Auswertung!B:B,"STOCK")</f>
        <v>133</v>
      </c>
      <c r="C62" s="15">
        <f>IF(ABS(B60)&gt;0,B62/B60,0)</f>
        <v>0.58590308370044053</v>
      </c>
    </row>
    <row r="63" spans="1:3" s="12" customFormat="1" x14ac:dyDescent="0.25">
      <c r="A63" s="13" t="s">
        <v>1400</v>
      </c>
      <c r="B63" s="29">
        <f>SUMIFS(Auswertung!U:U,Auswertung!B:B,"FUND")</f>
        <v>52</v>
      </c>
      <c r="C63" s="15">
        <f>IF(ABS(B60)&gt;0,B63/B60,0)</f>
        <v>0.22907488986784141</v>
      </c>
    </row>
    <row r="64" spans="1:3" s="12" customFormat="1" x14ac:dyDescent="0.25">
      <c r="A64" s="13" t="s">
        <v>1401</v>
      </c>
      <c r="B64" s="29">
        <f>SUMIFS(Auswertung!U:U,Auswertung!B:B,"CRYPTO")</f>
        <v>42</v>
      </c>
      <c r="C64" s="15">
        <f>IF(ABS(B60)&gt;0,B64/B60,0)</f>
        <v>0.18502202643171806</v>
      </c>
    </row>
    <row r="65" spans="1:3" s="12" customFormat="1" x14ac:dyDescent="0.25">
      <c r="A65" s="13"/>
      <c r="B65" s="29"/>
      <c r="C65" s="15"/>
    </row>
    <row r="66" spans="1:3" s="12" customFormat="1" x14ac:dyDescent="0.25">
      <c r="A66" s="13" t="s">
        <v>1402</v>
      </c>
      <c r="B66" s="29">
        <f xml:space="preserve"> SUM(Auswertung!V:V)</f>
        <v>71</v>
      </c>
      <c r="C66" s="15"/>
    </row>
    <row r="67" spans="1:3" s="12" customFormat="1" x14ac:dyDescent="0.25">
      <c r="A67" s="13" t="s">
        <v>1403</v>
      </c>
      <c r="B67" s="29">
        <f xml:space="preserve"> SUMIFS(Auswertung!V:V,Auswertung!B:B,"STOCK")+SUMIFS(Auswertung!V:V,Auswertung!B:B,"FUND")</f>
        <v>67</v>
      </c>
      <c r="C67" s="15">
        <f>IF(ABS(B66)&gt;0,B67/B66,0)</f>
        <v>0.94366197183098588</v>
      </c>
    </row>
    <row r="68" spans="1:3" s="12" customFormat="1" x14ac:dyDescent="0.25">
      <c r="A68" s="13" t="s">
        <v>1404</v>
      </c>
      <c r="B68" s="29">
        <f>SUMIFS(Auswertung!V:V,Auswertung!B:B,"STOCK")</f>
        <v>59</v>
      </c>
      <c r="C68" s="15">
        <f>IF(ABS(B66)&gt;0,B68/B66,0)</f>
        <v>0.83098591549295775</v>
      </c>
    </row>
    <row r="69" spans="1:3" s="12" customFormat="1" x14ac:dyDescent="0.25">
      <c r="A69" s="13" t="s">
        <v>1405</v>
      </c>
      <c r="B69" s="29">
        <f>SUMIFS(Auswertung!V:V,Auswertung!B:B,"FUND")</f>
        <v>8</v>
      </c>
      <c r="C69" s="15">
        <f>IF(ABS(B66)&gt;0,B69/B66,0)</f>
        <v>0.11267605633802817</v>
      </c>
    </row>
    <row r="70" spans="1:3" s="12" customFormat="1" x14ac:dyDescent="0.25">
      <c r="A70" s="13" t="s">
        <v>1406</v>
      </c>
      <c r="B70" s="29">
        <f>SUMIFS(Auswertung!V:V,Auswertung!B:B,"CRYPTO")</f>
        <v>4</v>
      </c>
      <c r="C70" s="15">
        <f>IF(ABS(B66)&gt;0,B70/B66,0)</f>
        <v>5.6338028169014086E-2</v>
      </c>
    </row>
    <row r="71" spans="1:3" s="12" customFormat="1" x14ac:dyDescent="0.25">
      <c r="A71" s="13"/>
      <c r="B71" s="29"/>
      <c r="C71" s="11"/>
    </row>
    <row r="72" spans="1:3" s="12" customFormat="1" x14ac:dyDescent="0.25">
      <c r="A72" s="13" t="s">
        <v>1298</v>
      </c>
      <c r="B72" s="14">
        <f>SUM(Auswertung!K:K)</f>
        <v>-10178.33</v>
      </c>
      <c r="C72" s="11"/>
    </row>
    <row r="73" spans="1:3" s="12" customFormat="1" x14ac:dyDescent="0.25">
      <c r="A73" s="13" t="s">
        <v>1299</v>
      </c>
      <c r="B73" s="14">
        <f>SUMIFS(Auswertung!K:K,Auswertung!B:B,"STOCK") + SUMIFS(Auswertung!K:K,Auswertung!B:B,"FUND")</f>
        <v>-9267.1</v>
      </c>
      <c r="C73" s="15">
        <f>IF(ABS(B72)&gt;0,B73/B72,0)</f>
        <v>0.91047352561766026</v>
      </c>
    </row>
    <row r="74" spans="1:3" s="12" customFormat="1" x14ac:dyDescent="0.25">
      <c r="A74" s="13" t="s">
        <v>1319</v>
      </c>
      <c r="B74" s="14">
        <f>SUMIFS(Auswertung!K:K,Auswertung!B:B,"STOCK")</f>
        <v>-3398.5399999999995</v>
      </c>
      <c r="C74" s="15">
        <f>IF(ABS(B72)&gt;0,B74/B72,0)</f>
        <v>0.33389956898626783</v>
      </c>
    </row>
    <row r="75" spans="1:3" s="12" customFormat="1" x14ac:dyDescent="0.25">
      <c r="A75" s="13" t="s">
        <v>1320</v>
      </c>
      <c r="B75" s="14">
        <f>SUMIFS(Auswertung!K:K,Auswertung!B:B,"FUND")</f>
        <v>-5868.56</v>
      </c>
      <c r="C75" s="15">
        <f>IF(ABS(B72)&gt;0,B75/B72,0)</f>
        <v>0.57657395663139244</v>
      </c>
    </row>
    <row r="76" spans="1:3" s="12" customFormat="1" x14ac:dyDescent="0.25">
      <c r="A76" s="13" t="s">
        <v>1300</v>
      </c>
      <c r="B76" s="14">
        <f>SUMIFS(Auswertung!K:K,Auswertung!B:B,"CRYPTO")</f>
        <v>-911.23</v>
      </c>
      <c r="C76" s="15">
        <f>IF(ABS(B72)&gt;0,B76/B72,0)</f>
        <v>8.9526474382339738E-2</v>
      </c>
    </row>
    <row r="77" spans="1:3" s="12" customFormat="1" x14ac:dyDescent="0.25">
      <c r="A77" s="13"/>
      <c r="B77" s="14"/>
      <c r="C77" s="11"/>
    </row>
    <row r="78" spans="1:3" s="12" customFormat="1" x14ac:dyDescent="0.25">
      <c r="A78" s="13" t="s">
        <v>1333</v>
      </c>
      <c r="B78" s="14">
        <f>SUM(Auswertung!S:S) + SUM(Daten!M:M)</f>
        <v>1513.5946775120005</v>
      </c>
      <c r="C78" s="11"/>
    </row>
    <row r="79" spans="1:3" s="12" customFormat="1" x14ac:dyDescent="0.25">
      <c r="A79" s="13" t="s">
        <v>1334</v>
      </c>
      <c r="B79" s="14">
        <f>SUMIFS(Auswertung!S:S,Auswertung!B:B,"STOCK") + SUMIFS(Auswertung!S:S,Auswertung!B:B,"FUND") + SUMIFS(Daten!M:M,Daten!F:F,"STOCK")+SUMIFS(Daten!M:M,Daten!F:F,"FUND")</f>
        <v>1408.3627906019999</v>
      </c>
      <c r="C79" s="15">
        <f>IF(ABS(B78)&gt;0,B79/B78,0)</f>
        <v>0.93047551734062817</v>
      </c>
    </row>
    <row r="80" spans="1:3" s="12" customFormat="1" x14ac:dyDescent="0.25">
      <c r="A80" s="13" t="s">
        <v>1335</v>
      </c>
      <c r="B80" s="14">
        <f>SUMIFS(Auswertung!S:S,Auswertung!B:B,"STOCK") + SUMIFS(Daten!M:M,Daten!F:F,"STOCK")</f>
        <v>1024.5205727319997</v>
      </c>
      <c r="C80" s="15">
        <f>IF(ABS(B78)&gt;0,B80/B78,0)</f>
        <v>0.67687907995030372</v>
      </c>
    </row>
    <row r="81" spans="1:3" s="12" customFormat="1" x14ac:dyDescent="0.25">
      <c r="A81" s="13" t="s">
        <v>1336</v>
      </c>
      <c r="B81" s="14">
        <f>SUMIFS(Auswertung!S:S,Auswertung!B:B,"FUND") + SUMIFS(Daten!M:M,Daten!F:F,"FUND")</f>
        <v>383.84221787000035</v>
      </c>
      <c r="C81" s="15">
        <f>IF(ABS(B78)&gt;0,B81/B78,0)</f>
        <v>0.25359643739032445</v>
      </c>
    </row>
    <row r="82" spans="1:3" s="12" customFormat="1" x14ac:dyDescent="0.25">
      <c r="A82" s="13" t="s">
        <v>1337</v>
      </c>
      <c r="B82" s="14">
        <f>SUMIFS(Auswertung!S:S,Auswertung!B:B,"CRYPTO") + SUMIFS(Daten!M:M,Daten!F:F,"CRYPTO")</f>
        <v>88.76188690999993</v>
      </c>
      <c r="C82" s="15">
        <f>IF(ABS(B78)&gt;0,B82/B78,0)</f>
        <v>5.8643101900902515E-2</v>
      </c>
    </row>
    <row r="83" spans="1:3" s="12" customFormat="1" x14ac:dyDescent="0.25">
      <c r="A83" s="13"/>
      <c r="B83" s="14"/>
      <c r="C83" s="11"/>
    </row>
    <row r="84" spans="1:3" s="12" customFormat="1" x14ac:dyDescent="0.25">
      <c r="A84" s="13" t="s">
        <v>1278</v>
      </c>
      <c r="B84" s="14">
        <f xml:space="preserve"> SUM(Daten!M:M)</f>
        <v>-105.95</v>
      </c>
      <c r="C84" s="11"/>
    </row>
    <row r="85" spans="1:3" s="12" customFormat="1" x14ac:dyDescent="0.25">
      <c r="A85" s="13" t="s">
        <v>1392</v>
      </c>
      <c r="B85" s="14">
        <f xml:space="preserve"> SUMIFS(Daten!M:M,Daten!F:F,"STOCK")+SUMIFS(Daten!M:M,Daten!F:F,"FUND") + SUMIFS(Daten!M:M,Daten!E:E,"TAX_OPTIMIZATION")</f>
        <v>-105.94999999999999</v>
      </c>
      <c r="C85" s="11"/>
    </row>
    <row r="86" spans="1:3" s="12" customFormat="1" x14ac:dyDescent="0.25">
      <c r="A86" s="13" t="s">
        <v>1304</v>
      </c>
      <c r="B86" s="14">
        <f xml:space="preserve"> SUMIFS(Daten!M:M,Daten!F:F,"STOCK") + SUMIFS(Daten!M:M,Daten!E:E,"TAX_OPTIMIZATION")</f>
        <v>-54.009999999999991</v>
      </c>
      <c r="C86" s="11"/>
    </row>
    <row r="87" spans="1:3" s="12" customFormat="1" x14ac:dyDescent="0.25">
      <c r="A87" s="13" t="s">
        <v>1305</v>
      </c>
      <c r="B87" s="14">
        <f xml:space="preserve"> SUMIFS(Daten!M:M,Daten!F:F,"FUND")</f>
        <v>-51.94</v>
      </c>
      <c r="C87" s="11"/>
    </row>
    <row r="88" spans="1:3" s="12" customFormat="1" x14ac:dyDescent="0.25">
      <c r="A88" s="13" t="s">
        <v>1306</v>
      </c>
      <c r="B88" s="14">
        <f xml:space="preserve"> SUMIFS(Daten!M:M,Daten!F:F,"CRYPTO")</f>
        <v>0</v>
      </c>
      <c r="C88" s="11"/>
    </row>
    <row r="89" spans="1:3" s="12" customFormat="1" x14ac:dyDescent="0.25">
      <c r="A89" s="13" t="s">
        <v>1307</v>
      </c>
      <c r="B89" s="14">
        <f xml:space="preserve"> SUMIFS(Daten!M:M,Daten!E:E,"TAX_OPTIMIZATION")</f>
        <v>16.47</v>
      </c>
      <c r="C89" s="11"/>
    </row>
    <row r="90" spans="1:3" s="12" customFormat="1" x14ac:dyDescent="0.25">
      <c r="A90" s="13"/>
      <c r="B90" s="14"/>
      <c r="C90" s="11"/>
    </row>
    <row r="91" spans="1:3" s="12" customFormat="1" x14ac:dyDescent="0.25">
      <c r="A91" s="13" t="s">
        <v>1279</v>
      </c>
      <c r="B91" s="14">
        <f>SUMIFS(Auswertung!P:P,Auswertung!L:L,"OFFEN")</f>
        <v>10305.705743581475</v>
      </c>
      <c r="C91" s="11"/>
    </row>
    <row r="92" spans="1:3" s="12" customFormat="1" x14ac:dyDescent="0.25">
      <c r="A92" s="13" t="s">
        <v>1285</v>
      </c>
      <c r="B92" s="14">
        <f>SUMIFS(Auswertung!P:P,Auswertung!L:L,"OFFEN",Auswertung!B:B,"STOCK")
+SUMIFS(Auswertung!P:P,Auswertung!L:L,"OFFEN",Auswertung!B:B,"FUND")</f>
        <v>9409.4094674546996</v>
      </c>
      <c r="C92" s="15">
        <f>IF(ABS(B91)&gt;0,B92/B91,0)</f>
        <v>0.91302912207783538</v>
      </c>
    </row>
    <row r="93" spans="1:3" s="12" customFormat="1" x14ac:dyDescent="0.25">
      <c r="A93" s="13" t="s">
        <v>1317</v>
      </c>
      <c r="B93" s="14">
        <f>SUMIFS(Auswertung!P:P,Auswertung!L:L,"OFFEN",Auswertung!B:B,"STOCK")</f>
        <v>3414.8904304957005</v>
      </c>
      <c r="C93" s="15">
        <f>IF(ABS(B91)&gt;0,B93/B91,0)</f>
        <v>0.3313592019277804</v>
      </c>
    </row>
    <row r="94" spans="1:3" s="12" customFormat="1" x14ac:dyDescent="0.25">
      <c r="A94" s="13" t="s">
        <v>1318</v>
      </c>
      <c r="B94" s="14">
        <f>SUMIFS(Auswertung!P:P,Auswertung!L:L,"OFFEN",Auswertung!B:B,"FUND")</f>
        <v>5994.5190369589991</v>
      </c>
      <c r="C94" s="15">
        <f>IF(ABS(B91)&gt;0,B94/B91,0)</f>
        <v>0.58166992015005492</v>
      </c>
    </row>
    <row r="95" spans="1:3" s="12" customFormat="1" x14ac:dyDescent="0.25">
      <c r="A95" s="13" t="s">
        <v>1286</v>
      </c>
      <c r="B95" s="14">
        <f>SUMIFS(Auswertung!P:P,Auswertung!L:L,"OFFEN",Auswertung!B:B,"CRYPTO")</f>
        <v>896.29627612677609</v>
      </c>
      <c r="C95" s="15">
        <f>IF(ABS(B91)&gt;0,B95/B91,0)</f>
        <v>8.6970877922164708E-2</v>
      </c>
    </row>
    <row r="96" spans="1:3" s="12" customFormat="1" x14ac:dyDescent="0.25">
      <c r="A96" s="13"/>
      <c r="B96" s="14"/>
      <c r="C96" s="11"/>
    </row>
    <row r="97" spans="1:3" s="12" customFormat="1" x14ac:dyDescent="0.25">
      <c r="A97" s="13" t="s">
        <v>1281</v>
      </c>
      <c r="B97" s="14">
        <f xml:space="preserve"> SUMIFS(Daten!K:K,Daten!E:E,"TRANSFER_INSTANT_INBOUND")
+ SUMIFS(Daten!K:K,Daten!E:E,"TRANSFER_IN")
+ SUMIFS(Daten!K:K,Daten!E:E,"GIFT")
+ SUMIFS(Daten!K:K,Daten!E:E,"DIVIDEND")
+ SUMIFS(Daten!K:K,Daten!E:E,"CUSTOMER_INPAYMENT")</f>
        <v>23115.31</v>
      </c>
      <c r="C97" s="11"/>
    </row>
    <row r="98" spans="1:3" s="12" customFormat="1" x14ac:dyDescent="0.25">
      <c r="A98" s="13" t="s">
        <v>1282</v>
      </c>
      <c r="B98" s="14">
        <f xml:space="preserve"> SUMIFS(Daten!K:K,Daten!E:E,"TRANSFER_INSTANT_OUTBOUND") + SUMIFS(Daten!K:K,Daten!E:E,"TRANSFER_OUT") + SUMIFS(Daten!K:K,Daten!E:E,"TRANSFER_OUTBOUND")</f>
        <v>-12952.73</v>
      </c>
      <c r="C98" s="11"/>
    </row>
    <row r="99" spans="1:3" s="12" customFormat="1" x14ac:dyDescent="0.25">
      <c r="A99" s="13"/>
      <c r="B99" s="14"/>
      <c r="C99" s="11"/>
    </row>
    <row r="100" spans="1:3" s="12" customFormat="1" x14ac:dyDescent="0.25">
      <c r="A100" s="13" t="s">
        <v>1283</v>
      </c>
      <c r="B100" s="14">
        <f>SUMIFS(Daten!K:K,Daten!E:E,"BUY")+SUMIFS(Daten!L:L,Daten!E:E,"BUY")</f>
        <v>-25776.53</v>
      </c>
      <c r="C100" s="11"/>
    </row>
    <row r="101" spans="1:3" s="12" customFormat="1" x14ac:dyDescent="0.25">
      <c r="A101" s="13" t="s">
        <v>1308</v>
      </c>
      <c r="B101" s="14">
        <f>SUMIFS(Daten!K:K,Daten!E:E,"BUY",Daten!F:F,"STOCK")+SUMIFS(Daten!L:L,Daten!E:E,"BUY",Daten!F:F,"STOCK")</f>
        <v>-13755.089999999998</v>
      </c>
      <c r="C101" s="15">
        <f>IF(ABS(B100)&gt;0,B101/B100,0)</f>
        <v>0.53362845968794093</v>
      </c>
    </row>
    <row r="102" spans="1:3" s="12" customFormat="1" x14ac:dyDescent="0.25">
      <c r="A102" s="13" t="s">
        <v>1309</v>
      </c>
      <c r="B102" s="14">
        <f>SUMIFS(Daten!K:K,Daten!E:E,"BUY",Daten!F:F,"FUND")+SUMIFS(Daten!L:L,Daten!E:E,"BUY",Daten!F:F,"FUND")</f>
        <v>-9702.1699999999983</v>
      </c>
      <c r="C102" s="15">
        <f>IF(ABS(B100)&gt;0,B102/B100,0)</f>
        <v>0.37639550397202409</v>
      </c>
    </row>
    <row r="103" spans="1:3" s="12" customFormat="1" x14ac:dyDescent="0.25">
      <c r="A103" s="13" t="s">
        <v>1310</v>
      </c>
      <c r="B103" s="14">
        <f>SUMIFS(Daten!K:K,Daten!E:E,"BUY",Daten!F:F,"CRYPTO")+SUMIFS(Daten!L:L,Daten!E:E,"BUY",Daten!F:F,"CRYPTO")</f>
        <v>-2319.27</v>
      </c>
      <c r="C103" s="15">
        <f>IF(ABS(B100)&gt;0,B103/B100,0)</f>
        <v>8.9976036340034912E-2</v>
      </c>
    </row>
    <row r="104" spans="1:3" s="12" customFormat="1" x14ac:dyDescent="0.25">
      <c r="A104" s="13"/>
      <c r="B104" s="14"/>
      <c r="C104" s="11"/>
    </row>
    <row r="105" spans="1:3" s="12" customFormat="1" x14ac:dyDescent="0.25">
      <c r="A105" s="13" t="s">
        <v>1284</v>
      </c>
      <c r="B105" s="14">
        <f>SUMIFS(Daten!K:K,Daten!E:E,"SELL")-SUMIFS(Daten!L:L,Daten!E:E,"SELL")</f>
        <v>15862.300000000003</v>
      </c>
      <c r="C105" s="11"/>
    </row>
    <row r="106" spans="1:3" s="12" customFormat="1" x14ac:dyDescent="0.25">
      <c r="A106" s="13" t="s">
        <v>1311</v>
      </c>
      <c r="B106" s="14">
        <f>SUMIFS(Daten!K:K,Daten!E:E,"SELL",Daten!F:F,"STOCK")-SUMIFS(Daten!L:L,Daten!E:E,"SELL",Daten!F:F,"STOCK")</f>
        <v>10544.71</v>
      </c>
      <c r="C106" s="15">
        <f>IF(ABS(B105)&gt;0,B106/B105,0)</f>
        <v>0.66476551319795973</v>
      </c>
    </row>
    <row r="107" spans="1:3" s="12" customFormat="1" x14ac:dyDescent="0.25">
      <c r="A107" s="13" t="s">
        <v>1312</v>
      </c>
      <c r="B107" s="14">
        <f>SUMIFS(Daten!K:K,Daten!E:E,"SELL",Daten!F:F,"FUND")-SUMIFS(Daten!L:L,Daten!E:E,"SELL",Daten!F:F,"FUND")</f>
        <v>3901.55</v>
      </c>
      <c r="C107" s="15">
        <f>IF(ABS(B105)&gt;0,B107/B105,0)</f>
        <v>0.24596370009393337</v>
      </c>
    </row>
    <row r="108" spans="1:3" s="12" customFormat="1" x14ac:dyDescent="0.25">
      <c r="A108" s="13" t="s">
        <v>1313</v>
      </c>
      <c r="B108" s="14">
        <f>SUMIFS(Daten!K:K,Daten!E:E,"SELL",Daten!F:F,"CRYPTO")-SUMIFS(Daten!L:L,Daten!E:E,"SELL",Daten!F:F,"CRYPTO")</f>
        <v>1416.04</v>
      </c>
      <c r="C108" s="15">
        <f>IF(ABS(B105)&gt;0,B108/B105,0)</f>
        <v>8.927078670810662E-2</v>
      </c>
    </row>
    <row r="109" spans="1:3" s="12" customFormat="1" x14ac:dyDescent="0.25">
      <c r="A109" s="13"/>
      <c r="B109" s="14"/>
      <c r="C109" s="11"/>
    </row>
    <row r="110" spans="1:3" s="12" customFormat="1" x14ac:dyDescent="0.25">
      <c r="A110" s="13" t="s">
        <v>1322</v>
      </c>
      <c r="B110" s="14">
        <f>SUMIFS(Auswertung!Q:Q,Auswertung!L:L,"OFFEN")</f>
        <v>11672.451621021901</v>
      </c>
      <c r="C110" s="11"/>
    </row>
    <row r="111" spans="1:3" s="12" customFormat="1" x14ac:dyDescent="0.25">
      <c r="A111" s="13" t="s">
        <v>1323</v>
      </c>
      <c r="B111" s="14">
        <f>SUMIFS(Auswertung!Q:Q,Auswertung!L:L,"OFFEN",Auswertung!B:B,"STOCK")
+SUMIFS(Auswertung!Q:Q,Auswertung!L:L,"OFFEN",Auswertung!B:B,"FUND")</f>
        <v>10672.070783722</v>
      </c>
      <c r="C111" s="15">
        <f>IF(ABS(B110)&gt;0,B111/B110,0)</f>
        <v>0.91429556790809641</v>
      </c>
    </row>
    <row r="112" spans="1:3" s="12" customFormat="1" x14ac:dyDescent="0.25">
      <c r="A112" s="13" t="s">
        <v>1324</v>
      </c>
      <c r="B112" s="14">
        <f>SUMIFS(Auswertung!Q:Q,Auswertung!L:L,"OFFEN",Auswertung!B:B,"STOCK")</f>
        <v>4419.6001488920001</v>
      </c>
      <c r="C112" s="15">
        <f>IF(ABS(B110)&gt;0,B112/B110,0)</f>
        <v>0.37863512245639724</v>
      </c>
    </row>
    <row r="113" spans="1:4" s="12" customFormat="1" x14ac:dyDescent="0.25">
      <c r="A113" s="13" t="s">
        <v>1325</v>
      </c>
      <c r="B113" s="14">
        <f>SUMIFS(Auswertung!Q:Q,Auswertung!L:L,"OFFEN",Auswertung!B:B,"FUND")</f>
        <v>6252.4706348299997</v>
      </c>
      <c r="C113" s="15">
        <f>IF(ABS(B110)&gt;0,B113/B110,0)</f>
        <v>0.53566044545169922</v>
      </c>
    </row>
    <row r="114" spans="1:4" s="12" customFormat="1" x14ac:dyDescent="0.25">
      <c r="A114" s="13" t="s">
        <v>1326</v>
      </c>
      <c r="B114" s="14">
        <f>SUMIFS(Auswertung!Q:Q,Auswertung!L:L,"OFFEN",Auswertung!B:B,"CRYPTO")</f>
        <v>1000.3808372999</v>
      </c>
      <c r="C114" s="15">
        <f>IF(ABS(B110)&gt;0,B114/B110,0)</f>
        <v>8.5704432091903468E-2</v>
      </c>
    </row>
    <row r="115" spans="1:4" s="12" customFormat="1" x14ac:dyDescent="0.25">
      <c r="A115" s="13"/>
      <c r="B115" s="14"/>
      <c r="C115" s="11"/>
    </row>
    <row r="116" spans="1:4" s="12" customFormat="1" x14ac:dyDescent="0.25">
      <c r="A116" s="13" t="s">
        <v>1339</v>
      </c>
      <c r="B116" s="14">
        <f>SUMIFS(Auswertung!O:O,Auswertung!O:O,"&lt;0",Auswertung!L:L,"OFFEN")</f>
        <v>-1627.2087674353056</v>
      </c>
      <c r="C116" s="15"/>
    </row>
    <row r="117" spans="1:4" s="12" customFormat="1" x14ac:dyDescent="0.25">
      <c r="A117" s="13" t="s">
        <v>1340</v>
      </c>
      <c r="B117" s="14">
        <f>SUMIFS(Auswertung!O:O,Auswertung!O:O,"&lt;0",Auswertung!B:B,"STOCK",Auswertung!L:L,"OFFEN")
+SUMIFS(Auswertung!O:O,Auswertung!O:O,"&lt;0",Auswertung!B:B,"FUND",Auswertung!L:L,"OFFEN")</f>
        <v>-1521.3437465703005</v>
      </c>
      <c r="C117" s="15">
        <f>IF(ABS(B116)&gt;0,B117/B116,0)</f>
        <v>0.934940726117238</v>
      </c>
    </row>
    <row r="118" spans="1:4" s="12" customFormat="1" x14ac:dyDescent="0.25">
      <c r="A118" s="13" t="s">
        <v>1358</v>
      </c>
      <c r="B118" s="14">
        <f>SUMIFS(Auswertung!O:O,Auswertung!O:O,"&lt;0",Auswertung!B:B,"STOCK",Auswertung!L:L,"OFFEN")</f>
        <v>-1010.1250100803003</v>
      </c>
      <c r="C118" s="15">
        <f>IF(ABS(B116)&gt;0,B118/B116,0)</f>
        <v>0.62077161228204891</v>
      </c>
    </row>
    <row r="119" spans="1:4" s="12" customFormat="1" x14ac:dyDescent="0.25">
      <c r="A119" s="13" t="s">
        <v>1359</v>
      </c>
      <c r="B119" s="14">
        <f>SUMIFS(Auswertung!O:O,Auswertung!O:O,"&lt;0",Auswertung!B:B,"FUND",Auswertung!L:L,"OFFEN")</f>
        <v>-511.21873649000014</v>
      </c>
      <c r="C119" s="15">
        <f>IF(ABS(B116)&gt;0,B119/B116,0)</f>
        <v>0.31416911383518903</v>
      </c>
    </row>
    <row r="120" spans="1:4" s="12" customFormat="1" x14ac:dyDescent="0.25">
      <c r="A120" s="13" t="s">
        <v>1341</v>
      </c>
      <c r="B120" s="14">
        <f>SUMIFS(Auswertung!O:O,Auswertung!O:O,"&lt;0",Auswertung!B:B,"CRYPTO",Auswertung!L:L,"OFFEN")</f>
        <v>-105.86502086500496</v>
      </c>
      <c r="C120" s="15">
        <f>IF(ABS(B116)&gt;0,B120/B116,0)</f>
        <v>6.5059273882761906E-2</v>
      </c>
    </row>
    <row r="121" spans="1:4" s="12" customFormat="1" x14ac:dyDescent="0.25">
      <c r="A121" s="13"/>
      <c r="B121" s="14"/>
      <c r="C121" s="11"/>
    </row>
    <row r="122" spans="1:4" s="12" customFormat="1" x14ac:dyDescent="0.25">
      <c r="A122" s="13" t="s">
        <v>1342</v>
      </c>
      <c r="B122" s="14">
        <f>SUMIFS(Auswertung!O:O,Auswertung!O:O,"&gt;0",Auswertung!L:L,"OFFEN")</f>
        <v>260.4628899948807</v>
      </c>
      <c r="C122" s="15"/>
    </row>
    <row r="123" spans="1:4" s="12" customFormat="1" x14ac:dyDescent="0.25">
      <c r="A123" s="13" t="s">
        <v>1343</v>
      </c>
      <c r="B123" s="14">
        <f>SUMIFS(Auswertung!O:O,Auswertung!O:O,"&gt;0",Auswertung!B:B,"STOCK",Auswertung!L:L,"OFFEN")
+SUMIFS(Auswertung!O:O,Auswertung!O:O,"&gt;0",Auswertung!B:B,"FUND",Auswertung!L:L,"OFFEN")</f>
        <v>258.68243030299971</v>
      </c>
      <c r="C123" s="15">
        <f>IF(ABS(B122)&gt;0,B123/B122,0)</f>
        <v>0.99316424811259685</v>
      </c>
    </row>
    <row r="124" spans="1:4" s="12" customFormat="1" x14ac:dyDescent="0.25">
      <c r="A124" s="13" t="s">
        <v>1360</v>
      </c>
      <c r="B124" s="14">
        <f>SUMIFS(Auswertung!O:O,Auswertung!O:O,"&gt;0",Auswertung!B:B,"STOCK",Auswertung!L:L,"OFFEN")</f>
        <v>5.4152916839999961</v>
      </c>
      <c r="C124" s="15">
        <f>IF(ABS(B122)&gt;0,B124/B122,0)</f>
        <v>2.0791029709093804E-2</v>
      </c>
    </row>
    <row r="125" spans="1:4" s="12" customFormat="1" x14ac:dyDescent="0.25">
      <c r="A125" s="13" t="s">
        <v>1361</v>
      </c>
      <c r="B125" s="14">
        <f xml:space="preserve"> SUMIFS(Auswertung!O:O,Auswertung!O:O,"&gt;0",Auswertung!B:B,"FUND",Auswertung!L:L,"OFFEN")</f>
        <v>253.2671386189997</v>
      </c>
      <c r="C125" s="15">
        <f>IF(ABS(B122)&gt;0,B125/B122,0)</f>
        <v>0.97237321840350299</v>
      </c>
    </row>
    <row r="126" spans="1:4" s="12" customFormat="1" x14ac:dyDescent="0.25">
      <c r="A126" s="13" t="s">
        <v>1344</v>
      </c>
      <c r="B126" s="14">
        <f>SUMIFS(Auswertung!O:O,Auswertung!O:O,"&gt;0",Auswertung!B:B,"CRYPTO",Auswertung!L:L,"OFFEN")</f>
        <v>1.7804596918810063</v>
      </c>
      <c r="C126" s="15">
        <f>IF(ABS(B122)&gt;0,B126/B122,0)</f>
        <v>6.8357518874032326E-3</v>
      </c>
    </row>
    <row r="127" spans="1:4" s="12" customFormat="1" x14ac:dyDescent="0.25">
      <c r="A127" s="13"/>
      <c r="B127" s="14"/>
      <c r="C127" s="11"/>
    </row>
    <row r="128" spans="1:4" s="12" customFormat="1" x14ac:dyDescent="0.25">
      <c r="A128" s="13" t="s">
        <v>1345</v>
      </c>
      <c r="B128" s="14">
        <f>SUMIFS(Auswertung!O:O,Auswertung!L:L,"OFFEN")</f>
        <v>-1366.7458774404245</v>
      </c>
      <c r="C128" s="14">
        <f>B91-B110</f>
        <v>-1366.7458774404258</v>
      </c>
      <c r="D128" s="22">
        <f>B116+B122</f>
        <v>-1366.7458774404249</v>
      </c>
    </row>
    <row r="129" spans="1:5" s="12" customFormat="1" x14ac:dyDescent="0.25">
      <c r="A129" s="13" t="s">
        <v>1346</v>
      </c>
      <c r="B129" s="14">
        <f>SUMIFS(Auswertung!O:O,Auswertung!B:B,"STOCK",Auswertung!L:L,"OFFEN")
+SUMIFS(Auswertung!O:O,Auswertung!B:B,"FUND",Auswertung!L:L,"OFFEN")</f>
        <v>-1262.6613162673007</v>
      </c>
      <c r="C129" s="14">
        <f>B92-B111</f>
        <v>-1262.6613162673002</v>
      </c>
      <c r="D129" s="22">
        <f>B117+B123</f>
        <v>-1262.6613162673007</v>
      </c>
      <c r="E129" s="23">
        <f>IF(ABS(B128)&gt;0,B129/B128,0)</f>
        <v>0.9238449788719697</v>
      </c>
    </row>
    <row r="130" spans="1:5" s="12" customFormat="1" x14ac:dyDescent="0.25">
      <c r="A130" s="13" t="s">
        <v>1364</v>
      </c>
      <c r="B130" s="14">
        <f>SUMIFS(Auswertung!O:O,Auswertung!B:B,"STOCK",Auswertung!L:L,"OFFEN")</f>
        <v>-1004.7097183963002</v>
      </c>
      <c r="C130" s="14">
        <f>B93-B112</f>
        <v>-1004.7097183962996</v>
      </c>
      <c r="D130" s="22">
        <f>B118+B124</f>
        <v>-1004.7097183963003</v>
      </c>
      <c r="E130" s="23">
        <f>IF(ABS(B128)&gt;0,B130/B128,0)</f>
        <v>0.73511084612003508</v>
      </c>
    </row>
    <row r="131" spans="1:5" s="12" customFormat="1" x14ac:dyDescent="0.25">
      <c r="A131" s="13" t="s">
        <v>1365</v>
      </c>
      <c r="B131" s="14">
        <f>SUMIFS(Auswertung!O:O,Auswertung!B:B,"FUND",Auswertung!L:L,"OFFEN")</f>
        <v>-257.95159787100044</v>
      </c>
      <c r="C131" s="14">
        <f>B94-B113</f>
        <v>-257.95159787100056</v>
      </c>
      <c r="D131" s="22">
        <f>B119+B125</f>
        <v>-257.95159787100044</v>
      </c>
      <c r="E131" s="23">
        <f>IF(ABS(B128)&gt;0,B131/B128,0)</f>
        <v>0.18873413275193462</v>
      </c>
    </row>
    <row r="132" spans="1:5" s="12" customFormat="1" x14ac:dyDescent="0.25">
      <c r="A132" s="13" t="s">
        <v>1347</v>
      </c>
      <c r="B132" s="14">
        <f>SUMIFS(Auswertung!O:O,Auswertung!B:B,"CRYPTO",Auswertung!L:L,"OFFEN")</f>
        <v>-104.08456117312394</v>
      </c>
      <c r="C132" s="14">
        <f>B95-B114</f>
        <v>-104.08456117312392</v>
      </c>
      <c r="D132" s="22">
        <f>B120+B126</f>
        <v>-104.08456117312396</v>
      </c>
      <c r="E132" s="23">
        <f>IF(ABS(B128)&gt;0,B132/B128,0)</f>
        <v>7.6155021128030381E-2</v>
      </c>
    </row>
    <row r="133" spans="1:5" s="12" customFormat="1" x14ac:dyDescent="0.25">
      <c r="A133" s="13"/>
      <c r="B133" s="14"/>
      <c r="C133" s="14"/>
      <c r="D133" s="22"/>
    </row>
    <row r="134" spans="1:5" s="12" customFormat="1" x14ac:dyDescent="0.25">
      <c r="A134" s="13" t="s">
        <v>1369</v>
      </c>
      <c r="B134" s="14">
        <f>B78+B128</f>
        <v>146.84880007157608</v>
      </c>
      <c r="C134" s="14"/>
      <c r="D134" s="22"/>
    </row>
    <row r="135" spans="1:5" s="12" customFormat="1" x14ac:dyDescent="0.25">
      <c r="A135" s="13" t="s">
        <v>1370</v>
      </c>
      <c r="B135" s="14">
        <f>B79+B129</f>
        <v>145.70147433469924</v>
      </c>
      <c r="C135" s="14"/>
      <c r="D135" s="22"/>
    </row>
    <row r="136" spans="1:5" s="12" customFormat="1" x14ac:dyDescent="0.25">
      <c r="A136" s="13" t="s">
        <v>1371</v>
      </c>
      <c r="B136" s="14">
        <f>B82+B132</f>
        <v>-15.322674263124014</v>
      </c>
      <c r="C136" s="14"/>
      <c r="D136" s="22"/>
    </row>
    <row r="137" spans="1:5" s="12" customFormat="1" x14ac:dyDescent="0.25">
      <c r="A137" s="13"/>
      <c r="B137" s="14"/>
      <c r="C137" s="11"/>
    </row>
    <row r="138" spans="1:5" s="12" customFormat="1" x14ac:dyDescent="0.25">
      <c r="A138" s="13" t="s">
        <v>1329</v>
      </c>
      <c r="B138" s="14">
        <f>B72+B91</f>
        <v>127.37574358147504</v>
      </c>
      <c r="C138" s="14"/>
    </row>
    <row r="139" spans="1:5" s="12" customFormat="1" x14ac:dyDescent="0.25">
      <c r="A139" s="13" t="s">
        <v>1327</v>
      </c>
      <c r="B139" s="14">
        <f>B73+B92</f>
        <v>142.30946745469919</v>
      </c>
      <c r="C139" s="14"/>
      <c r="D139" s="22"/>
    </row>
    <row r="140" spans="1:5" s="12" customFormat="1" x14ac:dyDescent="0.25">
      <c r="A140" s="13" t="s">
        <v>1328</v>
      </c>
      <c r="B140" s="14">
        <f>B76+B95</f>
        <v>-14.933723873223926</v>
      </c>
      <c r="C140" s="14"/>
    </row>
    <row r="141" spans="1:5" s="12" customFormat="1" x14ac:dyDescent="0.25">
      <c r="A141" s="13"/>
      <c r="B141" s="14"/>
      <c r="C141" s="11"/>
    </row>
    <row r="142" spans="1:5" s="12" customFormat="1" x14ac:dyDescent="0.25">
      <c r="A142" s="13" t="s">
        <v>1332</v>
      </c>
      <c r="B142" s="15">
        <f>IF(ABS(B72)&gt;0,-B138/B72,0)</f>
        <v>1.2514404974241848E-2</v>
      </c>
      <c r="C142" s="15">
        <f>IF(ABS(B72)&gt;0,-B134/B72,0)</f>
        <v>1.4427592745723127E-2</v>
      </c>
    </row>
    <row r="143" spans="1:5" s="12" customFormat="1" x14ac:dyDescent="0.25">
      <c r="A143" s="13" t="s">
        <v>1330</v>
      </c>
      <c r="B143" s="15">
        <f>IF(ABS(B73)&gt;0,-B139/B73,0)</f>
        <v>1.5356418669777943E-2</v>
      </c>
      <c r="C143" s="15">
        <f>IF(ABS(B73)&gt;0,-B135/B73,0)</f>
        <v>1.5722445461330864E-2</v>
      </c>
    </row>
    <row r="144" spans="1:5" s="12" customFormat="1" x14ac:dyDescent="0.25">
      <c r="A144" s="13" t="s">
        <v>1331</v>
      </c>
      <c r="B144" s="15">
        <f>IF(ABS(B76)&gt;0,-B140/B76,0)</f>
        <v>-1.6388534039950314E-2</v>
      </c>
      <c r="C144" s="15">
        <f>IF(ABS(B76)&gt;0,-B136/B76,0)</f>
        <v>-1.6815375111798352E-2</v>
      </c>
    </row>
    <row r="146" spans="1:3" x14ac:dyDescent="0.25">
      <c r="A146" s="13" t="s">
        <v>1479</v>
      </c>
      <c r="B146" s="46">
        <f>SUM(Auswertung!T:T)</f>
        <v>14175.775322487996</v>
      </c>
    </row>
    <row r="147" spans="1:3" x14ac:dyDescent="0.25">
      <c r="A147" s="13" t="s">
        <v>1480</v>
      </c>
      <c r="B147" s="46">
        <f>SUMIFS(Auswertung!T:T,Auswertung!B:B,"STOCK")
+SUMIFS(Auswertung!T:T,Auswertung!B:B,"FUND")</f>
        <v>12852.497209397996</v>
      </c>
      <c r="C147" s="15">
        <f>IF(ABS(B146)&gt;0,B147/B146,0)</f>
        <v>0.90665215249350106</v>
      </c>
    </row>
    <row r="148" spans="1:3" x14ac:dyDescent="0.25">
      <c r="A148" s="12" t="s">
        <v>1481</v>
      </c>
      <c r="B148" s="46">
        <f>SUMIFS(Auswertung!T:T,Auswertung!B:B,"STOCK")</f>
        <v>9394.7294272679974</v>
      </c>
      <c r="C148" s="15">
        <f>IF(ABS(B146)&gt;0,B148/B146,0)</f>
        <v>0.66273125903487617</v>
      </c>
    </row>
    <row r="149" spans="1:3" x14ac:dyDescent="0.25">
      <c r="A149" s="12" t="s">
        <v>1482</v>
      </c>
      <c r="B149" s="46">
        <f>SUMIFS(Auswertung!T:T,Auswertung!B:B,"FUND")</f>
        <v>3457.7677821299994</v>
      </c>
      <c r="C149" s="15">
        <f>IF(ABS(B146)&gt;0,B149/B146,0)</f>
        <v>0.24392089345862497</v>
      </c>
    </row>
    <row r="150" spans="1:3" x14ac:dyDescent="0.25">
      <c r="A150" s="12" t="s">
        <v>1483</v>
      </c>
      <c r="B150" s="46">
        <f>SUMIFS(Auswertung!T:T,Auswertung!B:B,"CRYPTO")</f>
        <v>1323.27811309</v>
      </c>
      <c r="C150" s="15">
        <f>IF(ABS(B146)&gt;0,B150/B146,0)</f>
        <v>9.3347847506498924E-2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DDBF-6D10-452B-9124-D2C10463CF65}">
  <dimension ref="A3:L45"/>
  <sheetViews>
    <sheetView topLeftCell="A4" zoomScale="118" zoomScaleNormal="118" workbookViewId="0">
      <selection activeCell="A20" sqref="A20"/>
    </sheetView>
  </sheetViews>
  <sheetFormatPr baseColWidth="10" defaultRowHeight="15" x14ac:dyDescent="0.25"/>
  <cols>
    <col min="1" max="1" width="43.140625" bestFit="1" customWidth="1"/>
    <col min="2" max="3" width="14.28515625" bestFit="1" customWidth="1"/>
    <col min="4" max="4" width="12" bestFit="1" customWidth="1"/>
    <col min="5" max="7" width="14.28515625" bestFit="1" customWidth="1"/>
    <col min="8" max="9" width="12" bestFit="1" customWidth="1"/>
    <col min="10" max="10" width="12.5703125" bestFit="1" customWidth="1"/>
    <col min="11" max="11" width="12" bestFit="1" customWidth="1"/>
    <col min="12" max="12" width="29.5703125" bestFit="1" customWidth="1"/>
    <col min="13" max="13" width="36" bestFit="1" customWidth="1"/>
    <col min="14" max="14" width="12" bestFit="1" customWidth="1"/>
    <col min="15" max="15" width="8" bestFit="1" customWidth="1"/>
    <col min="16" max="16" width="11" bestFit="1" customWidth="1"/>
    <col min="17" max="31" width="12" bestFit="1" customWidth="1"/>
    <col min="32" max="32" width="11" bestFit="1" customWidth="1"/>
    <col min="33" max="33" width="6.28515625" bestFit="1" customWidth="1"/>
    <col min="34" max="34" width="15.5703125" bestFit="1" customWidth="1"/>
  </cols>
  <sheetData>
    <row r="3" spans="1:12" x14ac:dyDescent="0.25">
      <c r="A3" s="33" t="s">
        <v>1432</v>
      </c>
      <c r="B3" t="s">
        <v>1434</v>
      </c>
      <c r="C3" t="s">
        <v>1433</v>
      </c>
      <c r="E3" t="s">
        <v>1433</v>
      </c>
      <c r="G3" t="s">
        <v>1433</v>
      </c>
      <c r="J3" t="s">
        <v>1434</v>
      </c>
      <c r="L3" t="s">
        <v>1441</v>
      </c>
    </row>
    <row r="4" spans="1:12" x14ac:dyDescent="0.25">
      <c r="A4" s="9" t="s">
        <v>64</v>
      </c>
      <c r="B4" s="35">
        <v>1000.3808372999</v>
      </c>
      <c r="C4" s="35">
        <v>896.29627612677609</v>
      </c>
      <c r="E4" s="35">
        <v>10305.705743581475</v>
      </c>
      <c r="G4" s="35">
        <v>10305.705743581475</v>
      </c>
      <c r="J4" s="35">
        <v>11672.451621021901</v>
      </c>
      <c r="L4" s="35">
        <v>1619.5446775120006</v>
      </c>
    </row>
    <row r="5" spans="1:12" x14ac:dyDescent="0.25">
      <c r="A5" s="9" t="s">
        <v>464</v>
      </c>
      <c r="B5" s="35">
        <v>6252.4706348299997</v>
      </c>
      <c r="C5" s="35">
        <v>5994.5190369589991</v>
      </c>
      <c r="I5" t="s">
        <v>1435</v>
      </c>
    </row>
    <row r="6" spans="1:12" x14ac:dyDescent="0.25">
      <c r="A6" s="9" t="s">
        <v>32</v>
      </c>
      <c r="B6" s="35">
        <v>4419.6001488920001</v>
      </c>
      <c r="C6" s="35">
        <v>3414.8904304957005</v>
      </c>
      <c r="E6" s="36">
        <f>GETPIVOTDATA("Aktuelle Position €",$E$3)</f>
        <v>10305.705743581475</v>
      </c>
      <c r="G6" s="36">
        <f>GETPIVOTDATA("Aktuelle Position €",$G$3)</f>
        <v>10305.705743581475</v>
      </c>
      <c r="H6" s="36"/>
      <c r="I6" s="36">
        <f>G6-J6</f>
        <v>-1366.7458774404258</v>
      </c>
      <c r="J6" s="36">
        <f>GETPIVOTDATA("Aktuell Investiert €",$J$3)</f>
        <v>11672.451621021901</v>
      </c>
      <c r="L6" s="36">
        <f>GETPIVOTDATA("Realisierte P&amp;L Verkäufe €",$L$3)</f>
        <v>1619.5446775120006</v>
      </c>
    </row>
    <row r="7" spans="1:12" x14ac:dyDescent="0.25">
      <c r="A7" s="9" t="s">
        <v>1509</v>
      </c>
      <c r="B7" s="35"/>
      <c r="C7" s="35"/>
    </row>
    <row r="8" spans="1:12" x14ac:dyDescent="0.25">
      <c r="A8" s="9" t="s">
        <v>1431</v>
      </c>
      <c r="B8" s="35">
        <v>11672.451621021901</v>
      </c>
      <c r="C8" s="35">
        <v>10305.705743581475</v>
      </c>
    </row>
    <row r="13" spans="1:12" x14ac:dyDescent="0.25">
      <c r="A13" s="33" t="s">
        <v>1432</v>
      </c>
      <c r="B13" t="s">
        <v>1433</v>
      </c>
      <c r="E13" s="33" t="s">
        <v>1432</v>
      </c>
      <c r="F13" t="s">
        <v>1433</v>
      </c>
    </row>
    <row r="14" spans="1:12" x14ac:dyDescent="0.25">
      <c r="A14" s="9" t="s">
        <v>64</v>
      </c>
      <c r="B14" s="35">
        <v>896.29627612677609</v>
      </c>
      <c r="E14" s="9" t="s">
        <v>64</v>
      </c>
      <c r="F14" s="35">
        <v>896.29627612677609</v>
      </c>
    </row>
    <row r="15" spans="1:12" x14ac:dyDescent="0.25">
      <c r="A15" s="34" t="s">
        <v>359</v>
      </c>
      <c r="B15" s="35">
        <v>17.028262449450001</v>
      </c>
      <c r="E15" s="9" t="s">
        <v>464</v>
      </c>
      <c r="F15" s="35">
        <v>5994.5190369589991</v>
      </c>
    </row>
    <row r="16" spans="1:12" x14ac:dyDescent="0.25">
      <c r="A16" s="34" t="s">
        <v>72</v>
      </c>
      <c r="B16" s="35">
        <v>152.088627153435</v>
      </c>
      <c r="E16" s="9" t="s">
        <v>32</v>
      </c>
      <c r="F16" s="35">
        <v>3414.8904304957005</v>
      </c>
    </row>
    <row r="17" spans="1:6" x14ac:dyDescent="0.25">
      <c r="A17" s="34" t="s">
        <v>107</v>
      </c>
      <c r="B17" s="35">
        <v>178.47977230999999</v>
      </c>
      <c r="E17" s="9" t="s">
        <v>1509</v>
      </c>
      <c r="F17" s="35"/>
    </row>
    <row r="18" spans="1:6" x14ac:dyDescent="0.25">
      <c r="A18" s="34" t="s">
        <v>1421</v>
      </c>
      <c r="B18" s="35">
        <v>102.80425789838101</v>
      </c>
      <c r="E18" s="9" t="s">
        <v>1431</v>
      </c>
      <c r="F18" s="35">
        <v>10305.705743581475</v>
      </c>
    </row>
    <row r="19" spans="1:6" x14ac:dyDescent="0.25">
      <c r="A19" s="34" t="s">
        <v>118</v>
      </c>
      <c r="B19" s="35">
        <v>84.844857365999999</v>
      </c>
    </row>
    <row r="20" spans="1:6" x14ac:dyDescent="0.25">
      <c r="A20" s="34" t="s">
        <v>355</v>
      </c>
      <c r="B20" s="35">
        <v>20.026190199509998</v>
      </c>
    </row>
    <row r="21" spans="1:6" x14ac:dyDescent="0.25">
      <c r="A21" s="34" t="s">
        <v>114</v>
      </c>
      <c r="B21" s="35">
        <v>42.33</v>
      </c>
    </row>
    <row r="22" spans="1:6" x14ac:dyDescent="0.25">
      <c r="A22" s="34" t="s">
        <v>69</v>
      </c>
      <c r="B22" s="35">
        <v>298.69430875</v>
      </c>
    </row>
    <row r="23" spans="1:6" x14ac:dyDescent="0.25">
      <c r="A23" s="9" t="s">
        <v>464</v>
      </c>
      <c r="B23" s="35">
        <v>5994.5190369589991</v>
      </c>
    </row>
    <row r="24" spans="1:6" x14ac:dyDescent="0.25">
      <c r="A24" s="34" t="s">
        <v>1154</v>
      </c>
      <c r="B24" s="35">
        <v>707.67878892900001</v>
      </c>
    </row>
    <row r="25" spans="1:6" x14ac:dyDescent="0.25">
      <c r="A25" s="34" t="s">
        <v>526</v>
      </c>
      <c r="B25" s="35">
        <v>1001.1032262000002</v>
      </c>
    </row>
    <row r="26" spans="1:6" x14ac:dyDescent="0.25">
      <c r="A26" s="34" t="s">
        <v>815</v>
      </c>
      <c r="B26" s="35">
        <v>727.9281033499999</v>
      </c>
    </row>
    <row r="27" spans="1:6" x14ac:dyDescent="0.25">
      <c r="A27" s="34" t="s">
        <v>1018</v>
      </c>
      <c r="B27" s="35">
        <v>359.96695224000001</v>
      </c>
    </row>
    <row r="28" spans="1:6" x14ac:dyDescent="0.25">
      <c r="A28" s="34" t="s">
        <v>1004</v>
      </c>
      <c r="B28" s="35">
        <v>461.82631348499996</v>
      </c>
    </row>
    <row r="29" spans="1:6" x14ac:dyDescent="0.25">
      <c r="A29" s="34" t="s">
        <v>799</v>
      </c>
      <c r="B29" s="35">
        <v>625.67999999999995</v>
      </c>
    </row>
    <row r="30" spans="1:6" x14ac:dyDescent="0.25">
      <c r="A30" s="34" t="s">
        <v>1237</v>
      </c>
      <c r="B30" s="35">
        <v>404.58331714999997</v>
      </c>
    </row>
    <row r="31" spans="1:6" x14ac:dyDescent="0.25">
      <c r="A31" s="34" t="s">
        <v>1178</v>
      </c>
      <c r="B31" s="35">
        <v>564.82111904999999</v>
      </c>
    </row>
    <row r="32" spans="1:6" x14ac:dyDescent="0.25">
      <c r="A32" s="34" t="s">
        <v>1011</v>
      </c>
      <c r="B32" s="35">
        <v>360.40223607500002</v>
      </c>
    </row>
    <row r="33" spans="1:2" x14ac:dyDescent="0.25">
      <c r="A33" s="34" t="s">
        <v>955</v>
      </c>
      <c r="B33" s="35">
        <v>376.75835539999997</v>
      </c>
    </row>
    <row r="34" spans="1:2" x14ac:dyDescent="0.25">
      <c r="A34" s="34" t="s">
        <v>948</v>
      </c>
      <c r="B34" s="35">
        <v>403.77062508</v>
      </c>
    </row>
    <row r="35" spans="1:2" x14ac:dyDescent="0.25">
      <c r="A35" s="9" t="s">
        <v>32</v>
      </c>
      <c r="B35" s="35">
        <v>3414.8904304957005</v>
      </c>
    </row>
    <row r="36" spans="1:2" x14ac:dyDescent="0.25">
      <c r="A36" s="34" t="s">
        <v>262</v>
      </c>
      <c r="B36" s="35">
        <v>25.002516923999973</v>
      </c>
    </row>
    <row r="37" spans="1:2" x14ac:dyDescent="0.25">
      <c r="A37" s="34" t="s">
        <v>300</v>
      </c>
      <c r="B37" s="35">
        <v>44.7</v>
      </c>
    </row>
    <row r="38" spans="1:2" x14ac:dyDescent="0.25">
      <c r="A38" s="34" t="s">
        <v>167</v>
      </c>
      <c r="B38" s="35">
        <v>1026.6783391327999</v>
      </c>
    </row>
    <row r="39" spans="1:2" x14ac:dyDescent="0.25">
      <c r="A39" s="34" t="s">
        <v>154</v>
      </c>
      <c r="B39" s="35">
        <v>586.40832014400007</v>
      </c>
    </row>
    <row r="40" spans="1:2" x14ac:dyDescent="0.25">
      <c r="A40" s="34" t="s">
        <v>664</v>
      </c>
      <c r="B40" s="35">
        <v>318.08277474599998</v>
      </c>
    </row>
    <row r="41" spans="1:2" x14ac:dyDescent="0.25">
      <c r="A41" s="34" t="s">
        <v>747</v>
      </c>
      <c r="B41" s="35">
        <v>457.48173097520004</v>
      </c>
    </row>
    <row r="42" spans="1:2" x14ac:dyDescent="0.25">
      <c r="A42" s="34" t="s">
        <v>1182</v>
      </c>
      <c r="B42" s="35">
        <v>241.88669414000003</v>
      </c>
    </row>
    <row r="43" spans="1:2" x14ac:dyDescent="0.25">
      <c r="A43" s="34" t="s">
        <v>515</v>
      </c>
      <c r="B43" s="35">
        <v>618.27505852000002</v>
      </c>
    </row>
    <row r="44" spans="1:2" x14ac:dyDescent="0.25">
      <c r="A44" s="34" t="s">
        <v>1444</v>
      </c>
      <c r="B44" s="35">
        <v>96.374995913700005</v>
      </c>
    </row>
    <row r="45" spans="1:2" x14ac:dyDescent="0.25">
      <c r="A45" s="9" t="s">
        <v>1431</v>
      </c>
      <c r="B45" s="35">
        <v>10305.705743581475</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109C-AB4F-4B69-996A-032706F4A214}">
  <dimension ref="A8:D257"/>
  <sheetViews>
    <sheetView workbookViewId="0">
      <selection activeCell="A46" sqref="A46"/>
    </sheetView>
  </sheetViews>
  <sheetFormatPr baseColWidth="10" defaultRowHeight="15" x14ac:dyDescent="0.25"/>
  <cols>
    <col min="1" max="1" width="43.140625" bestFit="1" customWidth="1"/>
    <col min="2" max="2" width="19.140625" style="38" bestFit="1" customWidth="1"/>
    <col min="3" max="3" width="26.140625" style="5" bestFit="1" customWidth="1"/>
    <col min="4" max="4" width="14.28515625" style="5" bestFit="1" customWidth="1"/>
  </cols>
  <sheetData>
    <row r="8" spans="1:4" x14ac:dyDescent="0.25">
      <c r="A8" s="33" t="s">
        <v>1432</v>
      </c>
      <c r="B8" s="28" t="s">
        <v>1440</v>
      </c>
      <c r="C8" s="5" t="s">
        <v>1436</v>
      </c>
      <c r="D8" s="5" t="s">
        <v>1433</v>
      </c>
    </row>
    <row r="9" spans="1:4" x14ac:dyDescent="0.25">
      <c r="A9" s="9" t="s">
        <v>64</v>
      </c>
      <c r="B9" s="28"/>
      <c r="C9" s="37"/>
      <c r="D9" s="37"/>
    </row>
    <row r="10" spans="1:4" x14ac:dyDescent="0.25">
      <c r="A10" s="34" t="s">
        <v>359</v>
      </c>
      <c r="B10" s="28">
        <v>160.77442500000001</v>
      </c>
      <c r="C10" s="37">
        <v>0.10591399999999999</v>
      </c>
      <c r="D10" s="37">
        <v>17.028262449450001</v>
      </c>
    </row>
    <row r="11" spans="1:4" x14ac:dyDescent="0.25">
      <c r="A11" s="34" t="s">
        <v>72</v>
      </c>
      <c r="B11" s="28">
        <v>714.061285</v>
      </c>
      <c r="C11" s="37">
        <v>0.21299100000000001</v>
      </c>
      <c r="D11" s="37">
        <v>152.088627153435</v>
      </c>
    </row>
    <row r="12" spans="1:4" x14ac:dyDescent="0.25">
      <c r="A12" s="34" t="s">
        <v>107</v>
      </c>
      <c r="B12" s="28">
        <v>15.560572999999998</v>
      </c>
      <c r="C12" s="37">
        <v>11.47</v>
      </c>
      <c r="D12" s="37">
        <v>178.47977230999999</v>
      </c>
    </row>
    <row r="13" spans="1:4" x14ac:dyDescent="0.25">
      <c r="A13" s="34" t="s">
        <v>1421</v>
      </c>
      <c r="B13" s="28">
        <v>1356.0241370000001</v>
      </c>
      <c r="C13" s="37">
        <v>7.5813000000000005E-2</v>
      </c>
      <c r="D13" s="37">
        <v>102.80425789838101</v>
      </c>
    </row>
    <row r="14" spans="1:4" x14ac:dyDescent="0.25">
      <c r="A14" s="34" t="s">
        <v>118</v>
      </c>
      <c r="B14" s="28">
        <v>80.193626999999992</v>
      </c>
      <c r="C14" s="37">
        <v>1.0580000000000001</v>
      </c>
      <c r="D14" s="37">
        <v>84.844857365999999</v>
      </c>
    </row>
    <row r="15" spans="1:4" x14ac:dyDescent="0.25">
      <c r="A15" s="34" t="s">
        <v>355</v>
      </c>
      <c r="B15" s="28">
        <v>223.93145699999999</v>
      </c>
      <c r="C15" s="37">
        <v>8.9429999999999996E-2</v>
      </c>
      <c r="D15" s="37">
        <v>20.026190199509998</v>
      </c>
    </row>
    <row r="16" spans="1:4" x14ac:dyDescent="0.25">
      <c r="A16" s="34" t="s">
        <v>114</v>
      </c>
      <c r="B16" s="28">
        <v>24.9</v>
      </c>
      <c r="C16" s="37">
        <v>1.7</v>
      </c>
      <c r="D16" s="37">
        <v>42.33</v>
      </c>
    </row>
    <row r="17" spans="1:4" x14ac:dyDescent="0.25">
      <c r="A17" s="34" t="s">
        <v>69</v>
      </c>
      <c r="B17" s="28">
        <v>238.95544699999999</v>
      </c>
      <c r="C17" s="37">
        <v>1.25</v>
      </c>
      <c r="D17" s="37">
        <v>298.69430875</v>
      </c>
    </row>
    <row r="18" spans="1:4" x14ac:dyDescent="0.25">
      <c r="A18" s="9" t="s">
        <v>1437</v>
      </c>
      <c r="B18" s="28">
        <v>2814.4009510000005</v>
      </c>
      <c r="C18" s="37">
        <v>15.962147999999999</v>
      </c>
      <c r="D18" s="37">
        <v>896.29627612677609</v>
      </c>
    </row>
    <row r="19" spans="1:4" x14ac:dyDescent="0.25">
      <c r="A19" s="9"/>
      <c r="B19" s="28"/>
      <c r="C19" s="37"/>
      <c r="D19" s="37"/>
    </row>
    <row r="20" spans="1:4" x14ac:dyDescent="0.25">
      <c r="A20" s="9" t="s">
        <v>464</v>
      </c>
      <c r="B20" s="28"/>
      <c r="C20" s="37"/>
      <c r="D20" s="37"/>
    </row>
    <row r="21" spans="1:4" x14ac:dyDescent="0.25">
      <c r="A21" s="34" t="s">
        <v>1154</v>
      </c>
      <c r="B21" s="28">
        <v>14.461017</v>
      </c>
      <c r="C21" s="37">
        <v>48.936999999999998</v>
      </c>
      <c r="D21" s="37">
        <v>707.67878892900001</v>
      </c>
    </row>
    <row r="22" spans="1:4" x14ac:dyDescent="0.25">
      <c r="A22" s="34" t="s">
        <v>526</v>
      </c>
      <c r="B22" s="28">
        <v>1.3358730000000003</v>
      </c>
      <c r="C22" s="37">
        <v>749.4</v>
      </c>
      <c r="D22" s="37">
        <v>1001.1032262000002</v>
      </c>
    </row>
    <row r="23" spans="1:4" x14ac:dyDescent="0.25">
      <c r="A23" s="34" t="s">
        <v>815</v>
      </c>
      <c r="B23" s="28">
        <v>2.3372229999999998</v>
      </c>
      <c r="C23" s="37">
        <v>311.45</v>
      </c>
      <c r="D23" s="37">
        <v>727.9281033499999</v>
      </c>
    </row>
    <row r="24" spans="1:4" x14ac:dyDescent="0.25">
      <c r="A24" s="34" t="s">
        <v>1018</v>
      </c>
      <c r="B24" s="28">
        <v>7.1821020000000004</v>
      </c>
      <c r="C24" s="37">
        <v>50.12</v>
      </c>
      <c r="D24" s="37">
        <v>359.96695224000001</v>
      </c>
    </row>
    <row r="25" spans="1:4" x14ac:dyDescent="0.25">
      <c r="A25" s="34" t="s">
        <v>1004</v>
      </c>
      <c r="B25" s="28">
        <v>102.799402</v>
      </c>
      <c r="C25" s="37">
        <v>4.4924999999999997</v>
      </c>
      <c r="D25" s="37">
        <v>461.82631348499996</v>
      </c>
    </row>
    <row r="26" spans="1:4" x14ac:dyDescent="0.25">
      <c r="A26" s="34" t="s">
        <v>799</v>
      </c>
      <c r="B26" s="28">
        <v>4</v>
      </c>
      <c r="C26" s="37">
        <v>156.41999999999999</v>
      </c>
      <c r="D26" s="37">
        <v>625.67999999999995</v>
      </c>
    </row>
    <row r="27" spans="1:4" x14ac:dyDescent="0.25">
      <c r="A27" s="34" t="s">
        <v>1237</v>
      </c>
      <c r="B27" s="28">
        <v>8.3333329999999997</v>
      </c>
      <c r="C27" s="37">
        <v>48.55</v>
      </c>
      <c r="D27" s="37">
        <v>404.58331714999997</v>
      </c>
    </row>
    <row r="28" spans="1:4" x14ac:dyDescent="0.25">
      <c r="A28" s="34" t="s">
        <v>1178</v>
      </c>
      <c r="B28" s="28">
        <v>10.354191</v>
      </c>
      <c r="C28" s="37">
        <v>54.55</v>
      </c>
      <c r="D28" s="37">
        <v>564.82111904999999</v>
      </c>
    </row>
    <row r="29" spans="1:4" x14ac:dyDescent="0.25">
      <c r="A29" s="34" t="s">
        <v>1011</v>
      </c>
      <c r="B29" s="28">
        <v>8.7359650000000002</v>
      </c>
      <c r="C29" s="37">
        <v>41.255000000000003</v>
      </c>
      <c r="D29" s="37">
        <v>360.40223607500002</v>
      </c>
    </row>
    <row r="30" spans="1:4" x14ac:dyDescent="0.25">
      <c r="A30" s="34" t="s">
        <v>955</v>
      </c>
      <c r="B30" s="28">
        <v>14.728630000000001</v>
      </c>
      <c r="C30" s="37">
        <v>25.58</v>
      </c>
      <c r="D30" s="37">
        <v>376.75835539999997</v>
      </c>
    </row>
    <row r="31" spans="1:4" x14ac:dyDescent="0.25">
      <c r="A31" s="34" t="s">
        <v>948</v>
      </c>
      <c r="B31" s="28">
        <v>5.9082619999999997</v>
      </c>
      <c r="C31" s="37">
        <v>68.34</v>
      </c>
      <c r="D31" s="37">
        <v>403.77062508</v>
      </c>
    </row>
    <row r="32" spans="1:4" x14ac:dyDescent="0.25">
      <c r="A32" s="9" t="s">
        <v>1438</v>
      </c>
      <c r="B32" s="28">
        <v>180.17599799999999</v>
      </c>
      <c r="C32" s="37">
        <v>1559.0944999999999</v>
      </c>
      <c r="D32" s="37">
        <v>5994.5190369589991</v>
      </c>
    </row>
    <row r="33" spans="1:4" x14ac:dyDescent="0.25">
      <c r="A33" s="9"/>
      <c r="B33" s="28"/>
      <c r="C33" s="37"/>
      <c r="D33" s="37"/>
    </row>
    <row r="34" spans="1:4" x14ac:dyDescent="0.25">
      <c r="A34" s="9" t="s">
        <v>32</v>
      </c>
      <c r="B34" s="28"/>
      <c r="C34" s="37"/>
      <c r="D34" s="37"/>
    </row>
    <row r="35" spans="1:4" x14ac:dyDescent="0.25">
      <c r="A35" s="34" t="s">
        <v>262</v>
      </c>
      <c r="B35" s="28">
        <v>0.58191399999999938</v>
      </c>
      <c r="C35" s="37">
        <v>42.966000000000001</v>
      </c>
      <c r="D35" s="37">
        <v>25.002516923999973</v>
      </c>
    </row>
    <row r="36" spans="1:4" x14ac:dyDescent="0.25">
      <c r="A36" s="34" t="s">
        <v>300</v>
      </c>
      <c r="B36" s="28">
        <v>30</v>
      </c>
      <c r="C36" s="37">
        <v>1.49</v>
      </c>
      <c r="D36" s="37">
        <v>44.7</v>
      </c>
    </row>
    <row r="37" spans="1:4" x14ac:dyDescent="0.25">
      <c r="A37" s="34" t="s">
        <v>167</v>
      </c>
      <c r="B37" s="28">
        <v>1026.267832</v>
      </c>
      <c r="C37" s="37">
        <v>1.0004</v>
      </c>
      <c r="D37" s="37">
        <v>1026.6783391327999</v>
      </c>
    </row>
    <row r="38" spans="1:4" x14ac:dyDescent="0.25">
      <c r="A38" s="34" t="s">
        <v>154</v>
      </c>
      <c r="B38" s="28">
        <v>43.787957000000006</v>
      </c>
      <c r="C38" s="37">
        <v>13.391999999999999</v>
      </c>
      <c r="D38" s="37">
        <v>586.40832014400007</v>
      </c>
    </row>
    <row r="39" spans="1:4" x14ac:dyDescent="0.25">
      <c r="A39" s="34" t="s">
        <v>664</v>
      </c>
      <c r="B39" s="28">
        <v>43.728729000000001</v>
      </c>
      <c r="C39" s="37">
        <v>7.274</v>
      </c>
      <c r="D39" s="37">
        <v>318.08277474599998</v>
      </c>
    </row>
    <row r="40" spans="1:4" x14ac:dyDescent="0.25">
      <c r="A40" s="34" t="s">
        <v>747</v>
      </c>
      <c r="B40" s="28">
        <v>7.1999240000000002</v>
      </c>
      <c r="C40" s="37">
        <v>63.5398</v>
      </c>
      <c r="D40" s="37">
        <v>457.48173097520004</v>
      </c>
    </row>
    <row r="41" spans="1:4" x14ac:dyDescent="0.25">
      <c r="A41" s="34" t="s">
        <v>1182</v>
      </c>
      <c r="B41" s="28">
        <v>7.7689640000000004</v>
      </c>
      <c r="C41" s="37">
        <v>31.135000000000002</v>
      </c>
      <c r="D41" s="37">
        <v>241.88669414000003</v>
      </c>
    </row>
    <row r="42" spans="1:4" x14ac:dyDescent="0.25">
      <c r="A42" s="34" t="s">
        <v>515</v>
      </c>
      <c r="B42" s="28">
        <v>74.851702000000003</v>
      </c>
      <c r="C42" s="37">
        <v>8.26</v>
      </c>
      <c r="D42" s="37">
        <v>618.27505852000002</v>
      </c>
    </row>
    <row r="43" spans="1:4" x14ac:dyDescent="0.25">
      <c r="A43" s="34" t="s">
        <v>1444</v>
      </c>
      <c r="B43" s="28">
        <v>8.5034010000000002</v>
      </c>
      <c r="C43" s="37">
        <v>11.3337</v>
      </c>
      <c r="D43" s="37">
        <v>96.374995913700005</v>
      </c>
    </row>
    <row r="44" spans="1:4" x14ac:dyDescent="0.25">
      <c r="A44" s="9" t="s">
        <v>1439</v>
      </c>
      <c r="B44" s="28">
        <v>1242.690423</v>
      </c>
      <c r="C44" s="37">
        <v>180.39089999999996</v>
      </c>
      <c r="D44" s="37">
        <v>3414.8904304957005</v>
      </c>
    </row>
    <row r="45" spans="1:4" x14ac:dyDescent="0.25">
      <c r="A45" s="9"/>
      <c r="B45" s="28"/>
      <c r="C45" s="37"/>
      <c r="D45" s="37"/>
    </row>
    <row r="46" spans="1:4" x14ac:dyDescent="0.25">
      <c r="A46" s="9" t="s">
        <v>1431</v>
      </c>
      <c r="B46" s="28">
        <v>4237.2673720000003</v>
      </c>
      <c r="C46" s="37">
        <v>1755.4475479999994</v>
      </c>
      <c r="D46" s="37">
        <v>10305.705743581475</v>
      </c>
    </row>
    <row r="47" spans="1:4" x14ac:dyDescent="0.25">
      <c r="B47"/>
      <c r="C47"/>
      <c r="D47"/>
    </row>
    <row r="48" spans="1:4" x14ac:dyDescent="0.25">
      <c r="B48"/>
      <c r="C48"/>
      <c r="D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4F89-B4ED-4808-9C00-A3B6C1DF5B63}">
  <dimension ref="A1"/>
  <sheetViews>
    <sheetView topLeftCell="A4" workbookViewId="0"/>
  </sheetViews>
  <sheetFormatPr baseColWidth="10"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D85C-3C59-498C-B766-12C9EBD446D4}">
  <dimension ref="A1"/>
  <sheetViews>
    <sheetView workbookViewId="0">
      <selection activeCell="F4" sqref="F4"/>
    </sheetView>
  </sheetViews>
  <sheetFormatPr baseColWidth="10" defaultRowHeight="15" x14ac:dyDescent="0.25"/>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1B2D-1891-4987-A7E4-8A2F1DC5C462}">
  <dimension ref="A1:B11"/>
  <sheetViews>
    <sheetView topLeftCell="A6" workbookViewId="0">
      <selection activeCell="A12" sqref="A12"/>
    </sheetView>
  </sheetViews>
  <sheetFormatPr baseColWidth="10" defaultRowHeight="15" x14ac:dyDescent="0.25"/>
  <cols>
    <col min="1" max="1" width="28.85546875" customWidth="1"/>
    <col min="2" max="2" width="37.140625" customWidth="1"/>
  </cols>
  <sheetData>
    <row r="1" spans="1:2" ht="17.25" thickBot="1" x14ac:dyDescent="0.3">
      <c r="A1" s="2" t="s">
        <v>1259</v>
      </c>
      <c r="B1" s="2" t="s">
        <v>1260</v>
      </c>
    </row>
    <row r="2" spans="1:2" ht="17.25" thickBot="1" x14ac:dyDescent="0.3">
      <c r="A2" s="2" t="s">
        <v>1261</v>
      </c>
      <c r="B2" s="3" t="s">
        <v>1262</v>
      </c>
    </row>
    <row r="3" spans="1:2" ht="17.25" thickBot="1" x14ac:dyDescent="0.3">
      <c r="A3" s="2" t="s">
        <v>1263</v>
      </c>
      <c r="B3" s="3" t="s">
        <v>1264</v>
      </c>
    </row>
    <row r="4" spans="1:2" ht="33.75" thickBot="1" x14ac:dyDescent="0.3">
      <c r="A4" s="2" t="s">
        <v>1265</v>
      </c>
      <c r="B4" s="3" t="s">
        <v>1315</v>
      </c>
    </row>
    <row r="5" spans="1:2" ht="33.75" thickBot="1" x14ac:dyDescent="0.3">
      <c r="A5" s="2" t="s">
        <v>1266</v>
      </c>
      <c r="B5" s="3" t="s">
        <v>1316</v>
      </c>
    </row>
    <row r="6" spans="1:2" ht="33.75" thickBot="1" x14ac:dyDescent="0.3">
      <c r="A6" s="2" t="s">
        <v>1267</v>
      </c>
      <c r="B6" s="3" t="s">
        <v>1268</v>
      </c>
    </row>
    <row r="7" spans="1:2" ht="33.75" thickBot="1" x14ac:dyDescent="0.3">
      <c r="A7" s="2" t="s">
        <v>1269</v>
      </c>
      <c r="B7" s="3" t="s">
        <v>1270</v>
      </c>
    </row>
    <row r="8" spans="1:2" ht="17.25" thickBot="1" x14ac:dyDescent="0.3">
      <c r="A8" s="2" t="s">
        <v>1271</v>
      </c>
      <c r="B8" s="3" t="s">
        <v>1272</v>
      </c>
    </row>
    <row r="9" spans="1:2" ht="17.25" thickBot="1" x14ac:dyDescent="0.3">
      <c r="A9" s="2" t="s">
        <v>1256</v>
      </c>
      <c r="B9" s="3" t="s">
        <v>1273</v>
      </c>
    </row>
    <row r="10" spans="1:2" ht="33.75" thickBot="1" x14ac:dyDescent="0.3">
      <c r="A10" s="2" t="s">
        <v>1274</v>
      </c>
      <c r="B10" s="3" t="s">
        <v>1275</v>
      </c>
    </row>
    <row r="11" spans="1:2" ht="33.75" thickBot="1" x14ac:dyDescent="0.3">
      <c r="A11" s="2" t="s">
        <v>1276</v>
      </c>
      <c r="B11" s="3" t="s">
        <v>1277</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9D26-F51A-42B4-A3C7-A26D19B92DFD}">
  <dimension ref="A1:B7"/>
  <sheetViews>
    <sheetView topLeftCell="A19" workbookViewId="0">
      <selection activeCell="B4" sqref="B4"/>
    </sheetView>
  </sheetViews>
  <sheetFormatPr baseColWidth="10" defaultRowHeight="15" x14ac:dyDescent="0.25"/>
  <cols>
    <col min="1" max="1" width="22.42578125" bestFit="1" customWidth="1"/>
  </cols>
  <sheetData>
    <row r="1" spans="1:2" x14ac:dyDescent="0.25">
      <c r="A1" t="s">
        <v>1452</v>
      </c>
    </row>
    <row r="2" spans="1:2" x14ac:dyDescent="0.25">
      <c r="A2" t="s">
        <v>1448</v>
      </c>
      <c r="B2" s="19">
        <v>96.11</v>
      </c>
    </row>
    <row r="3" spans="1:2" x14ac:dyDescent="0.25">
      <c r="A3" t="s">
        <v>1449</v>
      </c>
      <c r="B3">
        <v>7.237006</v>
      </c>
    </row>
    <row r="4" spans="1:2" x14ac:dyDescent="0.25">
      <c r="A4" t="s">
        <v>1450</v>
      </c>
      <c r="B4" s="19">
        <v>50</v>
      </c>
    </row>
    <row r="5" spans="1:2" x14ac:dyDescent="0.25">
      <c r="A5" t="s">
        <v>1451</v>
      </c>
      <c r="B5" s="41">
        <f>IF(ABS(B3)&gt;0,(B2*B3+B4)/B3,0)</f>
        <v>103.01893444056839</v>
      </c>
    </row>
    <row r="6" spans="1:2" x14ac:dyDescent="0.25">
      <c r="A6" t="s">
        <v>1454</v>
      </c>
      <c r="B6" s="43">
        <f>B4/B5</f>
        <v>0.48534767197427181</v>
      </c>
    </row>
    <row r="7" spans="1:2" x14ac:dyDescent="0.25">
      <c r="A7" t="s">
        <v>1453</v>
      </c>
      <c r="B7" s="42">
        <f>IF(ABS(B3)&gt;0,B4/(B3*B2),0)</f>
        <v>7.1885698060226599E-2</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5F3B-BA56-4355-A5CF-91CB0C6EC9E0}">
  <dimension ref="A1:H75"/>
  <sheetViews>
    <sheetView tabSelected="1" workbookViewId="0">
      <selection activeCell="H1" sqref="H1:H1048576"/>
    </sheetView>
  </sheetViews>
  <sheetFormatPr baseColWidth="10" defaultRowHeight="15" x14ac:dyDescent="0.25"/>
  <cols>
    <col min="1" max="1" width="49" style="9" bestFit="1" customWidth="1"/>
    <col min="2" max="3" width="20" style="5" customWidth="1"/>
    <col min="4" max="4" width="29.42578125" style="6" bestFit="1" customWidth="1"/>
    <col min="5" max="5" width="20" style="6" customWidth="1"/>
    <col min="6" max="7" width="34.85546875" style="6" customWidth="1"/>
    <col min="8" max="8" width="34.85546875" style="6" bestFit="1" customWidth="1"/>
  </cols>
  <sheetData>
    <row r="1" spans="1:8" x14ac:dyDescent="0.25">
      <c r="A1" s="8" t="s">
        <v>1244</v>
      </c>
      <c r="B1" s="4" t="s">
        <v>1245</v>
      </c>
      <c r="C1" s="4" t="s">
        <v>1396</v>
      </c>
      <c r="D1" s="16" t="s">
        <v>1338</v>
      </c>
      <c r="E1" s="16" t="s">
        <v>1250</v>
      </c>
      <c r="F1" s="16" t="s">
        <v>1510</v>
      </c>
      <c r="G1" s="16" t="s">
        <v>1511</v>
      </c>
      <c r="H1" s="16" t="s">
        <v>1349</v>
      </c>
    </row>
    <row r="2" spans="1:8" x14ac:dyDescent="0.25">
      <c r="A2" s="9" t="s">
        <v>359</v>
      </c>
      <c r="B2" s="5" t="s">
        <v>64</v>
      </c>
      <c r="C2" s="5" t="s">
        <v>360</v>
      </c>
      <c r="D2" s="6">
        <f>0</f>
        <v>0</v>
      </c>
      <c r="E2" s="6">
        <f>0</f>
        <v>0</v>
      </c>
      <c r="F2" s="6">
        <f>SUMIFS(Daten!L:L,Daten!H:H,C2,Daten!E:E,"BUY")*-1</f>
        <v>1</v>
      </c>
      <c r="G2" s="6">
        <f>SUMIFS(Daten!L:L,Daten!H:H,C2,Daten!E:E,"SELL")*-1</f>
        <v>0</v>
      </c>
      <c r="H2" s="6">
        <f>IF(E2&gt;0,E2+F2-D2,0)</f>
        <v>0</v>
      </c>
    </row>
    <row r="3" spans="1:8" x14ac:dyDescent="0.25">
      <c r="A3" s="9" t="s">
        <v>262</v>
      </c>
      <c r="B3" s="5" t="s">
        <v>32</v>
      </c>
      <c r="C3" s="5" t="s">
        <v>263</v>
      </c>
      <c r="D3" s="6">
        <f>-0.93+1.33+116.15+0.61</f>
        <v>117.16000000000001</v>
      </c>
      <c r="E3" s="6">
        <f>0.13+37.89+620.16</f>
        <v>658.18</v>
      </c>
      <c r="F3" s="6">
        <f>SUMIFS(Daten!L:L,Daten!H:H,C3,Daten!E:E,"BUY")*-1</f>
        <v>5</v>
      </c>
      <c r="G3" s="6">
        <f>SUMIFS(Daten!L:L,Daten!H:H,C3,Daten!E:E,"SELL")*-1</f>
        <v>3</v>
      </c>
      <c r="H3" s="6">
        <f>IF(E3&gt;0,E3+F3-D3,0)</f>
        <v>546.02</v>
      </c>
    </row>
    <row r="4" spans="1:8" x14ac:dyDescent="0.25">
      <c r="A4" s="9" t="s">
        <v>590</v>
      </c>
      <c r="B4" s="5" t="s">
        <v>32</v>
      </c>
      <c r="C4" s="5" t="s">
        <v>591</v>
      </c>
      <c r="D4" s="6">
        <f>12.45+6.43+8.97+3.4</f>
        <v>31.25</v>
      </c>
      <c r="E4" s="6">
        <f>163.46+308.44+209.97</f>
        <v>681.87</v>
      </c>
      <c r="F4" s="6">
        <f>SUMIFS(Daten!L:L,Daten!H:H,C4,Daten!E:E,"BUY")*-1</f>
        <v>4</v>
      </c>
      <c r="G4" s="6">
        <f>SUMIFS(Daten!L:L,Daten!H:H,C4,Daten!E:E,"SELL")*-1</f>
        <v>3</v>
      </c>
      <c r="H4" s="6">
        <f t="shared" ref="H3:H63" si="0">IF(E4&gt;0,E4+F4-D4,0)</f>
        <v>654.62</v>
      </c>
    </row>
    <row r="5" spans="1:8" x14ac:dyDescent="0.25">
      <c r="A5" s="9" t="s">
        <v>211</v>
      </c>
      <c r="B5" s="5" t="s">
        <v>32</v>
      </c>
      <c r="C5" s="5" t="s">
        <v>212</v>
      </c>
      <c r="D5" s="6">
        <f>88.04</f>
        <v>88.04</v>
      </c>
      <c r="E5" s="6">
        <f>726.03</f>
        <v>726.03</v>
      </c>
      <c r="F5" s="6">
        <f>SUMIFS(Daten!L:L,Daten!H:H,C5,Daten!E:E,"BUY")*-1</f>
        <v>12</v>
      </c>
      <c r="G5" s="6">
        <f>SUMIFS(Daten!L:L,Daten!H:H,C5,Daten!E:E,"SELL")*-1</f>
        <v>1</v>
      </c>
      <c r="H5" s="6">
        <f t="shared" si="0"/>
        <v>649.99</v>
      </c>
    </row>
    <row r="6" spans="1:8" x14ac:dyDescent="0.25">
      <c r="A6" s="9" t="s">
        <v>471</v>
      </c>
      <c r="B6" s="5" t="s">
        <v>32</v>
      </c>
      <c r="C6" s="5" t="s">
        <v>472</v>
      </c>
      <c r="D6" s="6">
        <f>10.15-16.69</f>
        <v>-6.5400000000000009</v>
      </c>
      <c r="E6" s="6">
        <f>144.2+96.26</f>
        <v>240.45999999999998</v>
      </c>
      <c r="F6" s="6">
        <f>SUMIFS(Daten!L:L,Daten!H:H,C6,Daten!E:E,"BUY")*-1</f>
        <v>3</v>
      </c>
      <c r="G6" s="6">
        <f>SUMIFS(Daten!L:L,Daten!H:H,C6,Daten!E:E,"SELL")*-1</f>
        <v>2</v>
      </c>
      <c r="H6" s="6">
        <f t="shared" si="0"/>
        <v>249.99999999999997</v>
      </c>
    </row>
    <row r="7" spans="1:8" x14ac:dyDescent="0.25">
      <c r="A7" s="9" t="s">
        <v>72</v>
      </c>
      <c r="B7" s="5" t="s">
        <v>64</v>
      </c>
      <c r="C7" s="5" t="s">
        <v>73</v>
      </c>
      <c r="D7" s="6">
        <f>0</f>
        <v>0</v>
      </c>
      <c r="E7" s="6">
        <f>0</f>
        <v>0</v>
      </c>
      <c r="F7" s="6">
        <f>SUMIFS(Daten!L:L,Daten!H:H,C7,Daten!E:E,"BUY")*-1</f>
        <v>5</v>
      </c>
      <c r="G7" s="6">
        <f>SUMIFS(Daten!L:L,Daten!H:H,C7,Daten!E:E,"SELL")*-1</f>
        <v>0</v>
      </c>
      <c r="H7" s="6">
        <f t="shared" si="0"/>
        <v>0</v>
      </c>
    </row>
    <row r="8" spans="1:8" x14ac:dyDescent="0.25">
      <c r="A8" s="9" t="s">
        <v>293</v>
      </c>
      <c r="B8" s="5" t="s">
        <v>32</v>
      </c>
      <c r="C8" s="5" t="s">
        <v>294</v>
      </c>
      <c r="D8" s="6">
        <f>0.87+49.75</f>
        <v>50.62</v>
      </c>
      <c r="E8" s="6">
        <f>7.82+242.8</f>
        <v>250.62</v>
      </c>
      <c r="F8" s="6">
        <f>SUMIFS(Daten!L:L,Daten!H:H,C8,Daten!E:E,"BUY")*-1</f>
        <v>1</v>
      </c>
      <c r="G8" s="6">
        <f>SUMIFS(Daten!L:L,Daten!H:H,C8,Daten!E:E,"SELL")*-1</f>
        <v>2</v>
      </c>
      <c r="H8" s="6">
        <f t="shared" si="0"/>
        <v>201</v>
      </c>
    </row>
    <row r="9" spans="1:8" x14ac:dyDescent="0.25">
      <c r="A9" s="9" t="s">
        <v>107</v>
      </c>
      <c r="B9" s="5" t="s">
        <v>64</v>
      </c>
      <c r="C9" s="5" t="s">
        <v>108</v>
      </c>
      <c r="D9" s="6">
        <f>15.53</f>
        <v>15.53</v>
      </c>
      <c r="E9" s="6">
        <f>262.53</f>
        <v>262.52999999999997</v>
      </c>
      <c r="F9" s="6">
        <f>SUMIFS(Daten!L:L,Daten!H:H,C9,Daten!E:E,"BUY")*-1</f>
        <v>7</v>
      </c>
      <c r="G9" s="6">
        <f>SUMIFS(Daten!L:L,Daten!H:H,C9,Daten!E:E,"SELL")*-1</f>
        <v>1</v>
      </c>
      <c r="H9" s="6">
        <f t="shared" si="0"/>
        <v>253.99999999999997</v>
      </c>
    </row>
    <row r="10" spans="1:8" x14ac:dyDescent="0.25">
      <c r="A10" s="9" t="s">
        <v>1154</v>
      </c>
      <c r="B10" s="5" t="s">
        <v>464</v>
      </c>
      <c r="C10" s="5" t="s">
        <v>1155</v>
      </c>
      <c r="D10" s="6">
        <f>0</f>
        <v>0</v>
      </c>
      <c r="E10" s="6">
        <f>0</f>
        <v>0</v>
      </c>
      <c r="F10" s="6">
        <f>SUMIFS(Daten!L:L,Daten!H:H,C10,Daten!E:E,"BUY")*-1</f>
        <v>1</v>
      </c>
      <c r="G10" s="6">
        <f>SUMIFS(Daten!L:L,Daten!H:H,C10,Daten!E:E,"SELL")*-1</f>
        <v>0</v>
      </c>
      <c r="H10" s="6">
        <f t="shared" si="0"/>
        <v>0</v>
      </c>
    </row>
    <row r="11" spans="1:8" x14ac:dyDescent="0.25">
      <c r="A11" s="9" t="s">
        <v>465</v>
      </c>
      <c r="B11" s="5" t="s">
        <v>464</v>
      </c>
      <c r="C11" s="5" t="s">
        <v>466</v>
      </c>
      <c r="D11" s="6">
        <f>62.54+22.12</f>
        <v>84.66</v>
      </c>
      <c r="E11" s="6">
        <f>894.04+267.36</f>
        <v>1161.4000000000001</v>
      </c>
      <c r="F11" s="6">
        <f>SUMIFS(Daten!L:L,Daten!H:H,C11,Daten!E:E,"BUY")*-1</f>
        <v>7</v>
      </c>
      <c r="G11" s="6">
        <f>SUMIFS(Daten!L:L,Daten!H:H,C11,Daten!E:E,"SELL")*-1</f>
        <v>2</v>
      </c>
      <c r="H11" s="6">
        <f t="shared" si="0"/>
        <v>1083.74</v>
      </c>
    </row>
    <row r="12" spans="1:8" x14ac:dyDescent="0.25">
      <c r="A12" s="9" t="s">
        <v>526</v>
      </c>
      <c r="B12" s="5" t="s">
        <v>464</v>
      </c>
      <c r="C12" s="5" t="s">
        <v>527</v>
      </c>
      <c r="D12" s="6">
        <f>49.93+80.78</f>
        <v>130.71</v>
      </c>
      <c r="E12" s="6">
        <f>380.84+738</f>
        <v>1118.8399999999999</v>
      </c>
      <c r="F12" s="6">
        <f>SUMIFS(Daten!L:L,Daten!H:H,C12,Daten!E:E,"BUY")*-1</f>
        <v>8</v>
      </c>
      <c r="G12" s="6">
        <f>SUMIFS(Daten!L:L,Daten!H:H,C12,Daten!E:E,"SELL")*-1</f>
        <v>2</v>
      </c>
      <c r="H12" s="6">
        <f t="shared" si="0"/>
        <v>996.12999999999988</v>
      </c>
    </row>
    <row r="13" spans="1:8" x14ac:dyDescent="0.25">
      <c r="A13" s="9" t="s">
        <v>815</v>
      </c>
      <c r="B13" s="5" t="s">
        <v>464</v>
      </c>
      <c r="C13" s="5" t="s">
        <v>816</v>
      </c>
      <c r="D13" s="6">
        <f>0</f>
        <v>0</v>
      </c>
      <c r="E13" s="6">
        <f>0</f>
        <v>0</v>
      </c>
      <c r="F13" s="6">
        <f>SUMIFS(Daten!L:L,Daten!H:H,C13,Daten!E:E,"BUY")*-1</f>
        <v>3</v>
      </c>
      <c r="G13" s="6">
        <f>SUMIFS(Daten!L:L,Daten!H:H,C13,Daten!E:E,"SELL")*-1</f>
        <v>0</v>
      </c>
      <c r="H13" s="6">
        <f t="shared" si="0"/>
        <v>0</v>
      </c>
    </row>
    <row r="14" spans="1:8" x14ac:dyDescent="0.25">
      <c r="A14" s="9" t="s">
        <v>718</v>
      </c>
      <c r="B14" s="5" t="s">
        <v>464</v>
      </c>
      <c r="C14" s="5" t="s">
        <v>719</v>
      </c>
      <c r="D14" s="6">
        <f>2.53</f>
        <v>2.5299999999999998</v>
      </c>
      <c r="E14" s="6">
        <f>505.61</f>
        <v>505.61</v>
      </c>
      <c r="F14" s="6">
        <f>SUMIFS(Daten!L:L,Daten!H:H,C14,Daten!E:E,"BUY")*-1</f>
        <v>2</v>
      </c>
      <c r="G14" s="6">
        <f>SUMIFS(Daten!L:L,Daten!H:H,C14,Daten!E:E,"SELL")*-1</f>
        <v>1</v>
      </c>
      <c r="H14" s="6">
        <f t="shared" si="0"/>
        <v>505.08000000000004</v>
      </c>
    </row>
    <row r="15" spans="1:8" x14ac:dyDescent="0.25">
      <c r="A15" s="9" t="s">
        <v>1018</v>
      </c>
      <c r="B15" s="5" t="s">
        <v>464</v>
      </c>
      <c r="C15" s="5" t="s">
        <v>1019</v>
      </c>
      <c r="D15" s="6">
        <f>0</f>
        <v>0</v>
      </c>
      <c r="E15" s="6">
        <f>0</f>
        <v>0</v>
      </c>
      <c r="F15" s="6">
        <f>SUMIFS(Daten!L:L,Daten!H:H,C15,Daten!E:E,"BUY")*-1</f>
        <v>3</v>
      </c>
      <c r="G15" s="6">
        <f>SUMIFS(Daten!L:L,Daten!H:H,C15,Daten!E:E,"SELL")*-1</f>
        <v>0</v>
      </c>
      <c r="H15" s="6">
        <f t="shared" si="0"/>
        <v>0</v>
      </c>
    </row>
    <row r="16" spans="1:8" x14ac:dyDescent="0.25">
      <c r="A16" s="9" t="s">
        <v>300</v>
      </c>
      <c r="B16" s="5" t="s">
        <v>32</v>
      </c>
      <c r="C16" s="5" t="s">
        <v>301</v>
      </c>
      <c r="D16" s="6">
        <f>0</f>
        <v>0</v>
      </c>
      <c r="E16" s="6">
        <f>0</f>
        <v>0</v>
      </c>
      <c r="F16" s="6">
        <f>SUMIFS(Daten!L:L,Daten!H:H,C16,Daten!E:E,"BUY")*-1</f>
        <v>1</v>
      </c>
      <c r="G16" s="6">
        <f>SUMIFS(Daten!L:L,Daten!H:H,C16,Daten!E:E,"SELL")*-1</f>
        <v>0</v>
      </c>
      <c r="H16" s="6">
        <f t="shared" si="0"/>
        <v>0</v>
      </c>
    </row>
    <row r="17" spans="1:8" x14ac:dyDescent="0.25">
      <c r="A17" s="9" t="s">
        <v>1421</v>
      </c>
      <c r="B17" s="5" t="s">
        <v>64</v>
      </c>
      <c r="C17" s="5" t="s">
        <v>1422</v>
      </c>
      <c r="D17" s="6">
        <f>0</f>
        <v>0</v>
      </c>
      <c r="E17" s="6">
        <f>0</f>
        <v>0</v>
      </c>
      <c r="F17" s="6">
        <f>SUMIFS(Daten!L:L,Daten!H:H,C17,Daten!E:E,"BUY")*-1</f>
        <v>1</v>
      </c>
      <c r="G17" s="6">
        <f>SUMIFS(Daten!L:L,Daten!H:H,C17,Daten!E:E,"SELL")*-1</f>
        <v>0</v>
      </c>
      <c r="H17" s="6">
        <f t="shared" si="0"/>
        <v>0</v>
      </c>
    </row>
    <row r="18" spans="1:8" x14ac:dyDescent="0.25">
      <c r="A18" s="9" t="s">
        <v>315</v>
      </c>
      <c r="B18" s="5" t="s">
        <v>32</v>
      </c>
      <c r="C18" s="5" t="s">
        <v>316</v>
      </c>
      <c r="D18" s="6">
        <f>41.97</f>
        <v>41.97</v>
      </c>
      <c r="E18" s="6">
        <f>121.97</f>
        <v>121.97</v>
      </c>
      <c r="F18" s="6">
        <f>SUMIFS(Daten!L:L,Daten!H:H,C18,Daten!E:E,"BUY")*-1</f>
        <v>1</v>
      </c>
      <c r="G18" s="6">
        <f>SUMIFS(Daten!L:L,Daten!H:H,C18,Daten!E:E,"SELL")*-1</f>
        <v>1</v>
      </c>
      <c r="H18" s="6">
        <f t="shared" si="0"/>
        <v>81</v>
      </c>
    </row>
    <row r="19" spans="1:8" x14ac:dyDescent="0.25">
      <c r="A19" s="9" t="s">
        <v>1004</v>
      </c>
      <c r="B19" s="5" t="s">
        <v>464</v>
      </c>
      <c r="C19" s="5" t="s">
        <v>1005</v>
      </c>
      <c r="D19" s="6">
        <f>0</f>
        <v>0</v>
      </c>
      <c r="E19" s="6">
        <f>0</f>
        <v>0</v>
      </c>
      <c r="F19" s="6">
        <f>SUMIFS(Daten!L:L,Daten!H:H,C19,Daten!E:E,"BUY")*-1</f>
        <v>8</v>
      </c>
      <c r="G19" s="6">
        <f>SUMIFS(Daten!L:L,Daten!H:H,C19,Daten!E:E,"SELL")*-1</f>
        <v>0</v>
      </c>
      <c r="H19" s="6">
        <f t="shared" si="0"/>
        <v>0</v>
      </c>
    </row>
    <row r="20" spans="1:8" x14ac:dyDescent="0.25">
      <c r="A20" s="9" t="s">
        <v>167</v>
      </c>
      <c r="B20" s="5" t="s">
        <v>32</v>
      </c>
      <c r="C20" s="5" t="s">
        <v>168</v>
      </c>
      <c r="D20" s="6">
        <f>89.5+62.46+58.92+10.2+10.33-1.96+16.47</f>
        <v>245.92</v>
      </c>
      <c r="E20" s="6">
        <f>422.71+122.46+118.92+280.03+372.38+370.52</f>
        <v>1687.02</v>
      </c>
      <c r="F20" s="6">
        <f>SUMIFS(Daten!L:L,Daten!H:H,C20,Daten!E:E,"BUY")*-1</f>
        <v>29</v>
      </c>
      <c r="G20" s="6">
        <f>SUMIFS(Daten!L:L,Daten!H:H,C20,Daten!E:E,"SELL")*-1</f>
        <v>6</v>
      </c>
      <c r="H20" s="6">
        <f t="shared" si="0"/>
        <v>1470.1</v>
      </c>
    </row>
    <row r="21" spans="1:8" x14ac:dyDescent="0.25">
      <c r="A21" s="9" t="s">
        <v>154</v>
      </c>
      <c r="B21" s="5" t="s">
        <v>32</v>
      </c>
      <c r="C21" s="5" t="s">
        <v>155</v>
      </c>
      <c r="D21" s="6">
        <f>59.06-1+9.66+18.75+43.67+99.76-1.13</f>
        <v>228.76999999999998</v>
      </c>
      <c r="E21" s="6">
        <f>193.45+9.77+247.61+365.72+394.67+519.76+365</f>
        <v>2095.98</v>
      </c>
      <c r="F21" s="6">
        <f>SUMIFS(Daten!L:L,Daten!H:H,C21,Daten!E:E,"BUY")*-1</f>
        <v>21</v>
      </c>
      <c r="G21" s="6">
        <f>SUMIFS(Daten!L:L,Daten!H:H,C21,Daten!E:E,"SELL")*-1</f>
        <v>7</v>
      </c>
      <c r="H21" s="6">
        <f t="shared" si="0"/>
        <v>1888.21</v>
      </c>
    </row>
    <row r="22" spans="1:8" x14ac:dyDescent="0.25">
      <c r="A22" s="9" t="s">
        <v>604</v>
      </c>
      <c r="B22" s="5" t="s">
        <v>32</v>
      </c>
      <c r="C22" s="5" t="s">
        <v>605</v>
      </c>
      <c r="D22" s="6">
        <f>14.55+3.16</f>
        <v>17.71</v>
      </c>
      <c r="E22" s="6">
        <f>165.55+204.17</f>
        <v>369.72</v>
      </c>
      <c r="F22" s="6">
        <f>SUMIFS(Daten!L:L,Daten!H:H,C22,Daten!E:E,"BUY")*-1</f>
        <v>3</v>
      </c>
      <c r="G22" s="6">
        <f>SUMIFS(Daten!L:L,Daten!H:H,C22,Daten!E:E,"SELL")*-1</f>
        <v>2</v>
      </c>
      <c r="H22" s="6">
        <f t="shared" si="0"/>
        <v>355.01000000000005</v>
      </c>
    </row>
    <row r="23" spans="1:8" x14ac:dyDescent="0.25">
      <c r="A23" s="9" t="s">
        <v>340</v>
      </c>
      <c r="B23" s="5" t="s">
        <v>32</v>
      </c>
      <c r="C23" s="5" t="s">
        <v>341</v>
      </c>
      <c r="D23" s="6">
        <f>18.15</f>
        <v>18.149999999999999</v>
      </c>
      <c r="E23" s="6">
        <f>118.15</f>
        <v>118.15</v>
      </c>
      <c r="F23" s="6">
        <f>SUMIFS(Daten!L:L,Daten!H:H,C23,Daten!E:E,"BUY")*-1</f>
        <v>1</v>
      </c>
      <c r="G23" s="6">
        <f>SUMIFS(Daten!L:L,Daten!H:H,C23,Daten!E:E,"SELL")*-1</f>
        <v>1</v>
      </c>
      <c r="H23" s="6">
        <f t="shared" si="0"/>
        <v>101</v>
      </c>
    </row>
    <row r="24" spans="1:8" x14ac:dyDescent="0.25">
      <c r="A24" s="9" t="s">
        <v>33</v>
      </c>
      <c r="B24" s="5" t="s">
        <v>32</v>
      </c>
      <c r="C24" s="5" t="s">
        <v>34</v>
      </c>
      <c r="D24" s="6">
        <f>3.82+4.88</f>
        <v>8.6999999999999993</v>
      </c>
      <c r="E24" s="6">
        <f>49.31+50.1</f>
        <v>99.41</v>
      </c>
      <c r="F24" s="6">
        <f>SUMIFS(Daten!L:L,Daten!H:H,C24,Daten!E:E,"BUY")*-1</f>
        <v>1</v>
      </c>
      <c r="G24" s="6">
        <f>SUMIFS(Daten!L:L,Daten!H:H,C24,Daten!E:E,"SELL")*-1</f>
        <v>2</v>
      </c>
      <c r="H24" s="6">
        <f t="shared" si="0"/>
        <v>91.71</v>
      </c>
    </row>
    <row r="25" spans="1:8" x14ac:dyDescent="0.25">
      <c r="A25" s="9" t="s">
        <v>55</v>
      </c>
      <c r="B25" s="5" t="s">
        <v>32</v>
      </c>
      <c r="C25" s="5" t="s">
        <v>56</v>
      </c>
      <c r="D25" s="6">
        <f>2.16</f>
        <v>2.16</v>
      </c>
      <c r="E25" s="6">
        <f>62.58</f>
        <v>62.58</v>
      </c>
      <c r="F25" s="6">
        <f>SUMIFS(Daten!L:L,Daten!H:H,C25,Daten!E:E,"BUY")*-1</f>
        <v>1</v>
      </c>
      <c r="G25" s="6">
        <f>SUMIFS(Daten!L:L,Daten!H:H,C25,Daten!E:E,"SELL")*-1</f>
        <v>1</v>
      </c>
      <c r="H25" s="6">
        <f t="shared" si="0"/>
        <v>61.42</v>
      </c>
    </row>
    <row r="26" spans="1:8" x14ac:dyDescent="0.25">
      <c r="A26" s="9" t="s">
        <v>664</v>
      </c>
      <c r="B26" s="5" t="s">
        <v>32</v>
      </c>
      <c r="C26" s="5" t="s">
        <v>665</v>
      </c>
      <c r="D26" s="6">
        <f>8.27</f>
        <v>8.27</v>
      </c>
      <c r="E26" s="6">
        <f>209.27</f>
        <v>209.27</v>
      </c>
      <c r="F26" s="6">
        <f>SUMIFS(Daten!L:L,Daten!H:H,C26,Daten!E:E,"BUY")*-1</f>
        <v>5</v>
      </c>
      <c r="G26" s="6">
        <f>SUMIFS(Daten!L:L,Daten!H:H,C26,Daten!E:E,"SELL")*-1</f>
        <v>1</v>
      </c>
      <c r="H26" s="6">
        <f t="shared" si="0"/>
        <v>206</v>
      </c>
    </row>
    <row r="27" spans="1:8" x14ac:dyDescent="0.25">
      <c r="A27" s="9" t="s">
        <v>364</v>
      </c>
      <c r="B27" s="5" t="s">
        <v>32</v>
      </c>
      <c r="C27" s="5" t="s">
        <v>365</v>
      </c>
      <c r="D27" s="6">
        <f>15.35</f>
        <v>15.35</v>
      </c>
      <c r="E27" s="6">
        <f>115.35</f>
        <v>115.35</v>
      </c>
      <c r="F27" s="6">
        <f>SUMIFS(Daten!L:L,Daten!H:H,C27,Daten!E:E,"BUY")*-1</f>
        <v>1</v>
      </c>
      <c r="G27" s="6">
        <f>SUMIFS(Daten!L:L,Daten!H:H,C27,Daten!E:E,"SELL")*-1</f>
        <v>1</v>
      </c>
      <c r="H27" s="6">
        <f t="shared" si="0"/>
        <v>101</v>
      </c>
    </row>
    <row r="28" spans="1:8" x14ac:dyDescent="0.25">
      <c r="A28" s="9" t="s">
        <v>799</v>
      </c>
      <c r="B28" s="5" t="s">
        <v>464</v>
      </c>
      <c r="C28" s="5" t="s">
        <v>800</v>
      </c>
      <c r="D28" s="6">
        <f>45.81</f>
        <v>45.81</v>
      </c>
      <c r="E28" s="6">
        <f>303.35</f>
        <v>303.35000000000002</v>
      </c>
      <c r="F28" s="6">
        <f>SUMIFS(Daten!L:L,Daten!H:H,C28,Daten!E:E,"BUY")*-1</f>
        <v>3</v>
      </c>
      <c r="G28" s="6">
        <f>SUMIFS(Daten!L:L,Daten!H:H,C28,Daten!E:E,"SELL")*-1</f>
        <v>1</v>
      </c>
      <c r="H28" s="6">
        <f t="shared" si="0"/>
        <v>260.54000000000002</v>
      </c>
    </row>
    <row r="29" spans="1:8" x14ac:dyDescent="0.25">
      <c r="A29" s="9" t="s">
        <v>1237</v>
      </c>
      <c r="B29" s="5" t="s">
        <v>464</v>
      </c>
      <c r="C29" s="5" t="s">
        <v>1238</v>
      </c>
      <c r="D29" s="6">
        <f>0</f>
        <v>0</v>
      </c>
      <c r="E29" s="6">
        <f>0</f>
        <v>0</v>
      </c>
      <c r="F29" s="6">
        <f>SUMIFS(Daten!L:L,Daten!H:H,C29,Daten!E:E,"BUY")*-1</f>
        <v>1</v>
      </c>
      <c r="G29" s="6">
        <f>SUMIFS(Daten!L:L,Daten!H:H,C29,Daten!E:E,"SELL")*-1</f>
        <v>0</v>
      </c>
      <c r="H29" s="6">
        <f t="shared" si="0"/>
        <v>0</v>
      </c>
    </row>
    <row r="30" spans="1:8" x14ac:dyDescent="0.25">
      <c r="A30" s="9" t="s">
        <v>1178</v>
      </c>
      <c r="B30" s="5" t="s">
        <v>464</v>
      </c>
      <c r="C30" s="5" t="s">
        <v>1179</v>
      </c>
      <c r="D30" s="6">
        <f>0</f>
        <v>0</v>
      </c>
      <c r="E30" s="6">
        <f>0</f>
        <v>0</v>
      </c>
      <c r="F30" s="6">
        <f>SUMIFS(Daten!L:L,Daten!H:H,C30,Daten!E:E,"BUY")*-1</f>
        <v>1</v>
      </c>
      <c r="G30" s="6">
        <f>SUMIFS(Daten!L:L,Daten!H:H,C30,Daten!E:E,"SELL")*-1</f>
        <v>0</v>
      </c>
      <c r="H30" s="6">
        <f t="shared" si="0"/>
        <v>0</v>
      </c>
    </row>
    <row r="31" spans="1:8" x14ac:dyDescent="0.25">
      <c r="A31" s="9" t="s">
        <v>747</v>
      </c>
      <c r="B31" s="5" t="s">
        <v>32</v>
      </c>
      <c r="C31" s="5" t="s">
        <v>748</v>
      </c>
      <c r="D31" s="6">
        <f>0</f>
        <v>0</v>
      </c>
      <c r="E31" s="6">
        <f>0</f>
        <v>0</v>
      </c>
      <c r="F31" s="6">
        <f>SUMIFS(Daten!L:L,Daten!H:H,C31,Daten!E:E,"BUY")*-1</f>
        <v>6</v>
      </c>
      <c r="G31" s="6">
        <f>SUMIFS(Daten!L:L,Daten!H:H,C31,Daten!E:E,"SELL")*-1</f>
        <v>0</v>
      </c>
      <c r="H31" s="6">
        <f t="shared" si="0"/>
        <v>0</v>
      </c>
    </row>
    <row r="32" spans="1:8" x14ac:dyDescent="0.25">
      <c r="A32" s="9" t="s">
        <v>1011</v>
      </c>
      <c r="B32" s="5" t="s">
        <v>464</v>
      </c>
      <c r="C32" s="5" t="s">
        <v>1012</v>
      </c>
      <c r="D32" s="6">
        <f>0</f>
        <v>0</v>
      </c>
      <c r="E32" s="6">
        <f>0</f>
        <v>0</v>
      </c>
      <c r="F32" s="6">
        <f>SUMIFS(Daten!L:L,Daten!H:H,C32,Daten!E:E,"BUY")*-1</f>
        <v>3</v>
      </c>
      <c r="G32" s="6">
        <f>SUMIFS(Daten!L:L,Daten!H:H,C32,Daten!E:E,"SELL")*-1</f>
        <v>0</v>
      </c>
      <c r="H32" s="6">
        <f t="shared" si="0"/>
        <v>0</v>
      </c>
    </row>
    <row r="33" spans="1:8" x14ac:dyDescent="0.25">
      <c r="A33" s="9" t="s">
        <v>1182</v>
      </c>
      <c r="B33" s="5" t="s">
        <v>32</v>
      </c>
      <c r="C33" s="5" t="s">
        <v>1183</v>
      </c>
      <c r="D33" s="6">
        <f>1.77</f>
        <v>1.77</v>
      </c>
      <c r="E33" s="6">
        <f>0</f>
        <v>0</v>
      </c>
      <c r="F33" s="6">
        <f>SUMIFS(Daten!L:L,Daten!H:H,C33,Daten!E:E,"BUY")*-1</f>
        <v>3</v>
      </c>
      <c r="G33" s="6">
        <f>SUMIFS(Daten!L:L,Daten!H:H,C33,Daten!E:E,"SELL")*-1</f>
        <v>0</v>
      </c>
      <c r="H33" s="6">
        <f t="shared" si="0"/>
        <v>0</v>
      </c>
    </row>
    <row r="34" spans="1:8" x14ac:dyDescent="0.25">
      <c r="A34" s="9" t="s">
        <v>40</v>
      </c>
      <c r="B34" s="5" t="s">
        <v>32</v>
      </c>
      <c r="C34" s="5" t="s">
        <v>41</v>
      </c>
      <c r="D34" s="6">
        <f>-0.89+6.08+0.01</f>
        <v>5.2</v>
      </c>
      <c r="E34" s="6">
        <f>3+198.59</f>
        <v>201.59</v>
      </c>
      <c r="F34" s="6">
        <f>SUMIFS(Daten!L:L,Daten!H:H,C34,Daten!E:E,"BUY")*-1</f>
        <v>2</v>
      </c>
      <c r="G34" s="6">
        <f>SUMIFS(Daten!L:L,Daten!H:H,C34,Daten!E:E,"SELL")*-1</f>
        <v>2</v>
      </c>
      <c r="H34" s="6">
        <f t="shared" si="0"/>
        <v>198.39000000000001</v>
      </c>
    </row>
    <row r="35" spans="1:8" x14ac:dyDescent="0.25">
      <c r="A35" s="9" t="s">
        <v>95</v>
      </c>
      <c r="B35" s="5" t="s">
        <v>32</v>
      </c>
      <c r="C35" s="5" t="s">
        <v>96</v>
      </c>
      <c r="D35" s="6">
        <f>10.5</f>
        <v>10.5</v>
      </c>
      <c r="E35" s="6">
        <f>157.74</f>
        <v>157.74</v>
      </c>
      <c r="F35" s="6">
        <f>SUMIFS(Daten!L:L,Daten!H:H,C35,Daten!E:E,"BUY")*-1</f>
        <v>1</v>
      </c>
      <c r="G35" s="6">
        <f>SUMIFS(Daten!L:L,Daten!H:H,C35,Daten!E:E,"SELL")*-1</f>
        <v>1</v>
      </c>
      <c r="H35" s="6">
        <f t="shared" si="0"/>
        <v>148.24</v>
      </c>
    </row>
    <row r="36" spans="1:8" x14ac:dyDescent="0.25">
      <c r="A36" s="9" t="s">
        <v>640</v>
      </c>
      <c r="B36" s="5" t="s">
        <v>32</v>
      </c>
      <c r="C36" s="5" t="s">
        <v>641</v>
      </c>
      <c r="D36" s="6">
        <f>10.33+17.77</f>
        <v>28.1</v>
      </c>
      <c r="E36" s="6">
        <f>312.34+318.77</f>
        <v>631.1099999999999</v>
      </c>
      <c r="F36" s="6">
        <f>SUMIFS(Daten!L:L,Daten!H:H,C36,Daten!E:E,"BUY")*-1</f>
        <v>3</v>
      </c>
      <c r="G36" s="6">
        <f>SUMIFS(Daten!L:L,Daten!H:H,C36,Daten!E:E,"SELL")*-1</f>
        <v>2</v>
      </c>
      <c r="H36" s="6">
        <f t="shared" si="0"/>
        <v>606.00999999999988</v>
      </c>
    </row>
    <row r="37" spans="1:8" x14ac:dyDescent="0.25">
      <c r="A37" s="9" t="s">
        <v>864</v>
      </c>
      <c r="B37" s="5" t="s">
        <v>32</v>
      </c>
      <c r="C37" s="5" t="s">
        <v>865</v>
      </c>
      <c r="D37" s="6">
        <f>0.27</f>
        <v>0.27</v>
      </c>
      <c r="E37" s="6">
        <f>201.27</f>
        <v>201.27</v>
      </c>
      <c r="F37" s="6">
        <f>SUMIFS(Daten!L:L,Daten!H:H,C37,Daten!E:E,"BUY")*-1</f>
        <v>1</v>
      </c>
      <c r="G37" s="6">
        <f>SUMIFS(Daten!L:L,Daten!H:H,C37,Daten!E:E,"SELL")*-1</f>
        <v>1</v>
      </c>
      <c r="H37" s="6">
        <f t="shared" si="0"/>
        <v>202</v>
      </c>
    </row>
    <row r="38" spans="1:8" x14ac:dyDescent="0.25">
      <c r="A38" s="9" t="s">
        <v>205</v>
      </c>
      <c r="B38" s="5" t="s">
        <v>32</v>
      </c>
      <c r="C38" s="5" t="s">
        <v>206</v>
      </c>
      <c r="D38" s="6">
        <f>6.45</f>
        <v>6.45</v>
      </c>
      <c r="E38" s="6">
        <f>278.44</f>
        <v>278.44</v>
      </c>
      <c r="F38" s="6">
        <f>SUMIFS(Daten!L:L,Daten!H:H,C38,Daten!E:E,"BUY")*-1</f>
        <v>4</v>
      </c>
      <c r="G38" s="6">
        <f>SUMIFS(Daten!L:L,Daten!H:H,C38,Daten!E:E,"SELL")*-1</f>
        <v>1</v>
      </c>
      <c r="H38" s="6">
        <f t="shared" si="0"/>
        <v>275.99</v>
      </c>
    </row>
    <row r="39" spans="1:8" x14ac:dyDescent="0.25">
      <c r="A39" s="9" t="s">
        <v>118</v>
      </c>
      <c r="B39" s="5" t="s">
        <v>64</v>
      </c>
      <c r="C39" s="5" t="s">
        <v>119</v>
      </c>
      <c r="D39" s="6">
        <f>0</f>
        <v>0</v>
      </c>
      <c r="E39" s="6">
        <f>0</f>
        <v>0</v>
      </c>
      <c r="F39" s="6">
        <f>SUMIFS(Daten!L:L,Daten!H:H,C39,Daten!E:E,"BUY")*-1</f>
        <v>5</v>
      </c>
      <c r="G39" s="6">
        <f>SUMIFS(Daten!L:L,Daten!H:H,C39,Daten!E:E,"SELL")*-1</f>
        <v>0</v>
      </c>
      <c r="H39" s="6">
        <f t="shared" si="0"/>
        <v>0</v>
      </c>
    </row>
    <row r="40" spans="1:8" x14ac:dyDescent="0.25">
      <c r="A40" s="9" t="s">
        <v>355</v>
      </c>
      <c r="B40" s="5" t="s">
        <v>64</v>
      </c>
      <c r="C40" s="5" t="s">
        <v>356</v>
      </c>
      <c r="D40" s="6">
        <f>0</f>
        <v>0</v>
      </c>
      <c r="E40" s="6">
        <f>0</f>
        <v>0</v>
      </c>
      <c r="F40" s="6">
        <f>SUMIFS(Daten!L:L,Daten!H:H,C40,Daten!E:E,"BUY")*-1</f>
        <v>1</v>
      </c>
      <c r="G40" s="6">
        <f>SUMIFS(Daten!L:L,Daten!H:H,C40,Daten!E:E,"SELL")*-1</f>
        <v>0</v>
      </c>
      <c r="H40" s="6">
        <f t="shared" si="0"/>
        <v>0</v>
      </c>
    </row>
    <row r="41" spans="1:8" x14ac:dyDescent="0.25">
      <c r="A41" s="9" t="s">
        <v>955</v>
      </c>
      <c r="B41" s="5" t="s">
        <v>464</v>
      </c>
      <c r="C41" s="5" t="s">
        <v>956</v>
      </c>
      <c r="D41" s="6">
        <f>0</f>
        <v>0</v>
      </c>
      <c r="E41" s="6">
        <f>0</f>
        <v>0</v>
      </c>
      <c r="F41" s="6">
        <f>SUMIFS(Daten!L:L,Daten!H:H,C41,Daten!E:E,"BUY")*-1</f>
        <v>3</v>
      </c>
      <c r="G41" s="6">
        <f>SUMIFS(Daten!L:L,Daten!H:H,C41,Daten!E:E,"SELL")*-1</f>
        <v>0</v>
      </c>
      <c r="H41" s="6">
        <f t="shared" si="0"/>
        <v>0</v>
      </c>
    </row>
    <row r="42" spans="1:8" x14ac:dyDescent="0.25">
      <c r="A42" s="9" t="s">
        <v>348</v>
      </c>
      <c r="B42" s="5" t="s">
        <v>32</v>
      </c>
      <c r="C42" s="5" t="s">
        <v>349</v>
      </c>
      <c r="D42" s="6">
        <f>17.84</f>
        <v>17.84</v>
      </c>
      <c r="E42" s="6">
        <f>107.84</f>
        <v>107.84</v>
      </c>
      <c r="F42" s="6">
        <f>SUMIFS(Daten!L:L,Daten!H:H,C42,Daten!E:E,"BUY")*-1</f>
        <v>1</v>
      </c>
      <c r="G42" s="6">
        <f>SUMIFS(Daten!L:L,Daten!H:H,C42,Daten!E:E,"SELL")*-1</f>
        <v>1</v>
      </c>
      <c r="H42" s="6">
        <f t="shared" si="0"/>
        <v>91</v>
      </c>
    </row>
    <row r="43" spans="1:8" x14ac:dyDescent="0.25">
      <c r="A43" s="9" t="s">
        <v>328</v>
      </c>
      <c r="B43" s="5" t="s">
        <v>32</v>
      </c>
      <c r="C43" s="5" t="s">
        <v>329</v>
      </c>
      <c r="D43" s="6">
        <f>44.79</f>
        <v>44.79</v>
      </c>
      <c r="E43" s="6">
        <f>144.5</f>
        <v>144.5</v>
      </c>
      <c r="F43" s="6">
        <f>SUMIFS(Daten!L:L,Daten!H:H,C43,Daten!E:E,"BUY")*-1</f>
        <v>1</v>
      </c>
      <c r="G43" s="6">
        <f>SUMIFS(Daten!L:L,Daten!H:H,C43,Daten!E:E,"SELL")*-1</f>
        <v>1</v>
      </c>
      <c r="H43" s="6">
        <f t="shared" si="0"/>
        <v>100.71000000000001</v>
      </c>
    </row>
    <row r="44" spans="1:8" x14ac:dyDescent="0.25">
      <c r="A44" s="9" t="s">
        <v>114</v>
      </c>
      <c r="B44" s="5" t="s">
        <v>64</v>
      </c>
      <c r="C44" s="5" t="s">
        <v>115</v>
      </c>
      <c r="D44" s="6">
        <f>0</f>
        <v>0</v>
      </c>
      <c r="E44" s="6">
        <f>0</f>
        <v>0</v>
      </c>
      <c r="F44" s="6">
        <f>SUMIFS(Daten!L:L,Daten!H:H,C44,Daten!E:E,"BUY")*-1</f>
        <v>3</v>
      </c>
      <c r="G44" s="6">
        <f>SUMIFS(Daten!L:L,Daten!H:H,C44,Daten!E:E,"SELL")*-1</f>
        <v>0</v>
      </c>
      <c r="H44" s="6">
        <f t="shared" si="0"/>
        <v>0</v>
      </c>
    </row>
    <row r="45" spans="1:8" x14ac:dyDescent="0.25">
      <c r="A45" s="9" t="s">
        <v>89</v>
      </c>
      <c r="B45" s="5" t="s">
        <v>32</v>
      </c>
      <c r="C45" s="5" t="s">
        <v>90</v>
      </c>
      <c r="D45" s="6">
        <f>7.28</f>
        <v>7.28</v>
      </c>
      <c r="E45" s="6">
        <f>85.36</f>
        <v>85.36</v>
      </c>
      <c r="F45" s="6">
        <f>SUMIFS(Daten!L:L,Daten!H:H,C45,Daten!E:E,"BUY")*-1</f>
        <v>1</v>
      </c>
      <c r="G45" s="6">
        <f>SUMIFS(Daten!L:L,Daten!H:H,C45,Daten!E:E,"SELL")*-1</f>
        <v>1</v>
      </c>
      <c r="H45" s="6">
        <f t="shared" si="0"/>
        <v>79.08</v>
      </c>
    </row>
    <row r="46" spans="1:8" x14ac:dyDescent="0.25">
      <c r="A46" s="9" t="s">
        <v>101</v>
      </c>
      <c r="B46" s="5" t="s">
        <v>32</v>
      </c>
      <c r="C46" s="5" t="s">
        <v>102</v>
      </c>
      <c r="D46" s="6">
        <f>2.47</f>
        <v>2.4700000000000002</v>
      </c>
      <c r="E46" s="6">
        <f>51.83</f>
        <v>51.83</v>
      </c>
      <c r="F46" s="6">
        <f>SUMIFS(Daten!L:L,Daten!H:H,C46,Daten!E:E,"BUY")*-1</f>
        <v>1</v>
      </c>
      <c r="G46" s="6">
        <f>SUMIFS(Daten!L:L,Daten!H:H,C46,Daten!E:E,"SELL")*-1</f>
        <v>1</v>
      </c>
      <c r="H46" s="6">
        <f t="shared" si="0"/>
        <v>50.36</v>
      </c>
    </row>
    <row r="47" spans="1:8" x14ac:dyDescent="0.25">
      <c r="A47" s="9" t="s">
        <v>994</v>
      </c>
      <c r="B47" s="5" t="s">
        <v>464</v>
      </c>
      <c r="C47" s="5" t="s">
        <v>995</v>
      </c>
      <c r="D47" s="6">
        <f>21.15+20.21</f>
        <v>41.36</v>
      </c>
      <c r="E47" s="6">
        <f>382.89+361.52</f>
        <v>744.41</v>
      </c>
      <c r="F47" s="6">
        <f>SUMIFS(Daten!L:L,Daten!H:H,C47,Daten!E:E,"BUY")*-1</f>
        <v>2</v>
      </c>
      <c r="G47" s="6">
        <f>SUMIFS(Daten!L:L,Daten!H:H,C47,Daten!E:E,"SELL")*-1</f>
        <v>2</v>
      </c>
      <c r="H47" s="6">
        <f t="shared" si="0"/>
        <v>705.05</v>
      </c>
    </row>
    <row r="48" spans="1:8" x14ac:dyDescent="0.25">
      <c r="A48" s="9" t="s">
        <v>47</v>
      </c>
      <c r="B48" s="5" t="s">
        <v>32</v>
      </c>
      <c r="C48" s="5" t="s">
        <v>48</v>
      </c>
      <c r="D48" s="6">
        <f>8.19</f>
        <v>8.19</v>
      </c>
      <c r="E48" s="6">
        <f>97.03</f>
        <v>97.03</v>
      </c>
      <c r="F48" s="6">
        <f>SUMIFS(Daten!L:L,Daten!H:H,C48,Daten!E:E,"BUY")*-1</f>
        <v>1</v>
      </c>
      <c r="G48" s="6">
        <f>SUMIFS(Daten!L:L,Daten!H:H,C48,Daten!E:E,"SELL")*-1</f>
        <v>1</v>
      </c>
      <c r="H48" s="6">
        <f t="shared" si="0"/>
        <v>89.84</v>
      </c>
    </row>
    <row r="49" spans="1:8" x14ac:dyDescent="0.25">
      <c r="A49" s="9" t="s">
        <v>123</v>
      </c>
      <c r="B49" s="5" t="s">
        <v>32</v>
      </c>
      <c r="C49" s="5" t="s">
        <v>124</v>
      </c>
      <c r="D49" s="6">
        <f>4.38+4.92</f>
        <v>9.3000000000000007</v>
      </c>
      <c r="E49" s="6">
        <f>43.97+44.13</f>
        <v>88.1</v>
      </c>
      <c r="F49" s="6">
        <f>SUMIFS(Daten!L:L,Daten!H:H,C49,Daten!E:E,"BUY")*-1</f>
        <v>1</v>
      </c>
      <c r="G49" s="6">
        <f>SUMIFS(Daten!L:L,Daten!H:H,C49,Daten!E:E,"SELL")*-1</f>
        <v>2</v>
      </c>
      <c r="H49" s="6">
        <f t="shared" si="0"/>
        <v>79.8</v>
      </c>
    </row>
    <row r="50" spans="1:8" x14ac:dyDescent="0.25">
      <c r="A50" s="9" t="s">
        <v>65</v>
      </c>
      <c r="B50" s="5" t="s">
        <v>64</v>
      </c>
      <c r="C50" s="5" t="s">
        <v>66</v>
      </c>
      <c r="D50" s="6">
        <f>2.08+65.18+9.99</f>
        <v>77.25</v>
      </c>
      <c r="E50" s="6">
        <f>190.1+668.46+286.95</f>
        <v>1145.51</v>
      </c>
      <c r="F50" s="6">
        <f>SUMIFS(Daten!L:L,Daten!H:H,C50,Daten!E:E,"BUY")*-1</f>
        <v>9</v>
      </c>
      <c r="G50" s="6">
        <f>SUMIFS(Daten!L:L,Daten!H:H,C50,Daten!E:E,"SELL")*-1</f>
        <v>3</v>
      </c>
      <c r="H50" s="6">
        <f t="shared" si="0"/>
        <v>1077.26</v>
      </c>
    </row>
    <row r="51" spans="1:8" x14ac:dyDescent="0.25">
      <c r="A51" s="9" t="s">
        <v>948</v>
      </c>
      <c r="B51" s="5" t="s">
        <v>464</v>
      </c>
      <c r="C51" s="5" t="s">
        <v>949</v>
      </c>
      <c r="D51" s="6">
        <f>0</f>
        <v>0</v>
      </c>
      <c r="E51" s="6">
        <f>0</f>
        <v>0</v>
      </c>
      <c r="F51" s="6">
        <f>SUMIFS(Daten!L:L,Daten!H:H,C51,Daten!E:E,"BUY")*-1</f>
        <v>7</v>
      </c>
      <c r="G51" s="6">
        <f>SUMIFS(Daten!L:L,Daten!H:H,C51,Daten!E:E,"SELL")*-1</f>
        <v>0</v>
      </c>
      <c r="H51" s="6">
        <f t="shared" si="0"/>
        <v>0</v>
      </c>
    </row>
    <row r="52" spans="1:8" x14ac:dyDescent="0.25">
      <c r="A52" s="9" t="s">
        <v>334</v>
      </c>
      <c r="B52" s="5" t="s">
        <v>32</v>
      </c>
      <c r="C52" s="5" t="s">
        <v>335</v>
      </c>
      <c r="D52" s="6">
        <f>-0.62+7.12</f>
        <v>6.5</v>
      </c>
      <c r="E52" s="6">
        <f>3.74+102.76</f>
        <v>106.5</v>
      </c>
      <c r="F52" s="6">
        <f>SUMIFS(Daten!L:L,Daten!H:H,C52,Daten!E:E,"BUY")*-1</f>
        <v>1</v>
      </c>
      <c r="G52" s="6">
        <f>SUMIFS(Daten!L:L,Daten!H:H,C52,Daten!E:E,"SELL")*-1</f>
        <v>2</v>
      </c>
      <c r="H52" s="6">
        <f t="shared" si="0"/>
        <v>101</v>
      </c>
    </row>
    <row r="53" spans="1:8" x14ac:dyDescent="0.25">
      <c r="A53" s="9" t="s">
        <v>76</v>
      </c>
      <c r="B53" s="5" t="s">
        <v>32</v>
      </c>
      <c r="C53" s="5" t="s">
        <v>77</v>
      </c>
      <c r="D53" s="6">
        <f>1.44</f>
        <v>1.44</v>
      </c>
      <c r="E53" s="6">
        <f>24.06</f>
        <v>24.06</v>
      </c>
      <c r="F53" s="6">
        <f>SUMIFS(Daten!L:L,Daten!H:H,C53,Daten!E:E,"BUY")*-1</f>
        <v>1</v>
      </c>
      <c r="G53" s="6">
        <f>SUMIFS(Daten!L:L,Daten!H:H,C53,Daten!E:E,"SELL")*-1</f>
        <v>1</v>
      </c>
      <c r="H53" s="6">
        <f t="shared" si="0"/>
        <v>23.619999999999997</v>
      </c>
    </row>
    <row r="54" spans="1:8" x14ac:dyDescent="0.25">
      <c r="A54" s="9" t="s">
        <v>226</v>
      </c>
      <c r="B54" s="5" t="s">
        <v>32</v>
      </c>
      <c r="C54" s="5" t="s">
        <v>227</v>
      </c>
      <c r="D54" s="6">
        <f>-1.29-16.56</f>
        <v>-17.849999999999998</v>
      </c>
      <c r="E54" s="6">
        <f>2.14+97</f>
        <v>99.14</v>
      </c>
      <c r="F54" s="6">
        <f>SUMIFS(Daten!L:L,Daten!H:H,C54,Daten!E:E,"BUY")*-1</f>
        <v>1</v>
      </c>
      <c r="G54" s="6">
        <f>SUMIFS(Daten!L:L,Daten!H:H,C54,Daten!E:E,"SELL")*-1</f>
        <v>2</v>
      </c>
      <c r="H54" s="6">
        <f t="shared" si="0"/>
        <v>117.99</v>
      </c>
    </row>
    <row r="55" spans="1:8" x14ac:dyDescent="0.25">
      <c r="A55" s="9" t="s">
        <v>515</v>
      </c>
      <c r="B55" s="5" t="s">
        <v>32</v>
      </c>
      <c r="C55" s="5" t="s">
        <v>516</v>
      </c>
      <c r="D55" s="6">
        <f>0</f>
        <v>0</v>
      </c>
      <c r="E55" s="6">
        <f>0</f>
        <v>0</v>
      </c>
      <c r="F55" s="6">
        <f>SUMIFS(Daten!L:L,Daten!H:H,C55,Daten!E:E,"BUY")*-1</f>
        <v>8</v>
      </c>
      <c r="G55" s="6">
        <f>SUMIFS(Daten!L:L,Daten!H:H,C55,Daten!E:E,"SELL")*-1</f>
        <v>0</v>
      </c>
      <c r="H55" s="6">
        <f t="shared" si="0"/>
        <v>0</v>
      </c>
    </row>
    <row r="56" spans="1:8" x14ac:dyDescent="0.25">
      <c r="A56" s="9" t="s">
        <v>937</v>
      </c>
      <c r="B56" s="5" t="s">
        <v>32</v>
      </c>
      <c r="C56" s="5" t="s">
        <v>938</v>
      </c>
      <c r="D56" s="6">
        <f>55.29+23.34</f>
        <v>78.63</v>
      </c>
      <c r="E56" s="6">
        <f>134.13+145.5</f>
        <v>279.63</v>
      </c>
      <c r="F56" s="6">
        <f>SUMIFS(Daten!L:L,Daten!H:H,C56,Daten!E:E,"BUY")*-1</f>
        <v>1</v>
      </c>
      <c r="G56" s="6">
        <f>SUMIFS(Daten!L:L,Daten!H:H,C56,Daten!E:E,"SELL")*-1</f>
        <v>2</v>
      </c>
      <c r="H56" s="6">
        <f t="shared" si="0"/>
        <v>202</v>
      </c>
    </row>
    <row r="57" spans="1:8" x14ac:dyDescent="0.25">
      <c r="A57" s="9" t="s">
        <v>304</v>
      </c>
      <c r="B57" s="5" t="s">
        <v>32</v>
      </c>
      <c r="C57" s="5" t="s">
        <v>305</v>
      </c>
      <c r="D57" s="6">
        <f>1.3</f>
        <v>1.3</v>
      </c>
      <c r="E57" s="6">
        <f>20.1</f>
        <v>20.100000000000001</v>
      </c>
      <c r="F57" s="6">
        <f>SUMIFS(Daten!L:L,Daten!H:H,C57,Daten!E:E,"BUY")*-1</f>
        <v>1</v>
      </c>
      <c r="G57" s="6">
        <f>SUMIFS(Daten!L:L,Daten!H:H,C57,Daten!E:E,"SELL")*-1</f>
        <v>1</v>
      </c>
      <c r="H57" s="6">
        <f t="shared" si="0"/>
        <v>19.8</v>
      </c>
    </row>
    <row r="58" spans="1:8" x14ac:dyDescent="0.25">
      <c r="A58" s="9" t="s">
        <v>321</v>
      </c>
      <c r="B58" s="5" t="s">
        <v>32</v>
      </c>
      <c r="C58" s="5" t="s">
        <v>322</v>
      </c>
      <c r="D58" s="6">
        <f>10.63</f>
        <v>10.63</v>
      </c>
      <c r="E58" s="6">
        <f>80.63</f>
        <v>80.63</v>
      </c>
      <c r="F58" s="6">
        <f>SUMIFS(Daten!L:L,Daten!H:H,C58,Daten!E:E,"BUY")*-1</f>
        <v>1</v>
      </c>
      <c r="G58" s="6">
        <f>SUMIFS(Daten!L:L,Daten!H:H,C58,Daten!E:E,"SELL")*-1</f>
        <v>1</v>
      </c>
      <c r="H58" s="6">
        <f t="shared" si="0"/>
        <v>71</v>
      </c>
    </row>
    <row r="59" spans="1:8" x14ac:dyDescent="0.25">
      <c r="A59" s="9" t="s">
        <v>308</v>
      </c>
      <c r="B59" s="5" t="s">
        <v>32</v>
      </c>
      <c r="C59" s="5" t="s">
        <v>309</v>
      </c>
      <c r="D59" s="6">
        <f>3.16</f>
        <v>3.16</v>
      </c>
      <c r="E59" s="6">
        <f>32.16</f>
        <v>32.159999999999997</v>
      </c>
      <c r="F59" s="6">
        <f>SUMIFS(Daten!L:L,Daten!H:H,C59,Daten!E:E,"BUY")*-1</f>
        <v>1</v>
      </c>
      <c r="G59" s="6">
        <f>SUMIFS(Daten!L:L,Daten!H:H,C59,Daten!E:E,"SELL")*-1</f>
        <v>1</v>
      </c>
      <c r="H59" s="6">
        <f t="shared" si="0"/>
        <v>29.999999999999996</v>
      </c>
    </row>
    <row r="60" spans="1:8" x14ac:dyDescent="0.25">
      <c r="A60" s="9" t="s">
        <v>691</v>
      </c>
      <c r="B60" s="5" t="s">
        <v>32</v>
      </c>
      <c r="C60" s="5" t="s">
        <v>692</v>
      </c>
      <c r="D60" s="6">
        <f>19.33</f>
        <v>19.329999999999998</v>
      </c>
      <c r="E60" s="6">
        <f>220.33</f>
        <v>220.33</v>
      </c>
      <c r="F60" s="6">
        <f>SUMIFS(Daten!L:L,Daten!H:H,C60,Daten!E:E,"BUY")*-1</f>
        <v>1</v>
      </c>
      <c r="G60" s="6">
        <f>SUMIFS(Daten!L:L,Daten!H:H,C60,Daten!E:E,"SELL")*-1</f>
        <v>1</v>
      </c>
      <c r="H60" s="6">
        <f t="shared" si="0"/>
        <v>202</v>
      </c>
    </row>
    <row r="61" spans="1:8" x14ac:dyDescent="0.25">
      <c r="A61" s="9" t="s">
        <v>380</v>
      </c>
      <c r="B61" s="5" t="s">
        <v>32</v>
      </c>
      <c r="C61" s="5" t="s">
        <v>381</v>
      </c>
      <c r="D61" s="6">
        <f>0.31</f>
        <v>0.31</v>
      </c>
      <c r="E61" s="6">
        <f>29.31</f>
        <v>29.31</v>
      </c>
      <c r="F61" s="6">
        <f>SUMIFS(Daten!L:L,Daten!H:H,C61,Daten!E:E,"BUY")*-1</f>
        <v>1</v>
      </c>
      <c r="G61" s="6">
        <f>SUMIFS(Daten!L:L,Daten!H:H,C61,Daten!E:E,"SELL")*-1</f>
        <v>1</v>
      </c>
      <c r="H61" s="6">
        <f t="shared" si="0"/>
        <v>30</v>
      </c>
    </row>
    <row r="62" spans="1:8" x14ac:dyDescent="0.25">
      <c r="A62" s="9" t="s">
        <v>69</v>
      </c>
      <c r="B62" s="5" t="s">
        <v>64</v>
      </c>
      <c r="C62" s="5" t="s">
        <v>69</v>
      </c>
      <c r="D62" s="6">
        <f>0</f>
        <v>0</v>
      </c>
      <c r="E62" s="6">
        <f>0</f>
        <v>0</v>
      </c>
      <c r="F62" s="6">
        <f>SUMIFS(Daten!L:L,Daten!H:H,C62,Daten!E:E,"BUY")*-1</f>
        <v>10</v>
      </c>
      <c r="G62" s="6">
        <f>SUMIFS(Daten!L:L,Daten!H:H,C62,Daten!E:E,"SELL")*-1</f>
        <v>0</v>
      </c>
      <c r="H62" s="6">
        <f t="shared" si="0"/>
        <v>0</v>
      </c>
    </row>
    <row r="63" spans="1:8" x14ac:dyDescent="0.25">
      <c r="A63" s="9" t="s">
        <v>1444</v>
      </c>
      <c r="B63" s="5" t="s">
        <v>32</v>
      </c>
      <c r="C63" s="5" t="s">
        <v>1445</v>
      </c>
      <c r="D63" s="6">
        <f>0</f>
        <v>0</v>
      </c>
      <c r="E63" s="6">
        <f>0</f>
        <v>0</v>
      </c>
      <c r="F63" s="6">
        <f>SUMIFS(Daten!L:L,Daten!H:H,C63,Daten!E:E,"BUY")*-1</f>
        <v>1</v>
      </c>
      <c r="G63" s="6">
        <f>SUMIFS(Daten!L:L,Daten!H:H,C63,Daten!E:E,"SELL")*-1</f>
        <v>0</v>
      </c>
      <c r="H63" s="6">
        <f t="shared" si="0"/>
        <v>0</v>
      </c>
    </row>
    <row r="75" spans="5:5" x14ac:dyDescent="0.25">
      <c r="E75" s="44"/>
    </row>
  </sheetData>
  <autoFilter ref="A1:C1" xr:uid="{4CC05F3B-BA56-4355-A5CF-91CB0C6EC9E0}"/>
  <conditionalFormatting sqref="D2:D1048576">
    <cfRule type="cellIs" dxfId="1" priority="1" operator="lessThan">
      <formula>0</formula>
    </cfRule>
    <cfRule type="cellIs" dxfId="0" priority="2" operator="greaterThan">
      <formula>0</formula>
    </cfRule>
  </conditionalFormatting>
  <pageMargins left="0.7" right="0.7" top="0.78740157499999996" bottom="0.78740157499999996" header="0.3" footer="0.3"/>
  <ignoredErrors>
    <ignoredError sqref="D14:E14 D18:E18"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922A7D-4765-471A-9F95-137C4BA0EB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Daten</vt:lpstr>
      <vt:lpstr>Auswertung</vt:lpstr>
      <vt:lpstr>Dashboard</vt:lpstr>
      <vt:lpstr>Pivot</vt:lpstr>
      <vt:lpstr>Portfolio</vt:lpstr>
      <vt:lpstr>Auswertung_2026</vt:lpstr>
      <vt:lpstr>Auswertung_2025</vt:lpstr>
      <vt:lpstr>Definitions</vt:lpstr>
      <vt:lpstr>Berechnungen</vt:lpstr>
      <vt:lpstr>Manuel Revenues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Talla Fotsing Roméo</dc:creator>
  <cp:lastModifiedBy>Talla Fotsing Roméo</cp:lastModifiedBy>
  <dcterms:created xsi:type="dcterms:W3CDTF">2026-08-26T08:37:56Z</dcterms:created>
  <dcterms:modified xsi:type="dcterms:W3CDTF">2026-10-11T06:56:43Z</dcterms:modified>
</cp:coreProperties>
</file>