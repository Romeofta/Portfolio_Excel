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F621D29B-9DB2-4BE9-8B33-EE7D2E801078}" xr6:coauthVersionLast="47" xr6:coauthVersionMax="47" xr10:uidLastSave="{00000000-0000-0000-0000-000000000000}"/>
  <bookViews>
    <workbookView xWindow="-28920" yWindow="-120" windowWidth="29040" windowHeight="157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86"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G6" i="7"/>
  <c r="E6" i="7"/>
  <c r="J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W17" i="2" l="1"/>
  <c r="N17" i="2"/>
  <c r="Q17" i="2" s="1"/>
  <c r="D43" i="4"/>
  <c r="B70" i="4"/>
  <c r="B69" i="4"/>
  <c r="B68" i="4"/>
  <c r="B66" i="4"/>
  <c r="B67" i="4"/>
  <c r="C67" i="4" s="1"/>
  <c r="B63" i="4"/>
  <c r="B62" i="4"/>
  <c r="B64" i="4"/>
  <c r="B60" i="4"/>
  <c r="B61" i="4"/>
  <c r="C51" i="4"/>
  <c r="C49" i="4"/>
  <c r="C50" i="4"/>
  <c r="D45" i="4"/>
  <c r="D44" i="4"/>
  <c r="D46" i="4"/>
  <c r="B58" i="4"/>
  <c r="B52" i="4"/>
  <c r="C52" i="4" s="1"/>
  <c r="AC83" i="2"/>
  <c r="AD84" i="2" s="1"/>
  <c r="AC84" i="2"/>
  <c r="AC85" i="2"/>
  <c r="AD83" i="2"/>
  <c r="B108" i="4"/>
  <c r="B107" i="4"/>
  <c r="B106" i="4"/>
  <c r="B105" i="4"/>
  <c r="B103" i="4"/>
  <c r="B102" i="4"/>
  <c r="B101" i="4"/>
  <c r="B100" i="4"/>
  <c r="S19" i="2"/>
  <c r="V19" i="2" s="1"/>
  <c r="B89" i="4"/>
  <c r="B88" i="4"/>
  <c r="B6" i="4"/>
  <c r="B5" i="4"/>
  <c r="B4" i="4"/>
  <c r="B3" i="4"/>
  <c r="C3" i="4" s="1"/>
  <c r="B98" i="4"/>
  <c r="C69" i="4" l="1"/>
  <c r="C61" i="4"/>
  <c r="C64" i="4"/>
  <c r="C62" i="4"/>
  <c r="C63" i="4"/>
  <c r="C68" i="4"/>
  <c r="C70" i="4"/>
  <c r="C58" i="4"/>
  <c r="C57" i="4"/>
  <c r="C56" i="4"/>
  <c r="C55" i="4"/>
  <c r="C101" i="4"/>
  <c r="C108" i="4"/>
  <c r="C106" i="4"/>
  <c r="C107" i="4"/>
  <c r="C103" i="4"/>
  <c r="C102" i="4"/>
  <c r="C6" i="4"/>
  <c r="C5" i="4"/>
  <c r="C4"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C27" i="4" s="1"/>
  <c r="B39" i="4"/>
  <c r="B33" i="4"/>
  <c r="B34" i="4"/>
  <c r="B36" i="4"/>
  <c r="B30" i="4"/>
  <c r="B40" i="4"/>
  <c r="B26" i="4"/>
  <c r="C26" i="4" s="1"/>
  <c r="B20" i="4"/>
  <c r="B25" i="4"/>
  <c r="C25" i="4" s="1"/>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C39" i="4"/>
  <c r="C37" i="4"/>
  <c r="C38" i="4"/>
  <c r="C40" i="4"/>
  <c r="C28" i="4"/>
  <c r="B72" i="4"/>
  <c r="C19" i="4"/>
  <c r="C31" i="4"/>
  <c r="C32" i="4"/>
  <c r="C20" i="4"/>
  <c r="B73" i="4"/>
  <c r="W2" i="2"/>
  <c r="C22" i="4"/>
  <c r="O2" i="2"/>
  <c r="P21" i="2"/>
  <c r="O21" i="2"/>
  <c r="P37" i="2"/>
  <c r="K37" i="2"/>
  <c r="P36" i="2"/>
  <c r="K36" i="2"/>
  <c r="C21" i="4"/>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C75" i="4" s="1"/>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B138" i="4" s="1"/>
  <c r="B142" i="4" s="1"/>
  <c r="V4" i="2"/>
  <c r="W3" i="2"/>
  <c r="B8" i="4"/>
  <c r="C8" i="4" s="1"/>
  <c r="W20" i="2"/>
  <c r="N20" i="2"/>
  <c r="Q20" i="2" s="1"/>
  <c r="B92" i="4"/>
  <c r="C74" i="4"/>
  <c r="C33" i="4"/>
  <c r="W10" i="2"/>
  <c r="C34" i="4"/>
  <c r="N12" i="2"/>
  <c r="Q12" i="2" s="1"/>
  <c r="W12" i="2"/>
  <c r="N4" i="2"/>
  <c r="W4" i="2"/>
  <c r="V60" i="2"/>
  <c r="W60" i="2"/>
  <c r="N21" i="2"/>
  <c r="Q21" i="2" s="1"/>
  <c r="W21" i="2"/>
  <c r="C76" i="4"/>
  <c r="C73" i="4"/>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C10" i="4" s="1"/>
  <c r="B16" i="4"/>
  <c r="B11" i="4"/>
  <c r="C11" i="4" s="1"/>
  <c r="B13" i="4"/>
  <c r="B14" i="4"/>
  <c r="B9" i="4"/>
  <c r="C9" i="4" s="1"/>
  <c r="Q3" i="2" l="1"/>
  <c r="B129" i="4"/>
  <c r="B139" i="4"/>
  <c r="B143" i="4" s="1"/>
  <c r="C129" i="4"/>
  <c r="V50" i="2"/>
  <c r="B78" i="4"/>
  <c r="C128" i="4"/>
  <c r="Q2" i="2"/>
  <c r="B122" i="4"/>
  <c r="B116" i="4"/>
  <c r="B117" i="4"/>
  <c r="B128" i="4"/>
  <c r="B140" i="4"/>
  <c r="B144" i="4" s="1"/>
  <c r="V3" i="2"/>
  <c r="C130" i="4"/>
  <c r="B131" i="4"/>
  <c r="B132" i="4"/>
  <c r="B130" i="4"/>
  <c r="C131" i="4"/>
  <c r="C132" i="4"/>
  <c r="C111" i="4"/>
  <c r="C114" i="4"/>
  <c r="C95" i="4"/>
  <c r="C112" i="4"/>
  <c r="C94" i="4"/>
  <c r="C92" i="4"/>
  <c r="C93" i="4"/>
  <c r="C113" i="4"/>
  <c r="B124" i="4"/>
  <c r="B118" i="4"/>
  <c r="B119" i="4"/>
  <c r="B125" i="4"/>
  <c r="B123" i="4"/>
  <c r="B81" i="4"/>
  <c r="B82" i="4"/>
  <c r="B80" i="4"/>
  <c r="B126" i="4"/>
  <c r="B79" i="4"/>
  <c r="B120" i="4"/>
  <c r="B135" i="4" l="1"/>
  <c r="C143" i="4" s="1"/>
  <c r="B134" i="4"/>
  <c r="C142" i="4" s="1"/>
  <c r="C123" i="4"/>
  <c r="C125" i="4"/>
  <c r="C124" i="4"/>
  <c r="C80" i="4"/>
  <c r="C81" i="4"/>
  <c r="C120" i="4"/>
  <c r="E132" i="4"/>
  <c r="E130" i="4"/>
  <c r="C119" i="4"/>
  <c r="E131" i="4"/>
  <c r="C118" i="4"/>
  <c r="C117" i="4"/>
  <c r="E129" i="4"/>
  <c r="C82" i="4"/>
  <c r="C126" i="4"/>
  <c r="C79" i="4"/>
  <c r="B136" i="4"/>
  <c r="C144"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<sst xmlns="http://schemas.openxmlformats.org/spreadsheetml/2006/main" count="6103" uniqueCount="1442">
  <si>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</si>
  <si>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</si>
  <si>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</si>
  <si>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</si>
  <si>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</si>
  <si>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</si>
  <si>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</si>
  <si>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</si>
  <si>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</si>
  <si>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</si>
  <si>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</si>
  <si>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</si>
  <si>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</si>
  <si>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</si>
  <si>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</si>
  <si>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</si>
  <si>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</si>
  <si>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</si>
  <si>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</si>
  <si>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</si>
  <si>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</si>
  <si>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</si>
  <si>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</si>
  <si>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</si>
  <si>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</si>
  <si>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</si>
  <si>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</si>
  <si>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</si>
  <si>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</si>
  <si>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</si>
  <si>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</si>
  <si>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</si>
  <si>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</si>
  <si>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</si>
  <si>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</si>
  <si>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</si>
  <si>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</si>
  <si>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</si>
  <si>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</si>
  <si>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</si>
  <si>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</si>
  <si>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</si>
  <si>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</si>
  <si>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</si>
  <si>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</si>
  <si>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</si>
  <si>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</si>
  <si>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</si>
  <si>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</si>
  <si>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</si>
  <si>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</si>
  <si>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</si>
  <si>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</si>
  <si>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</si>
  <si>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</si>
  <si>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</si>
  <si>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</si>
  <si>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</si>
  <si>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</si>
  <si>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</si>
  <si>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</si>
  <si>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</si>
  <si>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</si>
  <si>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</si>
  <si>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</si>
  <si>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</si>
  <si>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</si>
  <si>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</si>
  <si>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</si>
  <si>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</si>
  <si>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</si>
  <si>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</si>
  <si>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</si>
  <si>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</si>
  <si>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</si>
  <si>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</si>
  <si>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</si>
  <si>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</si>
  <si>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</si>
  <si>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</si>
  <si>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</si>
  <si>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</si>
  <si>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</si>
  <si>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</si>
  <si>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</si>
  <si>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</si>
  <si>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</si>
  <si>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</si>
  <si>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</si>
  <si>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</si>
  <si>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</si>
  <si>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</si>
  <si>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</si>
  <si>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</si>
  <si>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</si>
  <si>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</si>
  <si>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</si>
  <si>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</si>
  <si>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</si>
  <si>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</si>
  <si>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</si>
  <si>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</si>
  <si>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</si>
  <si>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</si>
  <si>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</si>
  <si>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</si>
  <si>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</si>
  <si>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</si>
  <si>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</si>
  <si>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</si>
  <si>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</si>
  <si>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</si>
  <si>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</si>
  <si>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</si>
  <si>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</si>
  <si>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</si>
  <si>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</si>
  <si>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</si>
  <si>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</si>
  <si>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</si>
  <si>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</si>
  <si>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</si>
  <si>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</si>
  <si>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</si>
  <si>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</si>
  <si>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</si>
  <si>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</si>
  <si>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</si>
  <si>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</si>
  <si>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</si>
  <si>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</si>
  <si>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</si>
  <si>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</si>
  <si>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</si>
  <si>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</si>
  <si>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</si>
  <si>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</si>
  <si>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</si>
  <si>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</si>
  <si>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</si>
  <si>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</si>
  <si>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</si>
  <si>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</si>
  <si>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</si>
  <si>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</si>
  <si>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</si>
  <si>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</si>
  <si>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</si>
  <si>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</si>
  <si>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</si>
  <si>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</si>
  <si>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</si>
  <si>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</si>
  <si>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</si>
  <si>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</si>
  <si>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</si>
  <si>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</si>
  <si>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</si>
  <si>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</si>
  <si>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</si>
  <si>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</si>
  <si>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</si>
  <si>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</si>
  <si>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</si>
  <si>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</si>
  <si>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</si>
  <si>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</si>
  <si>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</si>
  <si>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</si>
  <si>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</si>
  <si>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</si>
  <si>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</si>
  <si>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</si>
  <si>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</si>
  <si>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</si>
  <si>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</si>
  <si>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</si>
  <si>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</si>
  <si>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</si>
  <si>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</si>
  <si>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</si>
  <si>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</si>
  <si>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</si>
  <si>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</si>
  <si>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</si>
  <si>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</si>
  <si>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</si>
  <si>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</si>
  <si>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</si>
  <si>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</si>
  <si>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</si>
  <si>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</si>
  <si>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</si>
  <si>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</si>
  <si>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</si>
  <si>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</si>
  <si>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</si>
  <si>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</si>
  <si>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</si>
  <si>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</si>
  <si>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</si>
  <si>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</si>
  <si>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</si>
  <si>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</si>
  <si>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</si>
  <si>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</si>
  <si>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</si>
  <si>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</si>
  <si>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</si>
  <si>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</si>
  <si>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</si>
  <si>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</si>
  <si>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</si>
  <si>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</si>
  <si>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</si>
  <si>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</si>
  <si>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</si>
  <si>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</si>
  <si>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</si>
  <si>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</si>
  <si>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</si>
  <si>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</si>
  <si>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</si>
  <si>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</si>
  <si>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</si>
  <si>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</si>
  <si>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</si>
  <si>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</si>
  <si>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</si>
  <si>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</si>
  <si>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</si>
  <si>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</si>
  <si>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</si>
  <si>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</si>
  <si>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</si>
  <si>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</si>
  <si>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</si>
  <si>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</si>
  <si>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</si>
  <si>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</si>
  <si>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</si>
  <si>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</si>
  <si>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</si>
  <si>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</si>
  <si>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</si>
  <si>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</si>
  <si>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</si>
  <si>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</si>
  <si>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</si>
  <si>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</si>
  <si>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</si>
  <si>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</si>
  <si>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</si>
  <si>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</si>
  <si>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</si>
  <si>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</si>
  <si>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</si>
  <si>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</si>
  <si>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</si>
  <si>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</si>
  <si>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</si>
  <si>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</si>
  <si>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</si>
  <si>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</si>
  <si>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</si>
  <si>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</si>
  <si>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</si>
  <si>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</si>
  <si>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</si>
  <si>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</si>
  <si>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</si>
  <si>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</si>
  <si>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</si>
  <si>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</si>
  <si>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</si>
  <si>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</si>
  <si>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</si>
  <si>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</si>
  <si>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</si>
  <si>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</si>
  <si>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</si>
  <si>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</si>
  <si>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</si>
  <si>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</si>
  <si>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</si>
  <si>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</si>
  <si>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</si>
  <si>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</si>
  <si>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</si>
  <si>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</si>
  <si>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</si>
  <si>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</si>
  <si>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</si>
  <si>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</si>
  <si>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</si>
  <si>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</si>
  <si>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</si>
  <si>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</si>
  <si>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</si>
  <si>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</si>
  <si>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</si>
  <si>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</si>
  <si>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</si>
  <si>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</si>
  <si>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</si>
  <si>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</si>
  <si>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</si>
  <si>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</si>
  <si>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</si>
  <si>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</si>
  <si>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</si>
  <si>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</si>
  <si>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</si>
  <si>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</si>
  <si>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</si>
  <si>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</si>
  <si>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</si>
  <si>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</si>
  <si>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</si>
  <si>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</si>
  <si>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</si>
  <si>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</si>
  <si>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</si>
  <si>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</si>
  <si>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</si>
  <si>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</si>
  <si>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</si>
  <si>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</si>
  <si>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</si>
  <si>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</si>
  <si>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</si>
  <si>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</si>
  <si>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</si>
  <si>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</si>
  <si>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</si>
  <si>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</si>
  <si>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</si>
  <si>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</si>
  <si>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</si>
  <si>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</si>
  <si>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</si>
  <si>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</si>
  <si>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</si>
  <si>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</si>
  <si>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</si>
  <si>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</si>
  <si>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</si>
  <si>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</si>
  <si>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</si>
  <si>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</si>
  <si>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</si>
  <si>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</si>
  <si>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</si>
  <si>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</si>
  <si>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</si>
  <si>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</si>
  <si>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</si>
  <si>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</si>
  <si>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</si>
  <si>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</si>
  <si>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</si>
  <si>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</si>
  <si>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</si>
  <si>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</si>
  <si>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</si>
  <si>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</si>
  <si>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</si>
  <si>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</si>
  <si>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</si>
  <si>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</si>
  <si>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</si>
  <si>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</si>
  <si>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</si>
  <si>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</si>
  <si>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</si>
  <si>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</si>
  <si>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</si>
  <si>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</si>
  <si>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</si>
  <si>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</si>
  <si>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</si>
  <si>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</si>
  <si>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</si>
  <si>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</si>
  <si>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</si>
  <si>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</si>
  <si>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</si>
  <si>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</si>
  <si>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</si>
  <si>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</si>
  <si>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</si>
  <si>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</si>
  <si>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</si>
  <si>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</si>
  <si>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</si>
  <si>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</si>
  <si>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</si>
  <si>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</si>
  <si>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</si>
  <si>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</si>
  <si>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</si>
  <si>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</si>
  <si>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</si>
  <si>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</si>
  <si>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</si>
  <si>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</si>
  <si>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</si>
  <si>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</si>
  <si>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</si>
  <si>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</si>
  <si>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</si>
  <si>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</si>
  <si>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</si>
  <si>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</si>
  <si>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</si>
  <si>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</si>
  <si>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</si>
  <si>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</si>
  <si>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</si>
  <si>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</si>
  <si>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</si>
  <si>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</si>
  <si>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</si>
  <si>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</si>
  <si>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</si>
  <si>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</si>
  <si>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</si>
  <si>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</si>
  <si>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</si>
  <si>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</si>
  <si>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</si>
  <si>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</si>
  <si>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</si>
  <si>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</si>
  <si>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</si>
  <si>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</si>
  <si>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</si>
  <si>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</si>
  <si>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</si>
  <si>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</si>
  <si>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</si>
  <si>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</si>
  <si>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</si>
  <si>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</si>
  <si>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</si>
  <si>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</si>
  <si>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</si>
  <si>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</si>
  <si>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</si>
  <si>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</si>
  <si>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</si>
  <si>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</si>
  <si>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</si>
  <si>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</si>
  <si>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</si>
  <si>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</si>
  <si>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</si>
  <si>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</si>
  <si>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</si>
  <si>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</si>
  <si>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</si>
  <si>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</si>
  <si>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</si>
  <si>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</si>
  <si>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</si>
  <si>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</si>
  <si>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</si>
  <si>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</si>
  <si>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</si>
  <si>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</si>
  <si>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</si>
  <si>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</si>
  <si>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</si>
  <si>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</si>
  <si>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</si>
  <si>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</si>
  <si>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</si>
  <si>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</si>
  <si>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</si>
  <si>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</si>
  <si>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</si>
  <si>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</si>
  <si>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</si>
  <si>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</si>
  <si>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</si>
  <si>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</si>
  <si>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</si>
  <si>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</si>
  <si>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</si>
  <si>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</si>
  <si>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</si>
  <si>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</si>
  <si>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</si>
  <si>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</si>
  <si>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</si>
  <si>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</si>
  <si>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</si>
  <si>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</si>
  <si>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</si>
  <si>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</si>
  <si>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</si>
  <si>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</si>
  <si>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</si>
  <si>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</si>
  <si>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</si>
  <si>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</si>
  <si>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</si>
  <si>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</si>
  <si>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</si>
  <si>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</si>
  <si>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</si>
  <si>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</si>
  <si>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</si>
  <si>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</si>
  <si>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</si>
  <si>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</si>
  <si>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</si>
  <si>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</si>
  <si>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</si>
  <si>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</si>
  <si>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</si>
  <si>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</si>
  <si>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</si>
  <si>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</si>
  <si>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</si>
  <si>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</si>
  <si>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</si>
  <si>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</si>
  <si>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</si>
  <si>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</si>
  <si>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</si>
  <si>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</si>
  <si>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</si>
  <si>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</si>
  <si>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</si>
  <si>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</si>
  <si>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</si>
  <si>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</si>
  <si>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</si>
  <si>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</si>
  <si>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</si>
  <si>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</si>
  <si>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</si>
  <si>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</si>
  <si>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</si>
  <si>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</si>
  <si>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</si>
  <si>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</si>
  <si>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</si>
  <si>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</si>
  <si>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</si>
  <si>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</si>
  <si>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</si>
  <si>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</si>
  <si>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</si>
  <si>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</si>
  <si>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</si>
  <si>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</si>
  <si>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</si>
  <si>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</si>
  <si>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</si>
  <si>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</si>
  <si>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</si>
  <si>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</si>
  <si>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</si>
  <si>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</si>
  <si>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</si>
  <si>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</si>
  <si>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</si>
  <si>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</si>
  <si>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</si>
  <si>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</si>
  <si>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</si>
  <si>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</si>
  <si>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</si>
  <si>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</si>
  <si>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</si>
  <si>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</si>
  <si>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</si>
  <si>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</si>
  <si>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</si>
  <si>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</si>
  <si>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</si>
  <si>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</si>
  <si>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</si>
  <si>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</si>
  <si>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</si>
  <si>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</si>
  <si>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</si>
  <si>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</si>
  <si>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</si>
  <si>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</si>
  <si>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</si>
  <si>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</si>
  <si>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</si>
  <si>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</si>
  <si>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</si>
  <si>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</si>
  <si>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</si>
  <si>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</si>
  <si>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</si>
  <si>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</si>
  <si>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</si>
  <si>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</si>
  <si>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</si>
  <si>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</si>
  <si>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</si>
  <si>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</si>
  <si>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</si>
  <si>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</si>
  <si>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</si>
  <si>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</si>
  <si>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</si>
  <si>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</si>
  <si>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</si>
  <si>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</si>
  <si>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</si>
  <si>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</si>
  <si>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</si>
  <si>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</si>
  <si>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</si>
  <si>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</si>
  <si>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</si>
  <si>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</si>
  <si>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</si>
  <si>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</si>
  <si>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</si>
  <si>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</si>
  <si>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</si>
  <si>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</si>
  <si>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</si>
  <si>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</si>
  <si>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</si>
  <si>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</si>
  <si>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</si>
  <si>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</si>
  <si>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</si>
  <si>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</si>
  <si>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</si>
  <si>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</si>
  <si>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</si>
  <si>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</si>
  <si>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</si>
  <si>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</si>
  <si>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</si>
  <si>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</si>
  <si>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</si>
  <si>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</si>
  <si>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</si>
  <si>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</si>
  <si>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</si>
  <si>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</si>
  <si>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</si>
  <si>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</si>
  <si>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</si>
  <si>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</si>
  <si>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</si>
  <si>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</si>
  <si>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</si>
  <si>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</si>
  <si>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</si>
  <si>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</si>
  <si>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</si>
  <si>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</si>
  <si>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</si>
  <si>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</si>
  <si>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</si>
  <si>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</si>
  <si>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</si>
  <si>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</si>
  <si>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</si>
  <si>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</si>
  <si>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</si>
  <si>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</si>
  <si>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</si>
  <si>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</si>
  <si>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</si>
  <si>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</si>
  <si>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</si>
  <si>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</si>
  <si>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</si>
  <si>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</si>
  <si>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</si>
  <si>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</si>
  <si>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</si>
  <si>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</si>
  <si>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</si>
  <si>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</si>
  <si>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</si>
  <si>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</si>
  <si>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</si>
  <si>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</si>
  <si>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</si>
  <si>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</si>
  <si>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</si>
  <si>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</si>
  <si>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</si>
  <si>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</si>
  <si>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</si>
  <si>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</si>
  <si>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</si>
  <si>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</si>
  <si>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</si>
  <si>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</si>
  <si>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</si>
  <si>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</si>
  <si>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</si>
  <si>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</si>
  <si>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</si>
  <si>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</si>
  <si>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</si>
  <si>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</si>
  <si>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</si>
  <si>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</si>
  <si>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</si>
  <si>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</si>
  <si>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</si>
  <si>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</si>
  <si>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</si>
  <si>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</si>
  <si>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</si>
  <si>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</si>
  <si>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</si>
  <si>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</si>
  <si>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</si>
  <si>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</si>
  <si>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</si>
  <si>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</si>
  <si>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</si>
  <si>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</si>
  <si>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</si>
  <si>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</si>
  <si>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</si>
  <si>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</si>
  <si>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</si>
  <si>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</si>
  <si>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</si>
  <si>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</si>
  <si>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</si>
  <si>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</si>
  <si>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</si>
  <si>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</si>
  <si>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</si>
  <si>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</si>
  <si>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</si>
  <si>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</si>
  <si>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</si>
  <si>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</si>
  <si>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</si>
  <si>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</si>
  <si>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</si>
  <si>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</si>
  <si>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</si>
  <si>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</si>
  <si>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</si>
  <si>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</si>
  <si>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</si>
  <si>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</si>
  <si>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</si>
  <si>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</si>
  <si>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</si>
  <si>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</si>
  <si>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</si>
  <si>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</si>
  <si>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</si>
  <si>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</si>
  <si>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</si>
  <si>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</si>
  <si>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</si>
  <si>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</si>
  <si>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</si>
  <si>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</si>
  <si>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</si>
  <si>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</si>
  <si>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</si>
  <si>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</si>
  <si>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</si>
  <si>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</si>
  <si>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</si>
  <si>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</si>
  <si>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</si>
  <si>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</si>
  <si>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</si>
  <si>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</si>
  <si>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</si>
  <si>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</si>
  <si>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</si>
  <si>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</si>
  <si>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</si>
  <si>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</si>
  <si>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</si>
  <si>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</si>
  <si>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</si>
  <si>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</si>
  <si>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</si>
  <si>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</si>
  <si>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</si>
  <si>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</si>
  <si>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</si>
  <si>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</si>
  <si>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</si>
  <si>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</si>
  <si>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</si>
  <si>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</si>
  <si>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</si>
  <si>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</si>
  <si>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</si>
  <si>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</si>
  <si>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</si>
  <si>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</si>
  <si>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</si>
  <si>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</si>
  <si>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</si>
  <si>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</si>
  <si>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</si>
  <si>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</si>
  <si>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</si>
  <si>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</si>
  <si>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</si>
  <si>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</si>
  <si>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</si>
  <si>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</si>
  <si>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</si>
  <si>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</si>
  <si>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</si>
  <si>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</si>
  <si>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</si>
  <si>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</si>
  <si>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</si>
  <si>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</si>
  <si>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</si>
  <si>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</si>
  <si>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</si>
  <si>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</si>
  <si>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</si>
  <si>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</si>
  <si>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</si>
  <si>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</si>
  <si>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</si>
  <si>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</si>
  <si>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</si>
  <si>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</si>
  <si>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</si>
  <si>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</si>
  <si>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</si>
  <si>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</si>
  <si>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</si>
  <si>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</si>
  <si>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</si>
  <si>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</si>
  <si>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</si>
  <si>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</si>
  <si>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</si>
  <si>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</si>
  <si>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</si>
  <si>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</si>
  <si>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</si>
  <si>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</si>
  <si>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</si>
  <si>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</si>
  <si>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</si>
  <si>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</si>
  <si>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</si>
  <si>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</si>
  <si>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</si>
  <si>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</si>
  <si>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</si>
  <si>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</si>
  <si>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</si>
  <si>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</si>
  <si>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</si>
  <si>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</si>
  <si>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</si>
  <si>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</si>
  <si>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</si>
  <si>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</si>
  <si>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</si>
  <si>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</si>
  <si>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</si>
  <si>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</si>
  <si>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</si>
  <si>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</si>
  <si>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</si>
  <si>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</si>
  <si>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</si>
  <si>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</si>
  <si>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</si>
  <si>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</si>
  <si>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</si>
  <si>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</si>
  <si>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</si>
  <si>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</si>
  <si>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</si>
  <si>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</si>
  <si>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</si>
  <si>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</si>
  <si>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</si>
  <si>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</si>
  <si>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</si>
  <si>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</si>
  <si>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</si>
  <si>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</si>
  <si>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</si>
  <si>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</si>
  <si>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</si>
  <si>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</si>
  <si>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</si>
  <si>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</si>
  <si>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</si>
  <si>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</si>
  <si>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</si>
  <si>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</si>
  <si>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</si>
  <si>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</si>
  <si>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</si>
  <si>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</si>
  <si>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</si>
  <si>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</si>
  <si>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</si>
  <si>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</si>
  <si>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</si>
  <si>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</si>
  <si>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</si>
  <si>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</si>
  <si>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</si>
  <si>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</si>
  <si>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</si>
  <si>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</si>
  <si>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</si>
  <si>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</si>
  <si>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</si>
  <si>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</si>
  <si>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</si>
  <si>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</si>
  <si>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</si>
  <si>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</si>
  <si>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</si>
  <si>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</si>
  <si>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</si>
  <si>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</si>
  <si>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</si>
  <si>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</si>
  <si>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</si>
  <si>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</si>
  <si>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</si>
  <si>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</si>
  <si>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</si>
  <si>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</si>
  <si>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</si>
  <si>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</si>
  <si>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</si>
  <si>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</si>
  <si>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</si>
  <si>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</si>
  <si>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</si>
  <si>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</si>
  <si>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</si>
  <si>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</si>
  <si>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</si>
  <si>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</si>
  <si>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</si>
  <si>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</si>
  <si>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</si>
  <si>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</si>
  <si>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</si>
  <si>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</si>
  <si>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</si>
  <si>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</si>
  <si>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</si>
  <si>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</si>
  <si>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</si>
  <si>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</si>
  <si>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</si>
  <si>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</si>
  <si>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</si>
  <si>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</si>
  <si>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</si>
  <si>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</si>
  <si>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</si>
  <si>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</si>
  <si>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</si>
  <si>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</si>
  <si>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</si>
  <si>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</si>
  <si>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</si>
  <si>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</si>
  <si>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</si>
  <si>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</si>
  <si>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</si>
  <si>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</si>
  <si>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</si>
  <si>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</si>
  <si>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</si>
  <si>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</si>
  <si>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</si>
  <si>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</si>
  <si>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</si>
  <si>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</si>
  <si>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</si>
  <si>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</si>
  <si>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</si>
  <si>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</si>
  <si>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</si>
  <si>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</si>
  <si>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</si>
  <si>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</si>
  <si>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</si>
  <si>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</si>
  <si>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</si>
  <si>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</si>
  <si>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</si>
  <si>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</si>
  <si>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</si>
  <si>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</si>
  <si>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</si>
  <si>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</si>
  <si>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</si>
  <si>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</si>
  <si>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</si>
  <si>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</si>
  <si>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</si>
  <si>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</si>
  <si>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</si>
  <si>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</si>
  <si>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</si>
  <si>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</si>
  <si>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</si>
  <si>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</si>
  <si>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</si>
  <si>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</si>
  <si>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</si>
  <si>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</si>
  <si>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</si>
  <si>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</si>
  <si>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</si>
  <si>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</si>
  <si>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</si>
  <si>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</si>
  <si>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</si>
  <si>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</si>
  <si>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</si>
  <si>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</si>
  <si>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</si>
  <si>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</si>
  <si>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</si>
  <si>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</si>
  <si>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</si>
  <si>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</si>
  <si>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</si>
  <si>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</si>
  <si>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</si>
  <si>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</si>
  <si>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</si>
  <si>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</si>
  <si>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</si>
  <si>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</si>
  <si>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</si>
  <si>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</si>
  <si>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</si>
  <si>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</si>
  <si>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</si>
  <si>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</si>
  <si>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</si>
  <si>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</si>
  <si>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</si>
  <si>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</si>
  <si>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</si>
  <si>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</si>
  <si>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</si>
  <si>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</si>
  <si>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</si>
  <si>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</si>
  <si>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</si>
  <si>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</si>
  <si>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</si>
  <si>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</si>
  <si>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</si>
  <si>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</si>
  <si>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</si>
  <si>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</si>
  <si>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</si>
  <si>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</si>
  <si>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</si>
  <si>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</si>
  <si>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</si>
  <si>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</si>
  <si>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</si>
  <si>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</si>
  <si>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</si>
  <si>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</si>
  <si>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</si>
  <si>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</si>
  <si>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</si>
  <si>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</si>
  <si>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</si>
  <si>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</si>
  <si>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</si>
  <si>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</si>
  <si>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</si>
  <si>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</si>
  <si>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</si>
  <si>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</si>
  <si>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</si>
  <si>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</si>
  <si>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</si>
  <si>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</si>
  <si>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</si>
  <si>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</si>
  <si>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</si>
  <si>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</si>
  <si>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</si>
  <si>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</si>
  <si>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</si>
  <si>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</si>
  <si>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</si>
  <si>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</si>
  <si>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</si>
  <si>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</si>
  <si>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</si>
  <si>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</si>
  <si>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</si>
  <si>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</si>
  <si>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</si>
  <si>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</si>
  <si>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</si>
  <si>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</si>
  <si>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</si>
  <si>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</si>
  <si>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</si>
  <si>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</si>
  <si>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</si>
  <si>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</si>
  <si>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</si>
  <si>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</si>
  <si>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</si>
  <si>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</si>
  <si>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</si>
  <si>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</si>
  <si>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</si>
  <si>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</si>
  <si>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</si>
  <si>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</si>
  <si>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</si>
  <si>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</si>
  <si>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</si>
  <si>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</si>
  <si>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</si>
  <si>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</si>
  <si>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</si>
  <si>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</si>
  <si>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</si>
  <si>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</si>
  <si>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</si>
  <si>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</si>
  <si>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</si>
  <si>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</si>
  <si>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</si>
  <si>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</si>
  <si>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</si>
  <si>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</si>
  <si>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</si>
  <si>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</si>
  <si>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</si>
  <si>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</si>
  <si>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</si>
  <si>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</si>
  <si>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</si>
  <si>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</si>
  <si>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</si>
  <si>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</si>
  <si>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</si>
  <si>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</si>
  <si>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</si>
  <si>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</si>
  <si>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</si>
  <si>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</si>
  <si>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</si>
  <si>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</si>
  <si>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</si>
  <si>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</si>
  <si>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</si>
  <si>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</si>
  <si>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</si>
  <si>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</si>
  <si>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</si>
  <si>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</si>
  <si>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</si>
  <si>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</si>
  <si>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</si>
  <si>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</si>
  <si>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</si>
  <si>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</si>
  <si>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</si>
  <si>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</si>
  <si>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</si>
  <si>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</si>
  <si>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</si>
  <si>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</si>
  <si>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</si>
  <si>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</si>
  <si>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</si>
  <si>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</si>
  <si>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</si>
  <si>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</si>
  <si>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</si>
  <si>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</si>
  <si>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</si>
  <si>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</si>
  <si>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</si>
  <si>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</si>
  <si>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</si>
  <si>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</si>
  <si>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</si>
  <si>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</si>
  <si>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</si>
  <si>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</si>
  <si>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</si>
  <si>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</si>
  <si>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</si>
  <si>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</si>
  <si>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</si>
  <si>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</si>
  <si>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</si>
  <si>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</si>
  <si>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</si>
  <si>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</si>
  <si>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</si>
  <si>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</si>
  <si>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</si>
  <si>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</si>
  <si>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</si>
  <si>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</si>
  <si>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</si>
  <si>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</si>
  <si>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</si>
  <si>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</si>
  <si>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</si>
  <si>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</si>
  <si>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</si>
  <si>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</si>
  <si>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</si>
  <si>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</si>
  <si>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</si>
  <si>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</si>
  <si>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</si>
  <si>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</si>
  <si>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</si>
  <si>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</si>
  <si>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</si>
  <si>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</si>
  <si>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</si>
  <si>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</si>
  <si>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</si>
  <si>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</si>
  <si>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</si>
  <si>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</si>
  <si>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</si>
  <si>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</si>
  <si>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</si>
  <si>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</si>
  <si>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</si>
  <si>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</si>
  <si>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</si>
  <si>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</si>
  <si>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</si>
  <si>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</si>
  <si>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</si>
  <si>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</si>
  <si>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</si>
  <si>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</si>
  <si>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</si>
  <si>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</si>
  <si>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</si>
  <si>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</si>
  <si>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</si>
  <si>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</si>
  <si>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</si>
  <si>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</si>
  <si>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</si>
  <si>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</si>
  <si>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</si>
  <si>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</si>
  <si>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</si>
  <si>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</si>
  <si>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</si>
  <si>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</si>
  <si>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</si>
  <si>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</si>
  <si>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</si>
  <si>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</si>
  <si>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</si>
  <si>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</si>
  <si>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</si>
  <si>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</si>
  <si>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</si>
  <si>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</si>
  <si>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</si>
  <si>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</si>
  <si>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</si>
  <si>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</si>
  <si>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</si>
  <si>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</si>
  <si>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</si>
  <si>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</si>
  <si>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</si>
  <si>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</si>
  <si>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</si>
  <si>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</si>
  <si>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</si>
  <si>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</si>
  <si>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</si>
  <si>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</si>
  <si>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</si>
  <si>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</si>
  <si>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</si>
  <si>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</si>
  <si>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</si>
  <si>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</si>
  <si>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</si>
  <si>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</si>
  <si>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</si>
  <si>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</si>
  <si>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</si>
  <si>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</si>
  <si>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</si>
  <si>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</si>
  <si>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</si>
  <si>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</si>
  <si>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</si>
  <si>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</si>
  <si>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</si>
  <si>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</si>
  <si>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</si>
  <si>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</si>
  <si>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</si>
  <si>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</si>
  <si>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</si>
  <si>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</si>
  <si>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</si>
  <si>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</si>
  <si>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</si>
  <si>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</si>
  <si>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</si>
  <si>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</si>
  <si>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</si>
  <si>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</si>
  <si>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</si>
  <si>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</si>
  <si>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</si>
  <si>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</si>
  <si>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</si>
  <si>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</si>
  <si>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</si>
  <si>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</si>
  <si>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</si>
  <si>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</si>
  <si>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</si>
  <si>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</si>
  <si>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</si>
  <si>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</si>
  <si>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</si>
  <si>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</si>
  <si>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</si>
  <si>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</si>
  <si>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</si>
  <si>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</si>
  <si>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</si>
  <si>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</si>
  <si>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</si>
  <si>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</si>
  <si>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</si>
  <si>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</si>
  <si>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</si>
  <si>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</si>
  <si>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</si>
  <si>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</si>
  <si>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</si>
  <si>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</si>
  <si>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</si>
  <si>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</si>
  <si>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</si>
  <si>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</si>
  <si>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</si>
  <si>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</si>
  <si>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</si>
  <si>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</si>
  <si>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</si>
  <si>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</si>
  <si>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</si>
  <si>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</si>
  <si>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</si>
  <si>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</si>
  <si>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</si>
  <si>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</si>
  <si>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</si>
  <si>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</si>
  <si>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</si>
  <si>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</si>
  <si>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</si>
  <si>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</si>
  <si>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</si>
  <si>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</si>
  <si>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</si>
  <si>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</si>
  <si>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</si>
  <si>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</si>
  <si>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</si>
  <si>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</si>
  <si>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</si>
  <si>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</si>
  <si>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</si>
  <si>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</si>
  <si>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</si>
  <si>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</si>
  <si>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</si>
  <si>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</si>
  <si>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</si>
  <si>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</si>
  <si>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</si>
  <si>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</si>
  <si>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</si>
  <si>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</si>
  <si>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</si>
  <si>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</si>
  <si>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</si>
  <si>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</si>
  <si>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</si>
  <si>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</si>
  <si>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</si>
  <si>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</si>
  <si>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</si>
  <si>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(Leer)</t>
  </si>
  <si>
    <t>Gesamtergebnis</t>
  </si>
  <si>
    <t>Assets</t>
  </si>
  <si>
    <t>Aktueller Wert</t>
  </si>
  <si>
    <t>Einkaufswert</t>
  </si>
  <si>
    <t>G/V:</t>
  </si>
  <si>
    <t>Kurswert</t>
  </si>
  <si>
    <t>CRYPTO Ergebnis</t>
  </si>
  <si>
    <t>FUND Ergebnis</t>
  </si>
  <si>
    <t>STOCK Ergebnis</t>
  </si>
  <si>
    <t xml:space="preserve">Bestand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</si>
</sst>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55">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14.825331278100002</c:v>
                </c:pt>
                <c:pt idx="1">
                  <c:v>148.921051293175</c:v>
                </c:pt>
                <c:pt idx="2">
                  <c:v>259.66597086000002</c:v>
                </c:pt>
                <c:pt idx="3">
                  <c:v>110.656993675748</c:v>
                </c:pt>
                <c:pt idx="4">
                  <c:v>78.191593101944989</c:v>
                </c:pt>
                <c:pt idx="5">
                  <c:v>19.831817694834001</c:v>
                </c:pt>
                <c:pt idx="6">
                  <c:v>38.345999999999997</c:v>
                </c:pt>
                <c:pt idx="7">
                  <c:v>299.76</c:v>
                </c:pt>
                <c:pt idx="8">
                  <c:v>253.1512243</c:v>
                </c:pt>
                <c:pt idx="9">
                  <c:v>701.055643143</c:v>
                </c:pt>
                <c:pt idx="10">
                  <c:v>1161.5903013000002</c:v>
                </c:pt>
                <c:pt idx="11">
                  <c:v>2078.2696752000002</c:v>
                </c:pt>
                <c:pt idx="12">
                  <c:v>733.53743855000005</c:v>
                </c:pt>
                <c:pt idx="13">
                  <c:v>373.39748298000006</c:v>
                </c:pt>
                <c:pt idx="14">
                  <c:v>503.81986920200001</c:v>
                </c:pt>
                <c:pt idx="15">
                  <c:v>904.30637567999997</c:v>
                </c:pt>
                <c:pt idx="16">
                  <c:v>396.91665079000001</c:v>
                </c:pt>
                <c:pt idx="17">
                  <c:v>511.43825493000003</c:v>
                </c:pt>
                <c:pt idx="18">
                  <c:v>352.45250792500002</c:v>
                </c:pt>
                <c:pt idx="19">
                  <c:v>376.24285335000002</c:v>
                </c:pt>
                <c:pt idx="20">
                  <c:v>706.11467541999991</c:v>
                </c:pt>
                <c:pt idx="21">
                  <c:v>412.57393545999997</c:v>
                </c:pt>
                <c:pt idx="22">
                  <c:v>28.467232879999969</c:v>
                </c:pt>
                <c:pt idx="23">
                  <c:v>40.950000000000003</c:v>
                </c:pt>
                <c:pt idx="24">
                  <c:v>734.50022536079996</c:v>
                </c:pt>
                <c:pt idx="25">
                  <c:v>472.78667273790001</c:v>
                </c:pt>
                <c:pt idx="26">
                  <c:v>225.87888294200002</c:v>
                </c:pt>
                <c:pt idx="27">
                  <c:v>453.09121732</c:v>
                </c:pt>
                <c:pt idx="28">
                  <c:v>213.56081420000001</c:v>
                </c:pt>
                <c:pt idx="29">
                  <c:v>544.07575836299998</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1223.349982203802</c:v>
                </c:pt>
                <c:pt idx="1">
                  <c:v>9211.7156639299992</c:v>
                </c:pt>
                <c:pt idx="2">
                  <c:v>2713.3108038036999</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1223.349982203802</c:v>
                </c:pt>
                <c:pt idx="1">
                  <c:v>9211.7156639299992</c:v>
                </c:pt>
                <c:pt idx="2">
                  <c:v>2713.3108038036999</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752475</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9896475"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161926</xdr:rowOff>
    </xdr:from>
    <xdr:to>
      <xdr:col>5</xdr:col>
      <xdr:colOff>409575</xdr:colOff>
      <xdr:row>3</xdr:row>
      <xdr:rowOff>95251</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6"/>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371475</xdr:colOff>
      <xdr:row>0</xdr:row>
      <xdr:rowOff>161926</xdr:rowOff>
    </xdr:from>
    <xdr:to>
      <xdr:col>9</xdr:col>
      <xdr:colOff>104775</xdr:colOff>
      <xdr:row>3</xdr:row>
      <xdr:rowOff>47626</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9819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66675</xdr:colOff>
      <xdr:row>0</xdr:row>
      <xdr:rowOff>161926</xdr:rowOff>
    </xdr:from>
    <xdr:to>
      <xdr:col>12</xdr:col>
      <xdr:colOff>561975</xdr:colOff>
      <xdr:row>3</xdr:row>
      <xdr:rowOff>47626</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7251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257175</xdr:colOff>
      <xdr:row>3</xdr:row>
      <xdr:rowOff>19050</xdr:rowOff>
    </xdr:from>
    <xdr:to>
      <xdr:col>8</xdr:col>
      <xdr:colOff>752475</xdr:colOff>
      <xdr:row>5</xdr:row>
      <xdr:rowOff>95250</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8676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13.148,38 €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752475</xdr:colOff>
      <xdr:row>3</xdr:row>
      <xdr:rowOff>19050</xdr:rowOff>
    </xdr:from>
    <xdr:to>
      <xdr:col>12</xdr:col>
      <xdr:colOff>485775</xdr:colOff>
      <xdr:row>5</xdr:row>
      <xdr:rowOff>95250</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6489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-924,21 €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13.148,38 €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89.470242939817"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26.08"/>
    </cacheField>
    <cacheField name="Aktuell nicht realisierte P&amp;L €" numFmtId="166">
      <sharedItems containsString="0" containsBlank="1" containsNumber="1" minValue="-402.64418964919992" maxValue="232.3913548500002"/>
    </cacheField>
    <cacheField name="Aktuelle Position €" numFmtId="164">
      <sharedItems containsString="0" containsBlank="1" containsNumber="1" minValue="0" maxValue="2078.2696752000002"/>
    </cacheField>
    <cacheField name="Aktuell Investiert €" numFmtId="164">
      <sharedItems containsString="0" containsBlank="1" containsNumber="1" minValue="0" maxValue="1845.87832035"/>
    </cacheField>
    <cacheField name="Aktuelle Rendite" numFmtId="10">
      <sharedItems containsString="0" containsBlank="1" containsNumber="1" minValue="-0.35408360128617361" maxValue="0.45335710041592403"/>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684831159549759"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9.2212000000000002E-2"/>
    <n v="-5.1750071918999971"/>
    <n v="14.825331278100002"/>
    <n v="20.000338469999999"/>
    <n v="-0.25874598070739535"/>
    <n v="0"/>
    <n v="0"/>
    <n v="1"/>
    <n v="0"/>
    <n v="0"/>
    <n v="-0.27235098536315777"/>
  </r>
  <r>
    <x v="1"/>
    <x v="1"/>
    <s v="DE000BAY0017"/>
    <n v="15.014427"/>
    <n v="14.432513"/>
    <n v="0.58191399999999938"/>
    <n v="555.97"/>
    <n v="660.92"/>
    <n v="8"/>
    <n v="96.949999999999932"/>
    <s v="OFFEN"/>
    <n v="33.659999999999997"/>
    <n v="48.92"/>
    <n v="8.8800076399999917"/>
    <n v="28.467232879999969"/>
    <n v="19.587225239999977"/>
    <n v="0.45335710041592403"/>
    <n v="117.1472252399999"/>
    <n v="544.38277476000007"/>
    <n v="5"/>
    <n v="3"/>
    <n v="0.21519274795505083"/>
    <n v="0.22558273446408963"/>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0855499999999999"/>
    <n v="-35.306760236824999"/>
    <n v="148.921051293175"/>
    <n v="184.22781153"/>
    <n v="-0.19164728682170543"/>
    <n v="0"/>
    <n v="0"/>
    <n v="5"/>
    <n v="0"/>
    <n v="0"/>
    <n v="-0.19592686019791614"/>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0.77"/>
    <n v="11.572856640000026"/>
    <n v="259.66597086000002"/>
    <n v="248.09311421999999"/>
    <n v="4.6647230320699819E-2"/>
    <n v="0"/>
    <n v="0"/>
    <n v="5"/>
    <n v="0"/>
    <n v="0"/>
    <n v="4.8008110534979491E-2"/>
  </r>
  <r>
    <x v="8"/>
    <x v="2"/>
    <s v="IE00BKM4GZ66"/>
    <n v="14.461017"/>
    <n v="0"/>
    <n v="14.461017"/>
    <n v="698.08"/>
    <n v="0"/>
    <n v="1"/>
    <n v="-699.08"/>
    <s v="OFFEN"/>
    <n v="48.34"/>
    <n v="48.478999999999999"/>
    <n v="2.0100813629999266"/>
    <n v="701.055643143"/>
    <n v="699.04556178000007"/>
    <n v="2.8754654530408546E-3"/>
    <n v="0"/>
    <n v="0"/>
    <n v="1"/>
    <n v="0"/>
    <n v="0"/>
    <n v="2.8301099343914114E-3"/>
  </r>
  <r>
    <x v="9"/>
    <x v="2"/>
    <s v="IE00B4L5Y983"/>
    <n v="9.0643020000000014"/>
    <n v="0"/>
    <n v="9.0643020000000014"/>
    <n v="1049.99"/>
    <n v="0"/>
    <n v="7"/>
    <n v="-1056.99"/>
    <s v="OFFEN"/>
    <n v="116.61"/>
    <n v="128.15"/>
    <n v="104.60204507999993"/>
    <n v="1161.5903013000002"/>
    <n v="1056.9882562200003"/>
    <n v="9.8962353142955053E-2"/>
    <n v="0"/>
    <n v="0"/>
    <n v="7"/>
    <n v="0"/>
    <n v="0"/>
    <n v="9.9620283336031942E-2"/>
  </r>
  <r>
    <x v="10"/>
    <x v="2"/>
    <s v="IE00B5BMR087"/>
    <n v="2.8623150000000002"/>
    <n v="0"/>
    <n v="2.8623150000000002"/>
    <n v="1837.88"/>
    <n v="0"/>
    <n v="8"/>
    <n v="-1845.88"/>
    <s v="OFFEN"/>
    <n v="644.89"/>
    <n v="726.08"/>
    <n v="232.3913548500002"/>
    <n v="2078.2696752000002"/>
    <n v="1845.87832035"/>
    <n v="0.12589743987346691"/>
    <n v="0"/>
    <n v="0"/>
    <n v="8"/>
    <n v="0"/>
    <n v="0"/>
    <n v="0.12644442248677826"/>
  </r>
  <r>
    <x v="11"/>
    <x v="2"/>
    <s v="LU0908500753"/>
    <n v="2.3372229999999998"/>
    <n v="0"/>
    <n v="2.3372229999999998"/>
    <n v="703.81"/>
    <n v="0"/>
    <n v="3"/>
    <n v="-706.81"/>
    <s v="OFFEN"/>
    <n v="302.41000000000003"/>
    <n v="313.85000000000002"/>
    <n v="26.73783112000001"/>
    <n v="733.53743855000005"/>
    <n v="706.79960743000004"/>
    <n v="3.7829436857246795E-2"/>
    <n v="0"/>
    <n v="0"/>
    <n v="3"/>
    <n v="0"/>
    <n v="0"/>
    <n v="3.7975360608687149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1.99"/>
    <n v="-29.590260239999964"/>
    <n v="373.39748298000006"/>
    <n v="402.98774322000003"/>
    <n v="-7.3427196578149972E-2"/>
    <n v="0"/>
    <n v="0"/>
    <n v="3"/>
    <n v="0"/>
    <n v="0"/>
    <n v="-7.3983142128552948E-2"/>
  </r>
  <r>
    <x v="14"/>
    <x v="1"/>
    <s v="DE000A14KRD3"/>
    <n v="30"/>
    <n v="0"/>
    <n v="30"/>
    <n v="56.55"/>
    <n v="0"/>
    <n v="1"/>
    <n v="-57.55"/>
    <s v="OFFEN"/>
    <n v="1.9179999999999999"/>
    <n v="1.365"/>
    <n v="-16.589999999999996"/>
    <n v="40.950000000000003"/>
    <n v="57.54"/>
    <n v="-0.2883211678832116"/>
    <n v="0"/>
    <n v="0"/>
    <n v="1"/>
    <n v="0"/>
    <n v="0"/>
    <n v="-0.2935455349248452"/>
  </r>
  <r>
    <x v="15"/>
    <x v="0"/>
    <s v="DOGE"/>
    <n v="1356.0241370000001"/>
    <n v="0"/>
    <n v="1356.0241370000001"/>
    <n v="100"/>
    <n v="0"/>
    <n v="1"/>
    <n v="-101"/>
    <s v="OFFEN"/>
    <n v="7.4499999999999997E-2"/>
    <n v="8.1603999999999996E-2"/>
    <n v="9.633195469247994"/>
    <n v="110.656993675748"/>
    <n v="101.0237982065"/>
    <n v="9.5355704697986515E-2"/>
    <n v="0"/>
    <n v="0"/>
    <n v="1"/>
    <n v="0"/>
    <n v="0"/>
    <n v="9.6569936757479977E-2"/>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009999999999998"/>
    <n v="-154.09630359800002"/>
    <n v="503.81986920200001"/>
    <n v="657.91617280000003"/>
    <n v="-0.23421875000000003"/>
    <n v="0"/>
    <n v="0"/>
    <n v="8"/>
    <n v="0"/>
    <n v="0"/>
    <n v="-0.23709456816790012"/>
  </r>
  <r>
    <x v="18"/>
    <x v="1"/>
    <s v="AU000000DRO2"/>
    <n v="1360.3733259999999"/>
    <n v="629.09074399999997"/>
    <n v="731.28258199999993"/>
    <n v="2590.2499999999995"/>
    <n v="1716.62"/>
    <n v="34"/>
    <n v="-907.62999999999965"/>
    <s v="OFFEN"/>
    <n v="1.5549999999999999"/>
    <n v="1.0044"/>
    <n v="-402.64418964919992"/>
    <n v="734.50022536079996"/>
    <n v="1137.1444150099999"/>
    <n v="-0.35408360128617361"/>
    <n v="229.51441501000022"/>
    <n v="1487.1055849899997"/>
    <n v="28"/>
    <n v="6"/>
    <n v="0.15433632778101875"/>
    <n v="-6.6839021190695777E-2"/>
  </r>
  <r>
    <x v="19"/>
    <x v="1"/>
    <s v="US26740W1099"/>
    <n v="132.787488"/>
    <n v="100.459531"/>
    <n v="32.327956999999998"/>
    <n v="2521.36"/>
    <n v="2118.5699999999997"/>
    <n v="27"/>
    <n v="-429.79000000000042"/>
    <s v="OFFEN"/>
    <n v="20.37"/>
    <n v="14.624700000000001"/>
    <n v="-185.73381135209996"/>
    <n v="472.78667273790001"/>
    <n v="658.52048408999997"/>
    <n v="-0.28204712812960231"/>
    <n v="228.73048408999966"/>
    <n v="1889.83951591"/>
    <n v="20"/>
    <n v="7"/>
    <n v="0.12103169722316914"/>
    <n v="1.7052968532022258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5979999999999999"/>
    <n v="-27.112600848"/>
    <n v="225.87888294200002"/>
    <n v="252.99148379000002"/>
    <n v="-0.1071680376028202"/>
    <n v="8.2614837900000282"/>
    <n v="202.00851620999998"/>
    <n v="4"/>
    <n v="1"/>
    <n v="4.0896710420919677E-2"/>
    <n v="-4.1891371240000003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49.88"/>
    <n v="134.30651135999994"/>
    <n v="904.30637567999997"/>
    <n v="769.99986432000003"/>
    <n v="0.17442407146215319"/>
    <n v="0"/>
    <n v="0"/>
    <n v="3"/>
    <n v="0"/>
    <n v="0"/>
    <n v="0.17512141707193049"/>
  </r>
  <r>
    <x v="27"/>
    <x v="2"/>
    <s v="IE00BM67HN09"/>
    <n v="8.3333329999999997"/>
    <n v="0"/>
    <n v="8.3333329999999997"/>
    <n v="399.96"/>
    <n v="0"/>
    <n v="1"/>
    <n v="-400.96"/>
    <s v="OFFEN"/>
    <n v="48.12"/>
    <n v="47.63"/>
    <n v="-4.0833331699999462"/>
    <n v="396.91665079000001"/>
    <n v="400.99998395999995"/>
    <n v="-1.018287614297576E-2"/>
    <n v="0"/>
    <n v="0"/>
    <n v="1"/>
    <n v="0"/>
    <n v="0"/>
    <n v="-1.0109383963396276E-2"/>
  </r>
  <r>
    <x v="28"/>
    <x v="2"/>
    <s v="IE00BM67HK77"/>
    <n v="9.423959"/>
    <n v="0"/>
    <n v="9.423959"/>
    <n v="500"/>
    <n v="0"/>
    <n v="1"/>
    <n v="-501"/>
    <s v="OFFEN"/>
    <n v="53.16"/>
    <n v="54.27"/>
    <n v="10.460594490000062"/>
    <n v="511.43825493000003"/>
    <n v="500.97766043999997"/>
    <n v="2.0880361173815025E-2"/>
    <n v="0"/>
    <n v="0"/>
    <n v="1"/>
    <n v="0"/>
    <n v="0"/>
    <n v="2.0876509860000055E-2"/>
  </r>
  <r>
    <x v="29"/>
    <x v="1"/>
    <s v="US64110L1061"/>
    <n v="7.1999240000000002"/>
    <n v="0"/>
    <n v="7.1999240000000002"/>
    <n v="527.53"/>
    <n v="0"/>
    <n v="6"/>
    <n v="-533.53"/>
    <s v="OFFEN"/>
    <n v="74.099999999999994"/>
    <n v="62.93"/>
    <n v="-80.423151079999968"/>
    <n v="453.09121732"/>
    <n v="533.51436839999997"/>
    <n v="-0.15074224021592439"/>
    <n v="0"/>
    <n v="0"/>
    <n v="6"/>
    <n v="0"/>
    <n v="0"/>
    <n v="-0.15248191132257877"/>
  </r>
  <r>
    <x v="30"/>
    <x v="2"/>
    <s v="FR0010524777"/>
    <n v="8.7359650000000002"/>
    <n v="0"/>
    <n v="8.7359650000000002"/>
    <n v="400.01"/>
    <n v="0"/>
    <n v="3"/>
    <n v="-403.01"/>
    <s v="OFFEN"/>
    <n v="46.13"/>
    <n v="40.344999999999999"/>
    <n v="-50.537557525000011"/>
    <n v="352.45250792500002"/>
    <n v="402.99006545000003"/>
    <n v="-0.12540646000433558"/>
    <n v="0"/>
    <n v="0"/>
    <n v="3"/>
    <n v="0"/>
    <n v="0"/>
    <n v="-0.12639057042323934"/>
  </r>
  <r>
    <x v="31"/>
    <x v="1"/>
    <s v="US6541061031"/>
    <n v="6.7689640000000004"/>
    <n v="0"/>
    <n v="6.7689640000000004"/>
    <n v="239.51"/>
    <n v="0"/>
    <n v="2"/>
    <n v="-241.51"/>
    <s v="OFFEN"/>
    <n v="35.68"/>
    <n v="31.55"/>
    <n v="-27.955821320000013"/>
    <n v="213.56081420000001"/>
    <n v="241.51663552000002"/>
    <n v="-0.11575112107623323"/>
    <n v="0"/>
    <n v="0"/>
    <n v="2"/>
    <n v="0"/>
    <n v="0"/>
    <n v="-0.11669318942841628"/>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0.97503499999999999"/>
    <n v="-39.773232215055003"/>
    <n v="78.191593101944989"/>
    <n v="117.96482531699999"/>
    <n v="-0.33716179469748475"/>
    <n v="0"/>
    <n v="0"/>
    <n v="5"/>
    <n v="0"/>
    <n v="0"/>
    <n v="-0.35222946188206927"/>
  </r>
  <r>
    <x v="38"/>
    <x v="0"/>
    <s v="MATIC"/>
    <n v="223.93145699999999"/>
    <n v="0"/>
    <n v="223.93145699999999"/>
    <n v="23"/>
    <n v="0"/>
    <n v="1"/>
    <n v="-24"/>
    <s v="OFFEN"/>
    <n v="0.1072"/>
    <n v="8.8562000000000002E-2"/>
    <n v="-4.1736344955659987"/>
    <n v="19.831817694834001"/>
    <n v="24.0054521904"/>
    <n v="-0.17386194029850741"/>
    <n v="0"/>
    <n v="0"/>
    <n v="1"/>
    <n v="0"/>
    <n v="0"/>
    <n v="-0.18122531761591301"/>
  </r>
  <r>
    <x v="39"/>
    <x v="2"/>
    <s v="IE0007Y8Y157"/>
    <n v="14.728630000000001"/>
    <n v="0"/>
    <n v="14.728630000000001"/>
    <n v="399.95"/>
    <n v="0"/>
    <n v="3"/>
    <n v="-402.95"/>
    <s v="OFFEN"/>
    <n v="27.36"/>
    <n v="25.545000000000002"/>
    <n v="-26.732463450000012"/>
    <n v="376.24285335000002"/>
    <n v="402.97531680000003"/>
    <n v="-6.633771929824564E-2"/>
    <n v="0"/>
    <n v="0"/>
    <n v="3"/>
    <n v="0"/>
    <n v="0"/>
    <n v="-6.6776213651706384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54"/>
    <n v="-20.667000000000002"/>
    <n v="38.345999999999997"/>
    <n v="59.012999999999998"/>
    <n v="-0.35021097046413507"/>
    <n v="0"/>
    <n v="0"/>
    <n v="3"/>
    <n v="0"/>
    <n v="0"/>
    <n v="-0.3684831159549759"/>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97.57"/>
    <n v="10.566028759999881"/>
    <n v="706.11467541999991"/>
    <n v="695.54864666000003"/>
    <n v="1.5190927062740438E-2"/>
    <n v="0"/>
    <n v="0"/>
    <n v="2"/>
    <n v="0"/>
    <n v="0"/>
    <n v="1.5247390806586426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99.92"/>
    <n v="21.809999999999945"/>
    <n v="299.76"/>
    <n v="277.95000000000005"/>
    <n v="7.8467350242849218E-2"/>
    <n v="65.260000000000105"/>
    <n v="795.3"/>
    <n v="9"/>
    <n v="2"/>
    <n v="8.2057085376587582E-2"/>
    <n v="8.1967521769828355E-2"/>
  </r>
  <r>
    <x v="49"/>
    <x v="2"/>
    <s v="IE000YU9K6K2"/>
    <n v="5.9082619999999997"/>
    <n v="0"/>
    <n v="5.9082619999999997"/>
    <n v="600.06000000000006"/>
    <n v="0"/>
    <n v="7"/>
    <n v="-607.06000000000006"/>
    <s v="OFFEN"/>
    <n v="102.75"/>
    <n v="69.83"/>
    <n v="-194.49998504000001"/>
    <n v="412.57393545999997"/>
    <n v="607.07392049999999"/>
    <n v="-0.32038929440389297"/>
    <n v="0"/>
    <n v="0"/>
    <n v="7"/>
    <n v="0"/>
    <n v="0"/>
    <n v="-0.32411102979702039"/>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6564999999999994"/>
    <n v="-188.7750869570001"/>
    <n v="544.07575836299998"/>
    <n v="732.85084532000008"/>
    <n v="-0.25759005145797609"/>
    <n v="0"/>
    <n v="0"/>
    <n v="7"/>
    <n v="0"/>
    <n v="0"/>
    <n v="-0.2602058481459546"/>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
    <n v="-3.3104390869999918"/>
    <n v="253.1512243"/>
    <n v="256.46166338699999"/>
    <n v="-1.2908124525436568E-2"/>
    <n v="0"/>
    <n v="0"/>
    <n v="9"/>
    <n v="0"/>
    <n v="0"/>
    <n v="-1.3331079814103832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8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8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86"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8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5" baseField="0" baseItem="0"/>
    <dataField name="Aktueller Wert" fld="14" baseField="0" baseItem="0"/>
  </dataFields>
  <formats count="1">
    <format dxfId="52">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8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86"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4" baseField="0" baseItem="0"/>
  </dataFields>
  <formats count="1">
    <format dxfId="54">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86"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49">
      <pivotArea outline="0" collapsedLevelsAreSubtotals="1" fieldPosition="0"/>
    </format>
    <format dxfId="48">
      <pivotArea outline="0" collapsedLevelsAreSubtotals="1" fieldPosition="0">
        <references count="1">
          <reference field="4294967294" count="1" selected="0">
            <x v="1"/>
          </reference>
        </references>
      </pivotArea>
    </format>
    <format dxfId="47">
      <pivotArea dataOnly="0" labelOnly="1" outline="0" fieldPosition="0">
        <references count="1">
          <reference field="4294967294" count="1">
            <x v="1"/>
          </reference>
        </references>
      </pivotArea>
    </format>
    <format dxfId="46">
      <pivotArea outline="0" collapsedLevelsAreSubtotals="1" fieldPosition="0">
        <references count="1">
          <reference field="4294967294" count="1" selected="0">
            <x v="2"/>
          </reference>
        </references>
      </pivotArea>
    </format>
    <format dxfId="45">
      <pivotArea dataOnly="0" labelOnly="1" outline="0" fieldPosition="0">
        <references count="1">
          <reference field="4294967294" count="1">
            <x v="2"/>
          </reference>
        </references>
      </pivotArea>
    </format>
    <format dxfId="44">
      <pivotArea outline="0" collapsedLevelsAreSubtotals="1" fieldPosition="0">
        <references count="1">
          <reference field="4294967294" count="1" selected="0">
            <x v="0"/>
          </reference>
        </references>
      </pivotArea>
    </format>
    <format dxfId="4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1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s>
  <data>
    <tabular pivotCacheId="726541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44" activePane="bottomLeft" state="frozen"/>
      <selection pane="bottomLeft" activeCell="N1" sqref="N1:N1048576"/>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abSelected="1" zoomScale="90" zoomScaleNormal="90" workbookViewId="0">
      <pane xSplit="1" topLeftCell="I1" activePane="topRight" state="frozen"/>
      <selection pane="topRight" activeCell="O20" sqref="O20"/>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D2-E2</f>
        <v>160.77442500000001</v>
      </c>
      <c r="G2" s="6">
        <f>-SUMIFS(Daten!K:K,Daten!H:H,C2,Daten!E:E,"BUY")</f>
        <v>19</v>
      </c>
      <c r="H2" s="6">
        <f>SUMIFS(Daten!K:K,Daten!H:H,C2,Daten!E:E,"SELL")</f>
        <v>0</v>
      </c>
      <c r="I2" s="6">
        <f>SUMIFS(Daten!L:L,Daten!H:H,C2)*-1</f>
        <v>1</v>
      </c>
      <c r="J2" s="6">
        <f>H2-G2-I2</f>
        <v>-20</v>
      </c>
      <c r="K2" s="5" t="str">
        <f>IF(F2&gt;0,"OFFEN","GESCHLOSSEN")</f>
        <v>OFFEN</v>
      </c>
      <c r="L2">
        <v>0.1244</v>
      </c>
      <c r="M2">
        <v>9.2212000000000002E-2</v>
      </c>
      <c r="N2" s="21">
        <f>IF(K2="GESCHLOSSEN",
0,
IF(K2="OFFEN",
((M2*F2)-(L2*F2)),
""))</f>
        <v>-5.1750071918999971</v>
      </c>
      <c r="O2" s="6">
        <f>IF(F2&gt;0,F2*M2,0)</f>
        <v>14.825331278100002</v>
      </c>
      <c r="P2" s="6">
        <f>IF(F2&gt;0,F2*L2,0)</f>
        <v>20.000338469999999</v>
      </c>
      <c r="Q2" s="7">
        <f>IF(K2="GESCHLOSSEN",
0,
IF(K2="OFFEN",
(N2/(L2*F2))))</f>
        <v>-0.25874598070739535</v>
      </c>
      <c r="R2" s="6">
        <f>IF(K2="GESCHLOSSEN",
H2-G2-I2 + SUMIFS(Daten!K:K,Daten!H:H,C2,Daten!E:E,"DIVIDEND"),
IF(K2="OFFEN",
IF(E2=0,
0,
H2+SUMIFS(Daten!K:K,Daten!H:H,C2,Daten!E:E,"DIVIDEND")-(G2-(F2*L2))-I2
),
""))</f>
        <v>0</v>
      </c>
      <c r="S2" s="6">
        <f>IF(E2=0,
0,
(G2-(F2*L2))+I2
)</f>
        <v>0</v>
      </c>
      <c r="T2" s="26">
        <f>COUNTIFS(Daten!H:H,C2,Daten!E:E,"BUY",Daten!L:L,"&lt;0")</f>
        <v>1</v>
      </c>
      <c r="U2" s="26">
        <f>COUNTIFS(Daten!H:H,C2,Daten!E:E,"SELL",Daten!L:L,"&lt;0")</f>
        <v>0</v>
      </c>
      <c r="V2" s="7">
        <f>IF(S2&gt;0,R2/S2,0)</f>
        <v>0</v>
      </c>
      <c r="W2" s="7">
        <f>IF(K2="GESCHLOSSEN",
J2/(G2+I2),
IF(K2="OFFEN",
((H2+M2*F2)-G2-I2)/G2,
""))</f>
        <v>-0.27235098536315777</v>
      </c>
    </row>
    <row r="3" spans="1:23" x14ac:dyDescent="0.25">
      <c r="A3" s="9" t="s">
        <v>262</v>
      </c>
      <c r="B3" s="5" t="s">
        <v>32</v>
      </c>
      <c r="C3" s="5" t="s">
        <v>263</v>
      </c>
      <c r="D3" s="5">
        <f>SUMIFS(Daten!I:I,Daten!H:H,C3,Daten!E:E,"BUY")</f>
        <v>15.014427</v>
      </c>
      <c r="E3" s="5">
        <f>-SUMIFS(Daten!I:I,Daten!H:H,C3,Daten!E:E,"SELL")</f>
        <v>14.432513</v>
      </c>
      <c r="F3" s="5">
        <f>D3-E3</f>
        <v>0.58191399999999938</v>
      </c>
      <c r="G3" s="6">
        <f>-SUMIFS(Daten!K:K,Daten!H:H,C3,Daten!E:E,"BUY")</f>
        <v>555.97</v>
      </c>
      <c r="H3" s="6">
        <f>SUMIFS(Daten!K:K,Daten!H:H,C3,Daten!E:E,"SELL")</f>
        <v>660.92</v>
      </c>
      <c r="I3" s="6">
        <f>SUMIFS(Daten!L:L,Daten!H:H,C3)*-1</f>
        <v>8</v>
      </c>
      <c r="J3" s="6">
        <f>H3-G3-I3</f>
        <v>96.949999999999932</v>
      </c>
      <c r="K3" s="5" t="str">
        <f>IF(F3&gt;0,"OFFEN","GESCHLOSSEN")</f>
        <v>OFFEN</v>
      </c>
      <c r="L3">
        <v>33.659999999999997</v>
      </c>
      <c r="M3">
        <v>48.92</v>
      </c>
      <c r="N3" s="21">
        <f>IF(K3="GESCHLOSSEN",
0,
IF(K3="OFFEN",
((M3*F3)-(L3*F3)),
""))</f>
        <v>8.8800076399999917</v>
      </c>
      <c r="O3" s="6">
        <f>IF(F3&gt;0,F3*M3,0)</f>
        <v>28.467232879999969</v>
      </c>
      <c r="P3" s="6">
        <f>IF(F3&gt;0,F3*L3,0)</f>
        <v>19.587225239999977</v>
      </c>
      <c r="Q3" s="7">
        <f>IF(K3="GESCHLOSSEN",
0,
IF(K3="OFFEN",
(N3/(L3*F3))))</f>
        <v>0.45335710041592403</v>
      </c>
      <c r="R3" s="6">
        <f>IF(K3="GESCHLOSSEN",
H3-G3-I3 + SUMIFS(Daten!K:K,Daten!H:H,C3,Daten!E:E,"DIVIDEND"),
IF(K3="OFFEN",
IF(E3=0,
0,
H3+SUMIFS(Daten!K:K,Daten!H:H,C3,Daten!E:E,"DIVIDEND")-(G3-(F3*L3))-I3
),
""))</f>
        <v>117.1472252399999</v>
      </c>
      <c r="S3" s="6">
        <f>IF(E3=0,
0,
(G3-(F3*L3))+I3
)</f>
        <v>544.38277476000007</v>
      </c>
      <c r="T3" s="26">
        <f>COUNTIFS(Daten!H:H,C3,Daten!E:E,"BUY",Daten!L:L,"&lt;0")</f>
        <v>5</v>
      </c>
      <c r="U3" s="26">
        <f>COUNTIFS(Daten!H:H,C3,Daten!E:E,"SELL",Daten!L:L,"&lt;0")</f>
        <v>3</v>
      </c>
      <c r="V3" s="7">
        <f>IF(S3&gt;0,R3/S3,0)</f>
        <v>0.21519274795505083</v>
      </c>
      <c r="W3" s="7">
        <f>IF(K3="GESCHLOSSEN",
J3/(G3+I3),
IF(K3="OFFEN",
((H3+M3*F3)-G3-I3)/G3,
""))</f>
        <v>0.22558273446408963</v>
      </c>
    </row>
    <row r="4" spans="1:23" x14ac:dyDescent="0.25">
      <c r="A4" s="9" t="s">
        <v>590</v>
      </c>
      <c r="B4" s="5" t="s">
        <v>32</v>
      </c>
      <c r="C4" s="5" t="s">
        <v>591</v>
      </c>
      <c r="D4" s="5">
        <f>SUMIFS(Daten!I:I,Daten!H:H,C4,Daten!E:E,"BUY")</f>
        <v>107.18673200000001</v>
      </c>
      <c r="E4" s="5">
        <f>-SUMIFS(Daten!I:I,Daten!H:H,C4,Daten!E:E,"SELL")</f>
        <v>107.18673200000001</v>
      </c>
      <c r="F4" s="5">
        <f>D4-E4</f>
        <v>0</v>
      </c>
      <c r="G4" s="6">
        <f>-SUMIFS(Daten!K:K,Daten!H:H,C4,Daten!E:E,"BUY")</f>
        <v>650</v>
      </c>
      <c r="H4" s="6">
        <f>SUMIFS(Daten!K:K,Daten!H:H,C4,Daten!E:E,"SELL")</f>
        <v>684.86</v>
      </c>
      <c r="I4" s="6">
        <f>SUMIFS(Daten!L:L,Daten!H:H,C4)*-1</f>
        <v>7</v>
      </c>
      <c r="J4" s="6">
        <f>H4-G4-I4</f>
        <v>27.860000000000014</v>
      </c>
      <c r="K4" s="5" t="str">
        <f>IF(F4&gt;0,"OFFEN","GESCHLOSSEN")</f>
        <v>GESCHLOSSEN</v>
      </c>
      <c r="L4">
        <v>0</v>
      </c>
      <c r="M4">
        <v>0</v>
      </c>
      <c r="N4" s="21">
        <f>IF(K4="GESCHLOSSEN",
0,
IF(K4="OFFEN",
((M4*F4)-(L4*F4)),
""))</f>
        <v>0</v>
      </c>
      <c r="O4" s="6">
        <f>IF(F4&gt;0,F4*M4,0)</f>
        <v>0</v>
      </c>
      <c r="P4" s="6">
        <f>IF(F4&gt;0,F4*L4,0)</f>
        <v>0</v>
      </c>
      <c r="Q4" s="7">
        <f>IF(K4="GESCHLOSSEN",
0,
IF(K4="OFFEN",
(N4/(L4*F4))))</f>
        <v>0</v>
      </c>
      <c r="R4" s="6">
        <f>IF(K4="GESCHLOSSEN",
H4-G4-I4 + SUMIFS(Daten!K:K,Daten!H:H,C4,Daten!E:E,"DIVIDEND"),
IF(K4="OFFEN",
IF(E4=0,
0,
H4+SUMIFS(Daten!K:K,Daten!H:H,C4,Daten!E:E,"DIVIDEND")-(G4-(F4*L4))-I4
),
""))</f>
        <v>31.260000000000012</v>
      </c>
      <c r="S4" s="6">
        <f>IF(E4=0,
0,
(G4-(F4*L4))+I4
)</f>
        <v>657</v>
      </c>
      <c r="T4" s="26">
        <f>COUNTIFS(Daten!H:H,C4,Daten!E:E,"BUY",Daten!L:L,"&lt;0")</f>
        <v>4</v>
      </c>
      <c r="U4" s="26">
        <f>COUNTIFS(Daten!H:H,C4,Daten!E:E,"SELL",Daten!L:L,"&lt;0")</f>
        <v>3</v>
      </c>
      <c r="V4" s="7">
        <f>IF(S4&gt;0,R4/S4,0)</f>
        <v>4.7579908675799108E-2</v>
      </c>
      <c r="W4" s="7">
        <f>IF(K4="GESCHLOSSEN",
J4/(G4+I4),
IF(K4="OFFEN",
((H4+M4*F4)-G4-I4)/G4,
""))</f>
        <v>4.2404870624048727E-2</v>
      </c>
    </row>
    <row r="5" spans="1:23" x14ac:dyDescent="0.25">
      <c r="A5" s="9" t="s">
        <v>211</v>
      </c>
      <c r="B5" s="5" t="s">
        <v>32</v>
      </c>
      <c r="C5" s="5" t="s">
        <v>212</v>
      </c>
      <c r="D5" s="5">
        <f>SUMIFS(Daten!I:I,Daten!H:H,C5,Daten!E:E,"BUY")</f>
        <v>147.77105400000002</v>
      </c>
      <c r="E5" s="5">
        <f>-SUMIFS(Daten!I:I,Daten!H:H,C5,Daten!E:E,"SELL")</f>
        <v>147.77105399999999</v>
      </c>
      <c r="F5" s="5">
        <f>D5-E5</f>
        <v>0</v>
      </c>
      <c r="G5" s="6">
        <f>-SUMIFS(Daten!K:K,Daten!H:H,C5,Daten!E:E,"BUY")</f>
        <v>626</v>
      </c>
      <c r="H5" s="6">
        <f>SUMIFS(Daten!K:K,Daten!H:H,C5,Daten!E:E,"SELL")</f>
        <v>727.03</v>
      </c>
      <c r="I5" s="6">
        <f>SUMIFS(Daten!L:L,Daten!H:H,C5)*-1</f>
        <v>13</v>
      </c>
      <c r="J5" s="6">
        <f>H5-G5-I5</f>
        <v>88.029999999999973</v>
      </c>
      <c r="K5" s="5" t="str">
        <f>IF(F5&gt;0,"OFFEN","GESCHLOSSEN")</f>
        <v>GESCHLOSSEN</v>
      </c>
      <c r="L5">
        <v>0</v>
      </c>
      <c r="M5">
        <v>0</v>
      </c>
      <c r="N5" s="21">
        <f>IF(K5="GESCHLOSSEN",
0,
IF(K5="OFFEN",
((M5*F5)-(L5*F5)),
""))</f>
        <v>0</v>
      </c>
      <c r="O5" s="6">
        <f>IF(F5&gt;0,F5*M5,0)</f>
        <v>0</v>
      </c>
      <c r="P5" s="6">
        <f>IF(F5&gt;0,F5*L5,0)</f>
        <v>0</v>
      </c>
      <c r="Q5" s="7">
        <f>IF(K5="GESCHLOSSEN",
0,
IF(K5="OFFEN",
(N5/(L5*F5))))</f>
        <v>0</v>
      </c>
      <c r="R5" s="6">
        <f>IF(K5="GESCHLOSSEN",
H5-G5-I5 + SUMIFS(Daten!K:K,Daten!H:H,C5,Daten!E:E,"DIVIDEND"),
IF(K5="OFFEN",
IF(E5=0,
0,
H5+SUMIFS(Daten!K:K,Daten!H:H,C5,Daten!E:E,"DIVIDEND")-(G5-(F5*L5))-I5
),
""))</f>
        <v>88.029999999999973</v>
      </c>
      <c r="S5" s="6">
        <f>IF(E5=0,
0,
(G5-(F5*L5))+I5
)</f>
        <v>639</v>
      </c>
      <c r="T5" s="26">
        <f>COUNTIFS(Daten!H:H,C5,Daten!E:E,"BUY",Daten!L:L,"&lt;0")</f>
        <v>12</v>
      </c>
      <c r="U5" s="26">
        <f>COUNTIFS(Daten!H:H,C5,Daten!E:E,"SELL",Daten!L:L,"&lt;0")</f>
        <v>1</v>
      </c>
      <c r="V5" s="7">
        <f>IF(S5&gt;0,R5/S5,0)</f>
        <v>0.13776212832550858</v>
      </c>
      <c r="W5" s="7">
        <f>IF(K5="GESCHLOSSEN",
J5/(G5+I5),
IF(K5="OFFEN",
((H5+M5*F5)-G5-I5)/G5,
""))</f>
        <v>0.13776212832550858</v>
      </c>
    </row>
    <row r="6" spans="1:23" x14ac:dyDescent="0.25">
      <c r="A6" s="9" t="s">
        <v>471</v>
      </c>
      <c r="B6" s="5" t="s">
        <v>32</v>
      </c>
      <c r="C6" s="5" t="s">
        <v>472</v>
      </c>
      <c r="D6" s="5">
        <f>SUMIFS(Daten!I:I,Daten!H:H,C6,Daten!E:E,"BUY")</f>
        <v>22.577082999999998</v>
      </c>
      <c r="E6" s="5">
        <f>-SUMIFS(Daten!I:I,Daten!H:H,C6,Daten!E:E,"SELL")</f>
        <v>22.577083000000002</v>
      </c>
      <c r="F6" s="5">
        <f>D6-E6</f>
        <v>0</v>
      </c>
      <c r="G6" s="6">
        <f>-SUMIFS(Daten!K:K,Daten!H:H,C6,Daten!E:E,"BUY")</f>
        <v>244</v>
      </c>
      <c r="H6" s="6">
        <f>SUMIFS(Daten!K:K,Daten!H:H,C6,Daten!E:E,"SELL")</f>
        <v>242.45999999999998</v>
      </c>
      <c r="I6" s="6">
        <f>SUMIFS(Daten!L:L,Daten!H:H,C6)*-1</f>
        <v>5</v>
      </c>
      <c r="J6" s="6">
        <f>H6-G6-I6</f>
        <v>-6.5400000000000205</v>
      </c>
      <c r="K6" s="5" t="str">
        <f>IF(F6&gt;0,"OFFEN","GESCHLOSSEN")</f>
        <v>GESCHLOSSEN</v>
      </c>
      <c r="L6">
        <v>0</v>
      </c>
      <c r="M6">
        <v>0</v>
      </c>
      <c r="N6" s="21">
        <f>IF(K6="GESCHLOSSEN",
0,
IF(K6="OFFEN",
((M6*F6)-(L6*F6)),
""))</f>
        <v>0</v>
      </c>
      <c r="O6" s="6">
        <f>IF(F6&gt;0,F6*M6,0)</f>
        <v>0</v>
      </c>
      <c r="P6" s="6">
        <f>IF(F6&gt;0,F6*L6,0)</f>
        <v>0</v>
      </c>
      <c r="Q6" s="7">
        <f>IF(K6="GESCHLOSSEN",
0,
IF(K6="OFFEN",
(N6/(L6*F6))))</f>
        <v>0</v>
      </c>
      <c r="R6" s="6">
        <f>IF(K6="GESCHLOSSEN",
H6-G6-I6 + SUMIFS(Daten!K:K,Daten!H:H,C6,Daten!E:E,"DIVIDEND"),
IF(K6="OFFEN",
IF(E6=0,
0,
H6+SUMIFS(Daten!K:K,Daten!H:H,C6,Daten!E:E,"DIVIDEND")-(G6-(F6*L6))-I6
),
""))</f>
        <v>-6.5400000000000205</v>
      </c>
      <c r="S6" s="6">
        <f>IF(E6=0,
0,
(G6-(F6*L6))+I6
)</f>
        <v>249</v>
      </c>
      <c r="T6" s="26">
        <f>COUNTIFS(Daten!H:H,C6,Daten!E:E,"BUY",Daten!L:L,"&lt;0")</f>
        <v>3</v>
      </c>
      <c r="U6" s="26">
        <f>COUNTIFS(Daten!H:H,C6,Daten!E:E,"SELL",Daten!L:L,"&lt;0")</f>
        <v>2</v>
      </c>
      <c r="V6" s="7">
        <f>IF(S6&gt;0,R6/S6,0)</f>
        <v>-2.6265060240963936E-2</v>
      </c>
      <c r="W6" s="7">
        <f>IF(K6="GESCHLOSSEN",
J6/(G6+I6),
IF(K6="OFFEN",
((H6+M6*F6)-G6-I6)/G6,
""))</f>
        <v>-2.6265060240963936E-2</v>
      </c>
    </row>
    <row r="7" spans="1:23" x14ac:dyDescent="0.25">
      <c r="A7" s="9" t="s">
        <v>72</v>
      </c>
      <c r="B7" s="5" t="s">
        <v>64</v>
      </c>
      <c r="C7" s="5" t="s">
        <v>73</v>
      </c>
      <c r="D7" s="5">
        <f>SUMIFS(Daten!I:I,Daten!H:H,C7,Daten!E:E,"BUY")</f>
        <v>714.061285</v>
      </c>
      <c r="E7" s="5">
        <f>-SUMIFS(Daten!I:I,Daten!H:H,C7,Daten!E:E,"SELL")</f>
        <v>0</v>
      </c>
      <c r="F7" s="5">
        <f>D7-E7</f>
        <v>714.061285</v>
      </c>
      <c r="G7" s="6">
        <f>-SUMIFS(Daten!K:K,Daten!H:H,C7,Daten!E:E,"BUY")</f>
        <v>178.99</v>
      </c>
      <c r="H7" s="6">
        <f>SUMIFS(Daten!K:K,Daten!H:H,C7,Daten!E:E,"SELL")</f>
        <v>0</v>
      </c>
      <c r="I7" s="6">
        <f>SUMIFS(Daten!L:L,Daten!H:H,C7)*-1</f>
        <v>5</v>
      </c>
      <c r="J7" s="6">
        <f>H7-G7-I7</f>
        <v>-183.99</v>
      </c>
      <c r="K7" s="5" t="str">
        <f>IF(F7&gt;0,"OFFEN","GESCHLOSSEN")</f>
        <v>OFFEN</v>
      </c>
      <c r="L7">
        <v>0.25800000000000001</v>
      </c>
      <c r="M7">
        <v>0.20855499999999999</v>
      </c>
      <c r="N7" s="21">
        <f>IF(K7="GESCHLOSSEN",
0,
IF(K7="OFFEN",
((M7*F7)-(L7*F7)),
""))</f>
        <v>-35.306760236824999</v>
      </c>
      <c r="O7" s="6">
        <f>IF(F7&gt;0,F7*M7,0)</f>
        <v>148.921051293175</v>
      </c>
      <c r="P7" s="6">
        <f>IF(F7&gt;0,F7*L7,0)</f>
        <v>184.22781153</v>
      </c>
      <c r="Q7" s="7">
        <f>IF(K7="GESCHLOSSEN",
0,
IF(K7="OFFEN",
(N7/(L7*F7))))</f>
        <v>-0.19164728682170543</v>
      </c>
      <c r="R7" s="6">
        <f>IF(K7="GESCHLOSSEN",
H7-G7-I7 + SUMIFS(Daten!K:K,Daten!H:H,C7,Daten!E:E,"DIVIDEND"),
IF(K7="OFFEN",
IF(E7=0,
0,
H7+SUMIFS(Daten!K:K,Daten!H:H,C7,Daten!E:E,"DIVIDEND")-(G7-(F7*L7))-I7
),
""))</f>
        <v>0</v>
      </c>
      <c r="S7" s="6">
        <f>IF(E7=0,
0,
(G7-(F7*L7))+I7
)</f>
        <v>0</v>
      </c>
      <c r="T7" s="26">
        <f>COUNTIFS(Daten!H:H,C7,Daten!E:E,"BUY",Daten!L:L,"&lt;0")</f>
        <v>5</v>
      </c>
      <c r="U7" s="26">
        <f>COUNTIFS(Daten!H:H,C7,Daten!E:E,"SELL",Daten!L:L,"&lt;0")</f>
        <v>0</v>
      </c>
      <c r="V7" s="7">
        <f>IF(S7&gt;0,R7/S7,0)</f>
        <v>0</v>
      </c>
      <c r="W7" s="7">
        <f>IF(K7="GESCHLOSSEN",
J7/(G7+I7),
IF(K7="OFFEN",
((H7+M7*F7)-G7-I7)/G7,
""))</f>
        <v>-0.19592686019791614</v>
      </c>
    </row>
    <row r="8" spans="1:23" x14ac:dyDescent="0.25">
      <c r="A8" s="9" t="s">
        <v>293</v>
      </c>
      <c r="B8" s="5" t="s">
        <v>32</v>
      </c>
      <c r="C8" s="5" t="s">
        <v>294</v>
      </c>
      <c r="D8" s="5">
        <f>SUMIFS(Daten!I:I,Daten!H:H,C8,Daten!E:E,"BUY")</f>
        <v>23.832335</v>
      </c>
      <c r="E8" s="5">
        <f>-SUMIFS(Daten!I:I,Daten!H:H,C8,Daten!E:E,"SELL")</f>
        <v>23.832335</v>
      </c>
      <c r="F8" s="5">
        <f>D8-E8</f>
        <v>0</v>
      </c>
      <c r="G8" s="6">
        <f>-SUMIFS(Daten!K:K,Daten!H:H,C8,Daten!E:E,"BUY")</f>
        <v>199</v>
      </c>
      <c r="H8" s="6">
        <f>SUMIFS(Daten!K:K,Daten!H:H,C8,Daten!E:E,"SELL")</f>
        <v>252.62</v>
      </c>
      <c r="I8" s="6">
        <f>SUMIFS(Daten!L:L,Daten!H:H,C8)*-1</f>
        <v>3</v>
      </c>
      <c r="J8" s="6">
        <f>H8-G8-I8</f>
        <v>50.620000000000005</v>
      </c>
      <c r="K8" s="5" t="str">
        <f>IF(F8&gt;0,"OFFEN","GESCHLOSSEN")</f>
        <v>GESCHLOSSEN</v>
      </c>
      <c r="L8">
        <v>0</v>
      </c>
      <c r="M8">
        <v>0</v>
      </c>
      <c r="N8" s="21">
        <f>IF(K8="GESCHLOSSEN",
0,
IF(K8="OFFEN",
((M8*F8)-(L8*F8)),
""))</f>
        <v>0</v>
      </c>
      <c r="O8" s="6">
        <f>IF(F8&gt;0,F8*M8,0)</f>
        <v>0</v>
      </c>
      <c r="P8" s="6">
        <f>IF(F8&gt;0,F8*L8,0)</f>
        <v>0</v>
      </c>
      <c r="Q8" s="7">
        <f>IF(K8="GESCHLOSSEN",
0,
IF(K8="OFFEN",
(N8/(L8*F8))))</f>
        <v>0</v>
      </c>
      <c r="R8" s="6">
        <f>IF(K8="GESCHLOSSEN",
H8-G8-I8 + SUMIFS(Daten!K:K,Daten!H:H,C8,Daten!E:E,"DIVIDEND"),
IF(K8="OFFEN",
IF(E8=0,
0,
H8+SUMIFS(Daten!K:K,Daten!H:H,C8,Daten!E:E,"DIVIDEND")-(G8-(F8*L8))-I8
),
""))</f>
        <v>50.620000000000005</v>
      </c>
      <c r="S8" s="6">
        <f>IF(E8=0,
0,
(G8-(F8*L8))+I8
)</f>
        <v>202</v>
      </c>
      <c r="T8" s="26">
        <f>COUNTIFS(Daten!H:H,C8,Daten!E:E,"BUY",Daten!L:L,"&lt;0")</f>
        <v>1</v>
      </c>
      <c r="U8" s="26">
        <f>COUNTIFS(Daten!H:H,C8,Daten!E:E,"SELL",Daten!L:L,"&lt;0")</f>
        <v>2</v>
      </c>
      <c r="V8" s="7">
        <f>IF(S8&gt;0,R8/S8,0)</f>
        <v>0.25059405940594059</v>
      </c>
      <c r="W8" s="7">
        <f>IF(K8="GESCHLOSSEN",
J8/(G8+I8),
IF(K8="OFFEN",
((H8+M8*F8)-G8-I8)/G8,
""))</f>
        <v>0.25059405940594059</v>
      </c>
    </row>
    <row r="9" spans="1:23" x14ac:dyDescent="0.25">
      <c r="A9" s="9" t="s">
        <v>107</v>
      </c>
      <c r="B9" s="5" t="s">
        <v>64</v>
      </c>
      <c r="C9" s="5" t="s">
        <v>108</v>
      </c>
      <c r="D9" s="5">
        <f>SUMIFS(Daten!I:I,Daten!H:H,C9,Daten!E:E,"BUY")</f>
        <v>24.110118</v>
      </c>
      <c r="E9" s="5">
        <f>-SUMIFS(Daten!I:I,Daten!H:H,C9,Daten!E:E,"SELL")</f>
        <v>0</v>
      </c>
      <c r="F9" s="5">
        <f>D9-E9</f>
        <v>24.110118</v>
      </c>
      <c r="G9" s="6">
        <f>-SUMIFS(Daten!K:K,Daten!H:H,C9,Daten!E:E,"BUY")</f>
        <v>243</v>
      </c>
      <c r="H9" s="6">
        <f>SUMIFS(Daten!K:K,Daten!H:H,C9,Daten!E:E,"SELL")</f>
        <v>0</v>
      </c>
      <c r="I9" s="6">
        <f>SUMIFS(Daten!L:L,Daten!H:H,C9)*-1</f>
        <v>5</v>
      </c>
      <c r="J9" s="6">
        <f>H9-G9-I9</f>
        <v>-248</v>
      </c>
      <c r="K9" s="5" t="str">
        <f>IF(F9&gt;0,"OFFEN","GESCHLOSSEN")</f>
        <v>OFFEN</v>
      </c>
      <c r="L9">
        <v>10.29</v>
      </c>
      <c r="M9">
        <v>10.77</v>
      </c>
      <c r="N9" s="21">
        <f>IF(K9="GESCHLOSSEN",
0,
IF(K9="OFFEN",
((M9*F9)-(L9*F9)),
""))</f>
        <v>11.572856640000026</v>
      </c>
      <c r="O9" s="6">
        <f>IF(F9&gt;0,F9*M9,0)</f>
        <v>259.66597086000002</v>
      </c>
      <c r="P9" s="6">
        <f>IF(F9&gt;0,F9*L9,0)</f>
        <v>248.09311421999999</v>
      </c>
      <c r="Q9" s="7">
        <f>IF(K9="GESCHLOSSEN",
0,
IF(K9="OFFEN",
(N9/(L9*F9))))</f>
        <v>4.6647230320699819E-2</v>
      </c>
      <c r="R9" s="6">
        <f>IF(K9="GESCHLOSSEN",
H9-G9-I9 + SUMIFS(Daten!K:K,Daten!H:H,C9,Daten!E:E,"DIVIDEND"),
IF(K9="OFFEN",
IF(E9=0,
0,
H9+SUMIFS(Daten!K:K,Daten!H:H,C9,Daten!E:E,"DIVIDEND")-(G9-(F9*L9))-I9
),
""))</f>
        <v>0</v>
      </c>
      <c r="S9" s="6">
        <f>IF(E9=0,
0,
(G9-(F9*L9))+I9
)</f>
        <v>0</v>
      </c>
      <c r="T9" s="26">
        <f>COUNTIFS(Daten!H:H,C9,Daten!E:E,"BUY",Daten!L:L,"&lt;0")</f>
        <v>5</v>
      </c>
      <c r="U9" s="26">
        <f>COUNTIFS(Daten!H:H,C9,Daten!E:E,"SELL",Daten!L:L,"&lt;0")</f>
        <v>0</v>
      </c>
      <c r="V9" s="7">
        <f>IF(S9&gt;0,R9/S9,0)</f>
        <v>0</v>
      </c>
      <c r="W9" s="7">
        <f>IF(K9="GESCHLOSSEN",
J9/(G9+I9),
IF(K9="OFFEN",
((H9+M9*F9)-G9-I9)/G9,
""))</f>
        <v>4.8008110534979491E-2</v>
      </c>
    </row>
    <row r="10" spans="1:23" x14ac:dyDescent="0.25">
      <c r="A10" s="9" t="s">
        <v>1154</v>
      </c>
      <c r="B10" s="5" t="s">
        <v>464</v>
      </c>
      <c r="C10" s="5" t="s">
        <v>1155</v>
      </c>
      <c r="D10" s="5">
        <f>SUMIFS(Daten!I:I,Daten!H:H,C10,Daten!E:E,"BUY")</f>
        <v>14.461017</v>
      </c>
      <c r="E10" s="5">
        <f>-SUMIFS(Daten!I:I,Daten!H:H,C10,Daten!E:E,"SELL")</f>
        <v>0</v>
      </c>
      <c r="F10" s="5">
        <f>D10-E10</f>
        <v>14.461017</v>
      </c>
      <c r="G10" s="6">
        <f>-SUMIFS(Daten!K:K,Daten!H:H,C10,Daten!E:E,"BUY")</f>
        <v>698.08</v>
      </c>
      <c r="H10" s="6">
        <f>SUMIFS(Daten!K:K,Daten!H:H,C10,Daten!E:E,"SELL")</f>
        <v>0</v>
      </c>
      <c r="I10" s="6">
        <f>SUMIFS(Daten!L:L,Daten!H:H,C10)*-1</f>
        <v>1</v>
      </c>
      <c r="J10" s="6">
        <f>H10-G10-I10</f>
        <v>-699.08</v>
      </c>
      <c r="K10" s="5" t="str">
        <f>IF(F10&gt;0,"OFFEN","GESCHLOSSEN")</f>
        <v>OFFEN</v>
      </c>
      <c r="L10">
        <v>48.34</v>
      </c>
      <c r="M10">
        <v>48.478999999999999</v>
      </c>
      <c r="N10" s="21">
        <f>IF(K10="GESCHLOSSEN",
0,
IF(K10="OFFEN",
((M10*F10)-(L10*F10)),
""))</f>
        <v>2.0100813629999266</v>
      </c>
      <c r="O10" s="6">
        <f>IF(F10&gt;0,F10*M10,0)</f>
        <v>701.055643143</v>
      </c>
      <c r="P10" s="6">
        <f>IF(F10&gt;0,F10*L10,0)</f>
        <v>699.04556178000007</v>
      </c>
      <c r="Q10" s="7">
        <f>IF(K10="GESCHLOSSEN",
0,
IF(K10="OFFEN",
(N10/(L10*F10))))</f>
        <v>2.8754654530408546E-3</v>
      </c>
      <c r="R10" s="6">
        <f>IF(K10="GESCHLOSSEN",
H10-G10-I10 + SUMIFS(Daten!K:K,Daten!H:H,C10,Daten!E:E,"DIVIDEND"),
IF(K10="OFFEN",
IF(E10=0,
0,
H10+SUMIFS(Daten!K:K,Daten!H:H,C10,Daten!E:E,"DIVIDEND")-(G10-(F10*L10))-I10
),
""))</f>
        <v>0</v>
      </c>
      <c r="S10" s="6">
        <f>IF(E10=0,
0,
(G10-(F10*L10))+I10
)</f>
        <v>0</v>
      </c>
      <c r="T10" s="26">
        <f>COUNTIFS(Daten!H:H,C10,Daten!E:E,"BUY",Daten!L:L,"&lt;0")</f>
        <v>1</v>
      </c>
      <c r="U10" s="26">
        <f>COUNTIFS(Daten!H:H,C10,Daten!E:E,"SELL",Daten!L:L,"&lt;0")</f>
        <v>0</v>
      </c>
      <c r="V10" s="7">
        <f>IF(S10&gt;0,R10/S10,0)</f>
        <v>0</v>
      </c>
      <c r="W10" s="7">
        <f>IF(K10="GESCHLOSSEN",
J10/(G10+I10),
IF(K10="OFFEN",
((H10+M10*F10)-G10-I10)/G10,
""))</f>
        <v>2.8301099343914114E-3</v>
      </c>
    </row>
    <row r="11" spans="1:23" x14ac:dyDescent="0.25">
      <c r="A11" s="9" t="s">
        <v>465</v>
      </c>
      <c r="B11" s="5" t="s">
        <v>464</v>
      </c>
      <c r="C11" s="5" t="s">
        <v>466</v>
      </c>
      <c r="D11" s="5">
        <f>SUMIFS(Daten!I:I,Daten!H:H,C11,Daten!E:E,"BUY")</f>
        <v>9.0643020000000014</v>
      </c>
      <c r="E11" s="5">
        <f>-SUMIFS(Daten!I:I,Daten!H:H,C11,Daten!E:E,"SELL")</f>
        <v>0</v>
      </c>
      <c r="F11" s="5">
        <f>D11-E11</f>
        <v>9.0643020000000014</v>
      </c>
      <c r="G11" s="6">
        <f>-SUMIFS(Daten!K:K,Daten!H:H,C11,Daten!E:E,"BUY")</f>
        <v>1049.99</v>
      </c>
      <c r="H11" s="6">
        <f>SUMIFS(Daten!K:K,Daten!H:H,C11,Daten!E:E,"SELL")</f>
        <v>0</v>
      </c>
      <c r="I11" s="6">
        <f>SUMIFS(Daten!L:L,Daten!H:H,C11)*-1</f>
        <v>7</v>
      </c>
      <c r="J11" s="6">
        <f>H11-G11-I11</f>
        <v>-1056.99</v>
      </c>
      <c r="K11" s="5" t="str">
        <f>IF(F11&gt;0,"OFFEN","GESCHLOSSEN")</f>
        <v>OFFEN</v>
      </c>
      <c r="L11">
        <v>116.61</v>
      </c>
      <c r="M11">
        <v>128.15</v>
      </c>
      <c r="N11" s="21">
        <f>IF(K11="GESCHLOSSEN",
0,
IF(K11="OFFEN",
((M11*F11)-(L11*F11)),
""))</f>
        <v>104.60204507999993</v>
      </c>
      <c r="O11" s="6">
        <f>IF(F11&gt;0,F11*M11,0)</f>
        <v>1161.5903013000002</v>
      </c>
      <c r="P11" s="6">
        <f>IF(F11&gt;0,F11*L11,0)</f>
        <v>1056.9882562200003</v>
      </c>
      <c r="Q11" s="7">
        <f>IF(K11="GESCHLOSSEN",
0,
IF(K11="OFFEN",
(N11/(L11*F11))))</f>
        <v>9.8962353142955053E-2</v>
      </c>
      <c r="R11" s="6">
        <f>IF(K11="GESCHLOSSEN",
H11-G11-I11 + SUMIFS(Daten!K:K,Daten!H:H,C11,Daten!E:E,"DIVIDEND"),
IF(K11="OFFEN",
IF(E11=0,
0,
H11+SUMIFS(Daten!K:K,Daten!H:H,C11,Daten!E:E,"DIVIDEND")-(G11-(F11*L11))-I11
),
""))</f>
        <v>0</v>
      </c>
      <c r="S11" s="6">
        <f>IF(E11=0,
0,
(G11-(F11*L11))+I11
)</f>
        <v>0</v>
      </c>
      <c r="T11" s="26">
        <f>COUNTIFS(Daten!H:H,C11,Daten!E:E,"BUY",Daten!L:L,"&lt;0")</f>
        <v>7</v>
      </c>
      <c r="U11" s="26">
        <f>COUNTIFS(Daten!H:H,C11,Daten!E:E,"SELL",Daten!L:L,"&lt;0")</f>
        <v>0</v>
      </c>
      <c r="V11" s="7">
        <f>IF(S11&gt;0,R11/S11,0)</f>
        <v>0</v>
      </c>
      <c r="W11" s="7">
        <f>IF(K11="GESCHLOSSEN",
J11/(G11+I11),
IF(K11="OFFEN",
((H11+M11*F11)-G11-I11)/G11,
""))</f>
        <v>9.9620283336031942E-2</v>
      </c>
    </row>
    <row r="12" spans="1:23" x14ac:dyDescent="0.25">
      <c r="A12" s="9" t="s">
        <v>526</v>
      </c>
      <c r="B12" s="5" t="s">
        <v>464</v>
      </c>
      <c r="C12" s="5" t="s">
        <v>527</v>
      </c>
      <c r="D12" s="5">
        <f>SUMIFS(Daten!I:I,Daten!H:H,C12,Daten!E:E,"BUY")</f>
        <v>2.8623150000000002</v>
      </c>
      <c r="E12" s="5">
        <f>-SUMIFS(Daten!I:I,Daten!H:H,C12,Daten!E:E,"SELL")</f>
        <v>0</v>
      </c>
      <c r="F12" s="5">
        <f>D12-E12</f>
        <v>2.8623150000000002</v>
      </c>
      <c r="G12" s="6">
        <f>-SUMIFS(Daten!K:K,Daten!H:H,C12,Daten!E:E,"BUY")</f>
        <v>1837.88</v>
      </c>
      <c r="H12" s="6">
        <f>SUMIFS(Daten!K:K,Daten!H:H,C12,Daten!E:E,"SELL")</f>
        <v>0</v>
      </c>
      <c r="I12" s="6">
        <f>SUMIFS(Daten!L:L,Daten!H:H,C12)*-1</f>
        <v>8</v>
      </c>
      <c r="J12" s="6">
        <f>H12-G12-I12</f>
        <v>-1845.88</v>
      </c>
      <c r="K12" s="5" t="str">
        <f>IF(F12&gt;0,"OFFEN","GESCHLOSSEN")</f>
        <v>OFFEN</v>
      </c>
      <c r="L12">
        <v>644.89</v>
      </c>
      <c r="M12">
        <v>726.08</v>
      </c>
      <c r="N12" s="21">
        <f>IF(K12="GESCHLOSSEN",
0,
IF(K12="OFFEN",
((M12*F12)-(L12*F12)),
""))</f>
        <v>232.3913548500002</v>
      </c>
      <c r="O12" s="6">
        <f>IF(F12&gt;0,F12*M12,0)</f>
        <v>2078.2696752000002</v>
      </c>
      <c r="P12" s="6">
        <f>IF(F12&gt;0,F12*L12,0)</f>
        <v>1845.87832035</v>
      </c>
      <c r="Q12" s="7">
        <f>IF(K12="GESCHLOSSEN",
0,
IF(K12="OFFEN",
(N12/(L12*F12))))</f>
        <v>0.12589743987346691</v>
      </c>
      <c r="R12" s="6">
        <f>IF(K12="GESCHLOSSEN",
H12-G12-I12 + SUMIFS(Daten!K:K,Daten!H:H,C12,Daten!E:E,"DIVIDEND"),
IF(K12="OFFEN",
IF(E12=0,
0,
H12+SUMIFS(Daten!K:K,Daten!H:H,C12,Daten!E:E,"DIVIDEND")-(G12-(F12*L12))-I12
),
""))</f>
        <v>0</v>
      </c>
      <c r="S12" s="6">
        <f>IF(E12=0,
0,
(G12-(F12*L12))+I12
)</f>
        <v>0</v>
      </c>
      <c r="T12" s="26">
        <f>COUNTIFS(Daten!H:H,C12,Daten!E:E,"BUY",Daten!L:L,"&lt;0")</f>
        <v>8</v>
      </c>
      <c r="U12" s="26">
        <f>COUNTIFS(Daten!H:H,C12,Daten!E:E,"SELL",Daten!L:L,"&lt;0")</f>
        <v>0</v>
      </c>
      <c r="V12" s="7">
        <f>IF(S12&gt;0,R12/S12,0)</f>
        <v>0</v>
      </c>
      <c r="W12" s="7">
        <f>IF(K12="GESCHLOSSEN",
J12/(G12+I12),
IF(K12="OFFEN",
((H12+M12*F12)-G12-I12)/G12,
""))</f>
        <v>0.12644442248677826</v>
      </c>
    </row>
    <row r="13" spans="1:23" x14ac:dyDescent="0.25">
      <c r="A13" s="9" t="s">
        <v>815</v>
      </c>
      <c r="B13" s="5" t="s">
        <v>464</v>
      </c>
      <c r="C13" s="5" t="s">
        <v>816</v>
      </c>
      <c r="D13" s="5">
        <f>SUMIFS(Daten!I:I,Daten!H:H,C13,Daten!E:E,"BUY")</f>
        <v>2.3372229999999998</v>
      </c>
      <c r="E13" s="5">
        <f>-SUMIFS(Daten!I:I,Daten!H:H,C13,Daten!E:E,"SELL")</f>
        <v>0</v>
      </c>
      <c r="F13" s="5">
        <f>D13-E13</f>
        <v>2.3372229999999998</v>
      </c>
      <c r="G13" s="6">
        <f>-SUMIFS(Daten!K:K,Daten!H:H,C13,Daten!E:E,"BUY")</f>
        <v>703.81</v>
      </c>
      <c r="H13" s="6">
        <f>SUMIFS(Daten!K:K,Daten!H:H,C13,Daten!E:E,"SELL")</f>
        <v>0</v>
      </c>
      <c r="I13" s="6">
        <f>SUMIFS(Daten!L:L,Daten!H:H,C13)*-1</f>
        <v>3</v>
      </c>
      <c r="J13" s="6">
        <f>H13-G13-I13</f>
        <v>-706.81</v>
      </c>
      <c r="K13" s="5" t="str">
        <f>IF(F13&gt;0,"OFFEN","GESCHLOSSEN")</f>
        <v>OFFEN</v>
      </c>
      <c r="L13">
        <v>302.41000000000003</v>
      </c>
      <c r="M13">
        <v>313.85000000000002</v>
      </c>
      <c r="N13" s="21">
        <f>IF(K13="GESCHLOSSEN",
0,
IF(K13="OFFEN",
((M13*F13)-(L13*F13)),
""))</f>
        <v>26.73783112000001</v>
      </c>
      <c r="O13" s="6">
        <f>IF(F13&gt;0,F13*M13,0)</f>
        <v>733.53743855000005</v>
      </c>
      <c r="P13" s="6">
        <f>IF(F13&gt;0,F13*L13,0)</f>
        <v>706.79960743000004</v>
      </c>
      <c r="Q13" s="7">
        <f>IF(K13="GESCHLOSSEN",
0,
IF(K13="OFFEN",
(N13/(L13*F13))))</f>
        <v>3.7829436857246795E-2</v>
      </c>
      <c r="R13" s="6">
        <f>IF(K13="GESCHLOSSEN",
H13-G13-I13 + SUMIFS(Daten!K:K,Daten!H:H,C13,Daten!E:E,"DIVIDEND"),
IF(K13="OFFEN",
IF(E13=0,
0,
H13+SUMIFS(Daten!K:K,Daten!H:H,C13,Daten!E:E,"DIVIDEND")-(G13-(F13*L13))-I13
),
""))</f>
        <v>0</v>
      </c>
      <c r="S13" s="6">
        <f>IF(E13=0,
0,
(G13-(F13*L13))+I13
)</f>
        <v>0</v>
      </c>
      <c r="T13" s="26">
        <f>COUNTIFS(Daten!H:H,C13,Daten!E:E,"BUY",Daten!L:L,"&lt;0")</f>
        <v>3</v>
      </c>
      <c r="U13" s="26">
        <f>COUNTIFS(Daten!H:H,C13,Daten!E:E,"SELL",Daten!L:L,"&lt;0")</f>
        <v>0</v>
      </c>
      <c r="V13" s="7">
        <f>IF(S13&gt;0,R13/S13,0)</f>
        <v>0</v>
      </c>
      <c r="W13" s="7">
        <f>IF(K13="GESCHLOSSEN",
J13/(G13+I13),
IF(K13="OFFEN",
((H13+M13*F13)-G13-I13)/G13,
""))</f>
        <v>3.7975360608687149E-2</v>
      </c>
    </row>
    <row r="14" spans="1:23" x14ac:dyDescent="0.25">
      <c r="A14" s="9" t="s">
        <v>718</v>
      </c>
      <c r="B14" s="5" t="s">
        <v>464</v>
      </c>
      <c r="C14" s="5" t="s">
        <v>719</v>
      </c>
      <c r="D14" s="5">
        <f>SUMIFS(Daten!I:I,Daten!H:H,C14,Daten!E:E,"BUY")</f>
        <v>2.2190669999999999</v>
      </c>
      <c r="E14" s="5">
        <f>-SUMIFS(Daten!I:I,Daten!H:H,C14,Daten!E:E,"SELL")</f>
        <v>2.2190669999999999</v>
      </c>
      <c r="F14" s="5">
        <f>D14-E14</f>
        <v>0</v>
      </c>
      <c r="G14" s="6">
        <f>-SUMIFS(Daten!K:K,Daten!H:H,C14,Daten!E:E,"BUY")</f>
        <v>500</v>
      </c>
      <c r="H14" s="6">
        <f>SUMIFS(Daten!K:K,Daten!H:H,C14,Daten!E:E,"SELL")</f>
        <v>506.61</v>
      </c>
      <c r="I14" s="6">
        <f>SUMIFS(Daten!L:L,Daten!H:H,C14)*-1</f>
        <v>3</v>
      </c>
      <c r="J14" s="6">
        <f>H14-G14-I14</f>
        <v>3.6100000000000136</v>
      </c>
      <c r="K14" s="5" t="str">
        <f>IF(F14&gt;0,"OFFEN","GESCHLOSSEN")</f>
        <v>GESCHLOSSEN</v>
      </c>
      <c r="L14">
        <v>0</v>
      </c>
      <c r="M14">
        <v>0</v>
      </c>
      <c r="N14" s="21">
        <f>IF(K14="GESCHLOSSEN",
0,
IF(K14="OFFEN",
((M14*F14)-(L14*F14)),
""))</f>
        <v>0</v>
      </c>
      <c r="O14" s="6">
        <f>IF(F14&gt;0,F14*M14,0)</f>
        <v>0</v>
      </c>
      <c r="P14" s="6">
        <f>IF(F14&gt;0,F14*L14,0)</f>
        <v>0</v>
      </c>
      <c r="Q14" s="7">
        <f>IF(K14="GESCHLOSSEN",
0,
IF(K14="OFFEN",
(N14/(L14*F14))))</f>
        <v>0</v>
      </c>
      <c r="R14" s="6">
        <f>IF(K14="GESCHLOSSEN",
H14-G14-I14 + SUMIFS(Daten!K:K,Daten!H:H,C14,Daten!E:E,"DIVIDEND"),
IF(K14="OFFEN",
IF(E14=0,
0,
H14+SUMIFS(Daten!K:K,Daten!H:H,C14,Daten!E:E,"DIVIDEND")-(G14-(F14*L14))-I14
),
""))</f>
        <v>3.6100000000000136</v>
      </c>
      <c r="S14" s="6">
        <f>IF(E14=0,
0,
(G14-(F14*L14))+I14
)</f>
        <v>503</v>
      </c>
      <c r="T14" s="26">
        <f>COUNTIFS(Daten!H:H,C14,Daten!E:E,"BUY",Daten!L:L,"&lt;0")</f>
        <v>2</v>
      </c>
      <c r="U14" s="26">
        <f>COUNTIFS(Daten!H:H,C14,Daten!E:E,"SELL",Daten!L:L,"&lt;0")</f>
        <v>1</v>
      </c>
      <c r="V14" s="7">
        <f>IF(S14&gt;0,R14/S14,0)</f>
        <v>7.1769383697813391E-3</v>
      </c>
      <c r="W14" s="7">
        <f>IF(K14="GESCHLOSSEN",
J14/(G14+I14),
IF(K14="OFFEN",
((H14+M14*F14)-G14-I14)/G14,
""))</f>
        <v>7.1769383697813391E-3</v>
      </c>
    </row>
    <row r="15" spans="1:23" x14ac:dyDescent="0.25">
      <c r="A15" s="9" t="s">
        <v>1018</v>
      </c>
      <c r="B15" s="5" t="s">
        <v>464</v>
      </c>
      <c r="C15" s="5" t="s">
        <v>1019</v>
      </c>
      <c r="D15" s="5">
        <f>SUMIFS(Daten!I:I,Daten!H:H,C15,Daten!E:E,"BUY")</f>
        <v>7.1821020000000004</v>
      </c>
      <c r="E15" s="5">
        <f>-SUMIFS(Daten!I:I,Daten!H:H,C15,Daten!E:E,"SELL")</f>
        <v>0</v>
      </c>
      <c r="F15" s="5">
        <f>D15-E15</f>
        <v>7.1821020000000004</v>
      </c>
      <c r="G15" s="6">
        <f>-SUMIFS(Daten!K:K,Daten!H:H,C15,Daten!E:E,"BUY")</f>
        <v>399.98999999999995</v>
      </c>
      <c r="H15" s="6">
        <f>SUMIFS(Daten!K:K,Daten!H:H,C15,Daten!E:E,"SELL")</f>
        <v>0</v>
      </c>
      <c r="I15" s="6">
        <f>SUMIFS(Daten!L:L,Daten!H:H,C15)*-1</f>
        <v>3</v>
      </c>
      <c r="J15" s="6">
        <f>H15-G15-I15</f>
        <v>-402.98999999999995</v>
      </c>
      <c r="K15" s="5" t="str">
        <f>IF(F15&gt;0,"OFFEN","GESCHLOSSEN")</f>
        <v>OFFEN</v>
      </c>
      <c r="L15">
        <v>56.11</v>
      </c>
      <c r="M15">
        <v>51.99</v>
      </c>
      <c r="N15" s="21">
        <f>IF(K15="GESCHLOSSEN",
0,
IF(K15="OFFEN",
((M15*F15)-(L15*F15)),
""))</f>
        <v>-29.590260239999964</v>
      </c>
      <c r="O15" s="6">
        <f>IF(F15&gt;0,F15*M15,0)</f>
        <v>373.39748298000006</v>
      </c>
      <c r="P15" s="6">
        <f>IF(F15&gt;0,F15*L15,0)</f>
        <v>402.98774322000003</v>
      </c>
      <c r="Q15" s="7">
        <f>IF(K15="GESCHLOSSEN",
0,
IF(K15="OFFEN",
(N15/(L15*F15))))</f>
        <v>-7.3427196578149972E-2</v>
      </c>
      <c r="R15" s="6">
        <f>IF(K15="GESCHLOSSEN",
H15-G15-I15 + SUMIFS(Daten!K:K,Daten!H:H,C15,Daten!E:E,"DIVIDEND"),
IF(K15="OFFEN",
IF(E15=0,
0,
H15+SUMIFS(Daten!K:K,Daten!H:H,C15,Daten!E:E,"DIVIDEND")-(G15-(F15*L15))-I15
),
""))</f>
        <v>0</v>
      </c>
      <c r="S15" s="6">
        <f>IF(E15=0,
0,
(G15-(F15*L15))+I15
)</f>
        <v>0</v>
      </c>
      <c r="T15" s="26">
        <f>COUNTIFS(Daten!H:H,C15,Daten!E:E,"BUY",Daten!L:L,"&lt;0")</f>
        <v>3</v>
      </c>
      <c r="U15" s="26">
        <f>COUNTIFS(Daten!H:H,C15,Daten!E:E,"SELL",Daten!L:L,"&lt;0")</f>
        <v>0</v>
      </c>
      <c r="V15" s="7">
        <f>IF(S15&gt;0,R15/S15,0)</f>
        <v>0</v>
      </c>
      <c r="W15" s="7">
        <f>IF(K15="GESCHLOSSEN",
J15/(G15+I15),
IF(K15="OFFEN",
((H15+M15*F15)-G15-I15)/G15,
""))</f>
        <v>-7.3983142128552948E-2</v>
      </c>
    </row>
    <row r="16" spans="1:23" x14ac:dyDescent="0.25">
      <c r="A16" s="9" t="s">
        <v>300</v>
      </c>
      <c r="B16" s="5" t="s">
        <v>32</v>
      </c>
      <c r="C16" s="5" t="s">
        <v>301</v>
      </c>
      <c r="D16" s="5">
        <f>SUMIFS(Daten!I:I,Daten!H:H,C16,Daten!E:E,"BUY")</f>
        <v>30</v>
      </c>
      <c r="E16" s="5">
        <f>-SUMIFS(Daten!I:I,Daten!H:H,C16,Daten!E:E,"SELL")</f>
        <v>0</v>
      </c>
      <c r="F16" s="5">
        <f>D16-E16</f>
        <v>30</v>
      </c>
      <c r="G16" s="6">
        <f>-SUMIFS(Daten!K:K,Daten!H:H,C16,Daten!E:E,"BUY")</f>
        <v>56.55</v>
      </c>
      <c r="H16" s="6">
        <f>SUMIFS(Daten!K:K,Daten!H:H,C16,Daten!E:E,"SELL")</f>
        <v>0</v>
      </c>
      <c r="I16" s="6">
        <f>SUMIFS(Daten!L:L,Daten!H:H,C16)*-1</f>
        <v>1</v>
      </c>
      <c r="J16" s="6">
        <f>H16-G16-I16</f>
        <v>-57.55</v>
      </c>
      <c r="K16" s="5" t="str">
        <f>IF(F16&gt;0,"OFFEN","GESCHLOSSEN")</f>
        <v>OFFEN</v>
      </c>
      <c r="L16">
        <v>1.9179999999999999</v>
      </c>
      <c r="M16">
        <v>1.365</v>
      </c>
      <c r="N16" s="21">
        <f>IF(K16="GESCHLOSSEN",
0,
IF(K16="OFFEN",
((M16*F16)-(L16*F16)),
""))</f>
        <v>-16.589999999999996</v>
      </c>
      <c r="O16" s="6">
        <f>IF(F16&gt;0,F16*M16,0)</f>
        <v>40.950000000000003</v>
      </c>
      <c r="P16" s="6">
        <f>IF(F16&gt;0,F16*L16,0)</f>
        <v>57.54</v>
      </c>
      <c r="Q16" s="7">
        <f>IF(K16="GESCHLOSSEN",
0,
IF(K16="OFFEN",
(N16/(L16*F16))))</f>
        <v>-0.2883211678832116</v>
      </c>
      <c r="R16" s="6">
        <f>IF(K16="GESCHLOSSEN",
H16-G16-I16 + SUMIFS(Daten!K:K,Daten!H:H,C16,Daten!E:E,"DIVIDEND"),
IF(K16="OFFEN",
IF(E16=0,
0,
H16+SUMIFS(Daten!K:K,Daten!H:H,C16,Daten!E:E,"DIVIDEND")-(G16-(F16*L16))-I16
),
""))</f>
        <v>0</v>
      </c>
      <c r="S16" s="6">
        <f>IF(E16=0,
0,
(G16-(F16*L16))+I16
)</f>
        <v>0</v>
      </c>
      <c r="T16" s="26">
        <f>COUNTIFS(Daten!H:H,C16,Daten!E:E,"BUY",Daten!L:L,"&lt;0")</f>
        <v>1</v>
      </c>
      <c r="U16" s="26">
        <f>COUNTIFS(Daten!H:H,C16,Daten!E:E,"SELL",Daten!L:L,"&lt;0")</f>
        <v>0</v>
      </c>
      <c r="V16" s="7">
        <f>IF(S16&gt;0,R16/S16,0)</f>
        <v>0</v>
      </c>
      <c r="W16" s="7">
        <f>IF(K16="GESCHLOSSEN",
J16/(G16+I16),
IF(K16="OFFEN",
((H16+M16*F16)-G16-I16)/G16,
""))</f>
        <v>-0.2935455349248452</v>
      </c>
    </row>
    <row r="17" spans="1:23" x14ac:dyDescent="0.25">
      <c r="A17" s="9" t="s">
        <v>1421</v>
      </c>
      <c r="B17" s="5" t="s">
        <v>64</v>
      </c>
      <c r="C17" s="5" t="s">
        <v>1422</v>
      </c>
      <c r="D17" s="5">
        <f>SUMIFS(Daten!I:I,Daten!H:H,C17,Daten!E:E,"BUY")</f>
        <v>1356.0241370000001</v>
      </c>
      <c r="E17" s="5">
        <f>-SUMIFS(Daten!I:I,Daten!H:H,C17,Daten!E:E,"SELL")</f>
        <v>0</v>
      </c>
      <c r="F17" s="5">
        <f>D17-E17</f>
        <v>1356.0241370000001</v>
      </c>
      <c r="G17" s="6">
        <f>-SUMIFS(Daten!K:K,Daten!H:H,C17,Daten!E:E,"BUY")</f>
        <v>100</v>
      </c>
      <c r="H17" s="6">
        <f>SUMIFS(Daten!K:K,Daten!H:H,C17,Daten!E:E,"SELL")</f>
        <v>0</v>
      </c>
      <c r="I17" s="6">
        <f>SUMIFS(Daten!L:L,Daten!H:H,C17)*-1</f>
        <v>1</v>
      </c>
      <c r="J17" s="6">
        <f>H17-G17-I17</f>
        <v>-101</v>
      </c>
      <c r="K17" s="5" t="str">
        <f>IF(F17&gt;0,"OFFEN","GESCHLOSSEN")</f>
        <v>OFFEN</v>
      </c>
      <c r="L17">
        <v>7.4499999999999997E-2</v>
      </c>
      <c r="M17">
        <v>8.1603999999999996E-2</v>
      </c>
      <c r="N17" s="21">
        <f>IF(K17="GESCHLOSSEN",
0,
IF(K17="OFFEN",
((M17*F17)-(L17*F17)),
""))</f>
        <v>9.633195469247994</v>
      </c>
      <c r="O17" s="6">
        <f>IF(F17&gt;0,F17*M17,0)</f>
        <v>110.656993675748</v>
      </c>
      <c r="P17" s="6">
        <f>IF(F17&gt;0,F17*L17,0)</f>
        <v>101.0237982065</v>
      </c>
      <c r="Q17" s="7">
        <f>IF(K17="GESCHLOSSEN",
0,
IF(K17="OFFEN",
(N17/(L17*F17))))</f>
        <v>9.5355704697986515E-2</v>
      </c>
      <c r="R17" s="6">
        <f>IF(K17="GESCHLOSSEN",
H17-G17-I17 + SUMIFS(Daten!K:K,Daten!H:H,C17,Daten!E:E,"DIVIDEND"),
IF(K17="OFFEN",
IF(E17=0,
0,
H17+SUMIFS(Daten!K:K,Daten!H:H,C17,Daten!E:E,"DIVIDEND")-(G17-(F17*L17))-I17
),
""))</f>
        <v>0</v>
      </c>
      <c r="S17" s="6">
        <f>IF(E17=0,
0,
(G17-(F17*L17))+I17
)</f>
        <v>0</v>
      </c>
      <c r="T17" s="26">
        <f>COUNTIFS(Daten!H:H,C17,Daten!E:E,"BUY",Daten!L:L,"&lt;0")</f>
        <v>1</v>
      </c>
      <c r="U17" s="26">
        <f>COUNTIFS(Daten!H:H,C17,Daten!E:E,"SELL",Daten!L:L,"&lt;0")</f>
        <v>0</v>
      </c>
      <c r="V17" s="7">
        <f>IF(S17&gt;0,R17/S17,0)</f>
        <v>0</v>
      </c>
      <c r="W17" s="7">
        <f>IF(K17="GESCHLOSSEN",
J17/(G17+I17),
IF(K17="OFFEN",
((H17+M17*F17)-G17-I17)/G17,
""))</f>
        <v>9.6569936757479977E-2</v>
      </c>
    </row>
    <row r="18" spans="1:23" x14ac:dyDescent="0.25">
      <c r="A18" s="9" t="s">
        <v>315</v>
      </c>
      <c r="B18" s="5" t="s">
        <v>32</v>
      </c>
      <c r="C18" s="5" t="s">
        <v>316</v>
      </c>
      <c r="D18" s="5">
        <f>SUMIFS(Daten!I:I,Daten!H:H,C18,Daten!E:E,"BUY")</f>
        <v>14.905659999999999</v>
      </c>
      <c r="E18" s="5">
        <f>-SUMIFS(Daten!I:I,Daten!H:H,C18,Daten!E:E,"SELL")</f>
        <v>14.905659999999999</v>
      </c>
      <c r="F18" s="5">
        <f>D18-E18</f>
        <v>0</v>
      </c>
      <c r="G18" s="6">
        <f>-SUMIFS(Daten!K:K,Daten!H:H,C18,Daten!E:E,"BUY")</f>
        <v>79</v>
      </c>
      <c r="H18" s="6">
        <f>SUMIFS(Daten!K:K,Daten!H:H,C18,Daten!E:E,"SELL")</f>
        <v>122.97</v>
      </c>
      <c r="I18" s="6">
        <f>SUMIFS(Daten!L:L,Daten!H:H,C18)*-1</f>
        <v>2</v>
      </c>
      <c r="J18" s="6">
        <f>H18-G18-I18</f>
        <v>41.97</v>
      </c>
      <c r="K18" s="5" t="str">
        <f>IF(F18&gt;0,"OFFEN","GESCHLOSSEN")</f>
        <v>GESCHLOSSEN</v>
      </c>
      <c r="L18">
        <v>0</v>
      </c>
      <c r="M18">
        <v>0</v>
      </c>
      <c r="N18" s="21">
        <f>IF(K18="GESCHLOSSEN",
0,
IF(K18="OFFEN",
((M18*F18)-(L18*F18)),
""))</f>
        <v>0</v>
      </c>
      <c r="O18" s="6">
        <f>IF(F18&gt;0,F18*M18,0)</f>
        <v>0</v>
      </c>
      <c r="P18" s="6">
        <f>IF(F18&gt;0,F18*L18,0)</f>
        <v>0</v>
      </c>
      <c r="Q18" s="7">
        <f>IF(K18="GESCHLOSSEN",
0,
IF(K18="OFFEN",
(N18/(L18*F18))))</f>
        <v>0</v>
      </c>
      <c r="R18" s="6">
        <f>IF(K18="GESCHLOSSEN",
H18-G18-I18 + SUMIFS(Daten!K:K,Daten!H:H,C18,Daten!E:E,"DIVIDEND"),
IF(K18="OFFEN",
IF(E18=0,
0,
H18+SUMIFS(Daten!K:K,Daten!H:H,C18,Daten!E:E,"DIVIDEND")-(G18-(F18*L18))-I18
),
""))</f>
        <v>41.97</v>
      </c>
      <c r="S18" s="6">
        <f>IF(E18=0,
0,
(G18-(F18*L18))+I18
)</f>
        <v>81</v>
      </c>
      <c r="T18" s="26">
        <f>COUNTIFS(Daten!H:H,C18,Daten!E:E,"BUY",Daten!L:L,"&lt;0")</f>
        <v>1</v>
      </c>
      <c r="U18" s="26">
        <f>COUNTIFS(Daten!H:H,C18,Daten!E:E,"SELL",Daten!L:L,"&lt;0")</f>
        <v>1</v>
      </c>
      <c r="V18" s="7">
        <f>IF(S18&gt;0,R18/S18,0)</f>
        <v>0.51814814814814814</v>
      </c>
      <c r="W18" s="7">
        <f>IF(K18="GESCHLOSSEN",
J18/(G18+I18),
IF(K18="OFFEN",
((H18+M18*F18)-G18-I18)/G18,
""))</f>
        <v>0.51814814814814814</v>
      </c>
    </row>
    <row r="19" spans="1:23" x14ac:dyDescent="0.25">
      <c r="A19" s="9" t="s">
        <v>1004</v>
      </c>
      <c r="B19" s="5" t="s">
        <v>464</v>
      </c>
      <c r="C19" s="5" t="s">
        <v>1005</v>
      </c>
      <c r="D19" s="5">
        <f>SUMIFS(Daten!I:I,Daten!H:H,C19,Daten!E:E,"BUY")</f>
        <v>102.799402</v>
      </c>
      <c r="E19" s="5">
        <f>-SUMIFS(Daten!I:I,Daten!H:H,C19,Daten!E:E,"SELL")</f>
        <v>0</v>
      </c>
      <c r="F19" s="5">
        <f>D19-E19</f>
        <v>102.799402</v>
      </c>
      <c r="G19" s="6">
        <f>-SUMIFS(Daten!K:K,Daten!H:H,C19,Daten!E:E,"BUY")</f>
        <v>649.91</v>
      </c>
      <c r="H19" s="6">
        <f>SUMIFS(Daten!K:K,Daten!H:H,C19,Daten!E:E,"SELL")</f>
        <v>0</v>
      </c>
      <c r="I19" s="6">
        <f>SUMIFS(Daten!L:L,Daten!H:H,C19)*-1</f>
        <v>8</v>
      </c>
      <c r="J19" s="6">
        <f>H19-G19-I19</f>
        <v>-657.91</v>
      </c>
      <c r="K19" s="5" t="str">
        <f>IF(F19&gt;0,"OFFEN","GESCHLOSSEN")</f>
        <v>OFFEN</v>
      </c>
      <c r="L19">
        <v>6.4</v>
      </c>
      <c r="M19">
        <v>4.9009999999999998</v>
      </c>
      <c r="N19" s="21">
        <f>IF(K19="GESCHLOSSEN",
0,
IF(K19="OFFEN",
((M19*F19)-(L19*F19)),
""))</f>
        <v>-154.09630359800002</v>
      </c>
      <c r="O19" s="6">
        <f>IF(F19&gt;0,F19*M19,0)</f>
        <v>503.81986920200001</v>
      </c>
      <c r="P19" s="6">
        <f>IF(F19&gt;0,F19*L19,0)</f>
        <v>657.91617280000003</v>
      </c>
      <c r="Q19" s="7">
        <f>IF(K19="GESCHLOSSEN",
0,
IF(K19="OFFEN",
(N19/(L19*F19))))</f>
        <v>-0.23421875000000003</v>
      </c>
      <c r="R19" s="6">
        <f>IF(K19="GESCHLOSSEN",
H19-G19-I19 + SUMIFS(Daten!K:K,Daten!H:H,C19,Daten!E:E,"DIVIDEND"),
IF(K19="OFFEN",
IF(E19=0,
0,
H19+SUMIFS(Daten!K:K,Daten!H:H,C19,Daten!E:E,"DIVIDEND")-(G19-(F19*L19))-I19
),
""))</f>
        <v>0</v>
      </c>
      <c r="S19" s="6">
        <f>IF(E19=0,
0,
(G19-(F19*L19))+I19
)</f>
        <v>0</v>
      </c>
      <c r="T19" s="26">
        <f>COUNTIFS(Daten!H:H,C19,Daten!E:E,"BUY",Daten!L:L,"&lt;0")</f>
        <v>8</v>
      </c>
      <c r="U19" s="26">
        <f>COUNTIFS(Daten!H:H,C19,Daten!E:E,"SELL",Daten!L:L,"&lt;0")</f>
        <v>0</v>
      </c>
      <c r="V19" s="7">
        <f>IF(S19&gt;0,R19/S19,0)</f>
        <v>0</v>
      </c>
      <c r="W19" s="7">
        <f>IF(K19="GESCHLOSSEN",
J19/(G19+I19),
IF(K19="OFFEN",
((H19+M19*F19)-G19-I19)/G19,
""))</f>
        <v>-0.23709456816790012</v>
      </c>
    </row>
    <row r="20" spans="1:23" x14ac:dyDescent="0.25">
      <c r="A20" s="9" t="s">
        <v>167</v>
      </c>
      <c r="B20" s="5" t="s">
        <v>32</v>
      </c>
      <c r="C20" s="5" t="s">
        <v>168</v>
      </c>
      <c r="D20" s="5">
        <f>SUMIFS(Daten!I:I,Daten!H:H,C20,Daten!E:E,"BUY")</f>
        <v>1360.3733259999999</v>
      </c>
      <c r="E20" s="5">
        <f>-SUMIFS(Daten!I:I,Daten!H:H,C20,Daten!E:E,"SELL")</f>
        <v>629.09074399999997</v>
      </c>
      <c r="F20" s="5">
        <f>D20-E20</f>
        <v>731.28258199999993</v>
      </c>
      <c r="G20" s="6">
        <f>-SUMIFS(Daten!K:K,Daten!H:H,C20,Daten!E:E,"BUY")</f>
        <v>2590.2499999999995</v>
      </c>
      <c r="H20" s="6">
        <f>SUMIFS(Daten!K:K,Daten!H:H,C20,Daten!E:E,"SELL")</f>
        <v>1716.62</v>
      </c>
      <c r="I20" s="6">
        <f>SUMIFS(Daten!L:L,Daten!H:H,C20)*-1</f>
        <v>34</v>
      </c>
      <c r="J20" s="6">
        <f>H20-G20-I20</f>
        <v>-907.62999999999965</v>
      </c>
      <c r="K20" s="5" t="str">
        <f>IF(F20&gt;0,"OFFEN","GESCHLOSSEN")</f>
        <v>OFFEN</v>
      </c>
      <c r="L20">
        <v>1.5549999999999999</v>
      </c>
      <c r="M20">
        <v>1.0044</v>
      </c>
      <c r="N20" s="21">
        <f>IF(K20="GESCHLOSSEN",
0,
IF(K20="OFFEN",
((M20*F20)-(L20*F20)),
""))</f>
        <v>-402.64418964919992</v>
      </c>
      <c r="O20" s="6">
        <f>IF(F20&gt;0,F20*M20,0)</f>
        <v>734.50022536079996</v>
      </c>
      <c r="P20" s="6">
        <f>IF(F20&gt;0,F20*L20,0)</f>
        <v>1137.1444150099999</v>
      </c>
      <c r="Q20" s="7">
        <f>IF(K20="GESCHLOSSEN",
0,
IF(K20="OFFEN",
(N20/(L20*F20))))</f>
        <v>-0.35408360128617361</v>
      </c>
      <c r="R20" s="6">
        <f>IF(K20="GESCHLOSSEN",
H20-G20-I20 + SUMIFS(Daten!K:K,Daten!H:H,C20,Daten!E:E,"DIVIDEND"),
IF(K20="OFFEN",
IF(E20=0,
0,
H20+SUMIFS(Daten!K:K,Daten!H:H,C20,Daten!E:E,"DIVIDEND")-(G20-(F20*L20))-I20
),
""))</f>
        <v>229.51441501000022</v>
      </c>
      <c r="S20" s="6">
        <f>IF(E20=0,
0,
(G20-(F20*L20))+I20
)</f>
        <v>1487.1055849899997</v>
      </c>
      <c r="T20" s="26">
        <f>COUNTIFS(Daten!H:H,C20,Daten!E:E,"BUY",Daten!L:L,"&lt;0")</f>
        <v>28</v>
      </c>
      <c r="U20" s="26">
        <f>COUNTIFS(Daten!H:H,C20,Daten!E:E,"SELL",Daten!L:L,"&lt;0")</f>
        <v>6</v>
      </c>
      <c r="V20" s="7">
        <f>IF(S20&gt;0,R20/S20,0)</f>
        <v>0.15433632778101875</v>
      </c>
      <c r="W20" s="7">
        <f>IF(K20="GESCHLOSSEN",
J20/(G20+I20),
IF(K20="OFFEN",
((H20+M20*F20)-G20-I20)/G20,
""))</f>
        <v>-6.6839021190695777E-2</v>
      </c>
    </row>
    <row r="21" spans="1:23" x14ac:dyDescent="0.25">
      <c r="A21" s="9" t="s">
        <v>154</v>
      </c>
      <c r="B21" s="5" t="s">
        <v>32</v>
      </c>
      <c r="C21" s="5" t="s">
        <v>155</v>
      </c>
      <c r="D21" s="5">
        <f>SUMIFS(Daten!I:I,Daten!H:H,C21,Daten!E:E,"BUY")</f>
        <v>132.787488</v>
      </c>
      <c r="E21" s="5">
        <f>-SUMIFS(Daten!I:I,Daten!H:H,C21,Daten!E:E,"SELL")</f>
        <v>100.459531</v>
      </c>
      <c r="F21" s="5">
        <f>D21-E21</f>
        <v>32.327956999999998</v>
      </c>
      <c r="G21" s="6">
        <f>-SUMIFS(Daten!K:K,Daten!H:H,C21,Daten!E:E,"BUY")</f>
        <v>2521.36</v>
      </c>
      <c r="H21" s="6">
        <f>SUMIFS(Daten!K:K,Daten!H:H,C21,Daten!E:E,"SELL")</f>
        <v>2118.5699999999997</v>
      </c>
      <c r="I21" s="6">
        <f>SUMIFS(Daten!L:L,Daten!H:H,C21)*-1</f>
        <v>27</v>
      </c>
      <c r="J21" s="6">
        <f>H21-G21-I21</f>
        <v>-429.79000000000042</v>
      </c>
      <c r="K21" s="5" t="str">
        <f>IF(F21&gt;0,"OFFEN","GESCHLOSSEN")</f>
        <v>OFFEN</v>
      </c>
      <c r="L21">
        <v>20.37</v>
      </c>
      <c r="M21">
        <v>14.624700000000001</v>
      </c>
      <c r="N21" s="21">
        <f>IF(K21="GESCHLOSSEN",
0,
IF(K21="OFFEN",
((M21*F21)-(L21*F21)),
""))</f>
        <v>-185.73381135209996</v>
      </c>
      <c r="O21" s="6">
        <f>IF(F21&gt;0,F21*M21,0)</f>
        <v>472.78667273790001</v>
      </c>
      <c r="P21" s="6">
        <f>IF(F21&gt;0,F21*L21,0)</f>
        <v>658.52048408999997</v>
      </c>
      <c r="Q21" s="7">
        <f>IF(K21="GESCHLOSSEN",
0,
IF(K21="OFFEN",
(N21/(L21*F21))))</f>
        <v>-0.28204712812960231</v>
      </c>
      <c r="R21" s="6">
        <f>IF(K21="GESCHLOSSEN",
H21-G21-I21 + SUMIFS(Daten!K:K,Daten!H:H,C21,Daten!E:E,"DIVIDEND"),
IF(K21="OFFEN",
IF(E21=0,
0,
H21+SUMIFS(Daten!K:K,Daten!H:H,C21,Daten!E:E,"DIVIDEND")-(G21-(F21*L21))-I21
),
""))</f>
        <v>228.73048408999966</v>
      </c>
      <c r="S21" s="6">
        <f>IF(E21=0,
0,
(G21-(F21*L21))+I21
)</f>
        <v>1889.83951591</v>
      </c>
      <c r="T21" s="26">
        <f>COUNTIFS(Daten!H:H,C21,Daten!E:E,"BUY",Daten!L:L,"&lt;0")</f>
        <v>20</v>
      </c>
      <c r="U21" s="26">
        <f>COUNTIFS(Daten!H:H,C21,Daten!E:E,"SELL",Daten!L:L,"&lt;0")</f>
        <v>7</v>
      </c>
      <c r="V21" s="7">
        <f>IF(S21&gt;0,R21/S21,0)</f>
        <v>0.12103169722316914</v>
      </c>
      <c r="W21" s="7">
        <f>IF(K21="GESCHLOSSEN",
J21/(G21+I21),
IF(K21="OFFEN",
((H21+M21*F21)-G21-I21)/G21,
""))</f>
        <v>1.7052968532022258E-2</v>
      </c>
    </row>
    <row r="22" spans="1:23" x14ac:dyDescent="0.25">
      <c r="A22" s="9" t="s">
        <v>604</v>
      </c>
      <c r="B22" s="5" t="s">
        <v>32</v>
      </c>
      <c r="C22" s="5" t="s">
        <v>605</v>
      </c>
      <c r="D22" s="5">
        <f>SUMIFS(Daten!I:I,Daten!H:H,C22,Daten!E:E,"BUY")</f>
        <v>531.45139600000005</v>
      </c>
      <c r="E22" s="5">
        <f>-SUMIFS(Daten!I:I,Daten!H:H,C22,Daten!E:E,"SELL")</f>
        <v>531.45139600000005</v>
      </c>
      <c r="F22" s="5">
        <f>D22-E22</f>
        <v>0</v>
      </c>
      <c r="G22" s="6">
        <f>-SUMIFS(Daten!K:K,Daten!H:H,C22,Daten!E:E,"BUY")</f>
        <v>349</v>
      </c>
      <c r="H22" s="6">
        <f>SUMIFS(Daten!K:K,Daten!H:H,C22,Daten!E:E,"SELL")</f>
        <v>371.71000000000004</v>
      </c>
      <c r="I22" s="6">
        <f>SUMIFS(Daten!L:L,Daten!H:H,C22)*-1</f>
        <v>5</v>
      </c>
      <c r="J22" s="6">
        <f>H22-G22-I22</f>
        <v>17.710000000000036</v>
      </c>
      <c r="K22" s="5" t="str">
        <f>IF(F22&gt;0,"OFFEN","GESCHLOSSEN")</f>
        <v>GESCHLOSSEN</v>
      </c>
      <c r="L22">
        <v>0</v>
      </c>
      <c r="M22">
        <v>0</v>
      </c>
      <c r="N22" s="21">
        <f>IF(K22="GESCHLOSSEN",
0,
IF(K22="OFFEN",
((M22*F22)-(L22*F22)),
""))</f>
        <v>0</v>
      </c>
      <c r="O22" s="6">
        <f>IF(F22&gt;0,F22*M22,0)</f>
        <v>0</v>
      </c>
      <c r="P22" s="6">
        <f>IF(F22&gt;0,F22*L22,0)</f>
        <v>0</v>
      </c>
      <c r="Q22" s="7">
        <f>IF(K22="GESCHLOSSEN",
0,
IF(K22="OFFEN",
(N22/(L22*F22))))</f>
        <v>0</v>
      </c>
      <c r="R22" s="6">
        <f>IF(K22="GESCHLOSSEN",
H22-G22-I22 + SUMIFS(Daten!K:K,Daten!H:H,C22,Daten!E:E,"DIVIDEND"),
IF(K22="OFFEN",
IF(E22=0,
0,
H22+SUMIFS(Daten!K:K,Daten!H:H,C22,Daten!E:E,"DIVIDEND")-(G22-(F22*L22))-I22
),
""))</f>
        <v>17.710000000000036</v>
      </c>
      <c r="S22" s="6">
        <f>IF(E22=0,
0,
(G22-(F22*L22))+I22
)</f>
        <v>354</v>
      </c>
      <c r="T22" s="26">
        <f>COUNTIFS(Daten!H:H,C22,Daten!E:E,"BUY",Daten!L:L,"&lt;0")</f>
        <v>3</v>
      </c>
      <c r="U22" s="26">
        <f>COUNTIFS(Daten!H:H,C22,Daten!E:E,"SELL",Daten!L:L,"&lt;0")</f>
        <v>2</v>
      </c>
      <c r="V22" s="7">
        <f>IF(S22&gt;0,R22/S22,0)</f>
        <v>5.0028248587570726E-2</v>
      </c>
      <c r="W22" s="7">
        <f>IF(K22="GESCHLOSSEN",
J22/(G22+I22),
IF(K22="OFFEN",
((H22+M22*F22)-G22-I22)/G22,
""))</f>
        <v>5.0028248587570726E-2</v>
      </c>
    </row>
    <row r="23" spans="1:23" x14ac:dyDescent="0.25">
      <c r="A23" s="9" t="s">
        <v>340</v>
      </c>
      <c r="B23" s="5" t="s">
        <v>32</v>
      </c>
      <c r="C23" s="5" t="s">
        <v>341</v>
      </c>
      <c r="D23" s="5">
        <f>SUMIFS(Daten!I:I,Daten!H:H,C23,Daten!E:E,"BUY")</f>
        <v>18.553222999999999</v>
      </c>
      <c r="E23" s="5">
        <f>-SUMIFS(Daten!I:I,Daten!H:H,C23,Daten!E:E,"SELL")</f>
        <v>18.553222999999999</v>
      </c>
      <c r="F23" s="5">
        <f>D23-E23</f>
        <v>0</v>
      </c>
      <c r="G23" s="6">
        <f>-SUMIFS(Daten!K:K,Daten!H:H,C23,Daten!E:E,"BUY")</f>
        <v>99</v>
      </c>
      <c r="H23" s="6">
        <f>SUMIFS(Daten!K:K,Daten!H:H,C23,Daten!E:E,"SELL")</f>
        <v>119.14999999999999</v>
      </c>
      <c r="I23" s="6">
        <f>SUMIFS(Daten!L:L,Daten!H:H,C23)*-1</f>
        <v>2</v>
      </c>
      <c r="J23" s="6">
        <f>H23-G23-I23</f>
        <v>18.149999999999991</v>
      </c>
      <c r="K23" s="5" t="str">
        <f>IF(F23&gt;0,"OFFEN","GESCHLOSSEN")</f>
        <v>GESCHLOSSEN</v>
      </c>
      <c r="L23">
        <v>0</v>
      </c>
      <c r="M23">
        <v>0</v>
      </c>
      <c r="N23" s="21">
        <f>IF(K23="GESCHLOSSEN",
0,
IF(K23="OFFEN",
((M23*F23)-(L23*F23)),
""))</f>
        <v>0</v>
      </c>
      <c r="O23" s="6">
        <f>IF(F23&gt;0,F23*M23,0)</f>
        <v>0</v>
      </c>
      <c r="P23" s="6">
        <f>IF(F23&gt;0,F23*L23,0)</f>
        <v>0</v>
      </c>
      <c r="Q23" s="7">
        <f>IF(K23="GESCHLOSSEN",
0,
IF(K23="OFFEN",
(N23/(L23*F23))))</f>
        <v>0</v>
      </c>
      <c r="R23" s="6">
        <f>IF(K23="GESCHLOSSEN",
H23-G23-I23 + SUMIFS(Daten!K:K,Daten!H:H,C23,Daten!E:E,"DIVIDEND"),
IF(K23="OFFEN",
IF(E23=0,
0,
H23+SUMIFS(Daten!K:K,Daten!H:H,C23,Daten!E:E,"DIVIDEND")-(G23-(F23*L23))-I23
),
""))</f>
        <v>18.149999999999991</v>
      </c>
      <c r="S23" s="6">
        <f>IF(E23=0,
0,
(G23-(F23*L23))+I23
)</f>
        <v>101</v>
      </c>
      <c r="T23" s="26">
        <f>COUNTIFS(Daten!H:H,C23,Daten!E:E,"BUY",Daten!L:L,"&lt;0")</f>
        <v>1</v>
      </c>
      <c r="U23" s="26">
        <f>COUNTIFS(Daten!H:H,C23,Daten!E:E,"SELL",Daten!L:L,"&lt;0")</f>
        <v>1</v>
      </c>
      <c r="V23" s="7">
        <f>IF(S23&gt;0,R23/S23,0)</f>
        <v>0.17970297029702961</v>
      </c>
      <c r="W23" s="7">
        <f>IF(K23="GESCHLOSSEN",
J23/(G23+I23),
IF(K23="OFFEN",
((H23+M23*F23)-G23-I23)/G23,
""))</f>
        <v>0.17970297029702961</v>
      </c>
    </row>
    <row r="24" spans="1:23" x14ac:dyDescent="0.25">
      <c r="A24" s="9" t="s">
        <v>33</v>
      </c>
      <c r="B24" s="5" t="s">
        <v>32</v>
      </c>
      <c r="C24" s="5" t="s">
        <v>34</v>
      </c>
      <c r="D24" s="5">
        <f>SUMIFS(Daten!I:I,Daten!H:H,C24,Daten!E:E,"BUY")</f>
        <v>1.009325</v>
      </c>
      <c r="E24" s="5">
        <f>-SUMIFS(Daten!I:I,Daten!H:H,C24,Daten!E:E,"SELL")</f>
        <v>1.009325</v>
      </c>
      <c r="F24" s="5">
        <f>D24-E24</f>
        <v>0</v>
      </c>
      <c r="G24" s="6">
        <f>-SUMIFS(Daten!K:K,Daten!H:H,C24,Daten!E:E,"BUY")</f>
        <v>92</v>
      </c>
      <c r="H24" s="6">
        <f>SUMIFS(Daten!K:K,Daten!H:H,C24,Daten!E:E,"SELL")</f>
        <v>103.7</v>
      </c>
      <c r="I24" s="6">
        <f>SUMIFS(Daten!L:L,Daten!H:H,C24)*-1</f>
        <v>3</v>
      </c>
      <c r="J24" s="6">
        <f>H24-G24-I24</f>
        <v>8.7000000000000028</v>
      </c>
      <c r="K24" s="5" t="str">
        <f>IF(F24&gt;0,"OFFEN","GESCHLOSSEN")</f>
        <v>GESCHLOSSEN</v>
      </c>
      <c r="L24">
        <v>0</v>
      </c>
      <c r="M24">
        <v>0</v>
      </c>
      <c r="N24" s="21">
        <f>IF(K24="GESCHLOSSEN",
0,
IF(K24="OFFEN",
((M24*F24)-(L24*F24)),
""))</f>
        <v>0</v>
      </c>
      <c r="O24" s="6">
        <f>IF(F24&gt;0,F24*M24,0)</f>
        <v>0</v>
      </c>
      <c r="P24" s="6">
        <f>IF(F24&gt;0,F24*L24,0)</f>
        <v>0</v>
      </c>
      <c r="Q24" s="7">
        <f>IF(K24="GESCHLOSSEN",
0,
IF(K24="OFFEN",
(N24/(L24*F24))))</f>
        <v>0</v>
      </c>
      <c r="R24" s="6">
        <f>IF(K24="GESCHLOSSEN",
H24-G24-I24 + SUMIFS(Daten!K:K,Daten!H:H,C24,Daten!E:E,"DIVIDEND"),
IF(K24="OFFEN",
IF(E24=0,
0,
H24+SUMIFS(Daten!K:K,Daten!H:H,C24,Daten!E:E,"DIVIDEND")-(G24-(F24*L24))-I24
),
""))</f>
        <v>8.7000000000000028</v>
      </c>
      <c r="S24" s="6">
        <f>IF(E24=0,
0,
(G24-(F24*L24))+I24
)</f>
        <v>95</v>
      </c>
      <c r="T24" s="26">
        <f>COUNTIFS(Daten!H:H,C24,Daten!E:E,"BUY",Daten!L:L,"&lt;0")</f>
        <v>1</v>
      </c>
      <c r="U24" s="26">
        <f>COUNTIFS(Daten!H:H,C24,Daten!E:E,"SELL",Daten!L:L,"&lt;0")</f>
        <v>2</v>
      </c>
      <c r="V24" s="7">
        <f>IF(S24&gt;0,R24/S24,0)</f>
        <v>9.1578947368421079E-2</v>
      </c>
      <c r="W24" s="7">
        <f>IF(K24="GESCHLOSSEN",
J24/(G24+I24),
IF(K24="OFFEN",
((H24+M24*F24)-G24-I24)/G24,
""))</f>
        <v>9.1578947368421079E-2</v>
      </c>
    </row>
    <row r="25" spans="1:23" x14ac:dyDescent="0.25">
      <c r="A25" s="9" t="s">
        <v>55</v>
      </c>
      <c r="B25" s="5" t="s">
        <v>32</v>
      </c>
      <c r="C25" s="5" t="s">
        <v>56</v>
      </c>
      <c r="D25" s="5">
        <f>SUMIFS(Daten!I:I,Daten!H:H,C25,Daten!E:E,"BUY")</f>
        <v>1.8711989999999998</v>
      </c>
      <c r="E25" s="5">
        <f>-SUMIFS(Daten!I:I,Daten!H:H,C25,Daten!E:E,"SELL")</f>
        <v>1.8711989999999998</v>
      </c>
      <c r="F25" s="5">
        <f>D25-E25</f>
        <v>0</v>
      </c>
      <c r="G25" s="6">
        <f>-SUMIFS(Daten!K:K,Daten!H:H,C25,Daten!E:E,"BUY")</f>
        <v>60</v>
      </c>
      <c r="H25" s="6">
        <f>SUMIFS(Daten!K:K,Daten!H:H,C25,Daten!E:E,"SELL")</f>
        <v>64.16</v>
      </c>
      <c r="I25" s="6">
        <f>SUMIFS(Daten!L:L,Daten!H:H,C25)*-1</f>
        <v>2</v>
      </c>
      <c r="J25" s="6">
        <f>H25-G25-I25</f>
        <v>2.1599999999999966</v>
      </c>
      <c r="K25" s="5" t="str">
        <f>IF(F25&gt;0,"OFFEN","GESCHLOSSEN")</f>
        <v>GESCHLOSSEN</v>
      </c>
      <c r="L25">
        <v>0</v>
      </c>
      <c r="M25">
        <v>0</v>
      </c>
      <c r="N25" s="21">
        <f>IF(K25="GESCHLOSSEN",
0,
IF(K25="OFFEN",
((M25*F25)-(L25*F25)),
""))</f>
        <v>0</v>
      </c>
      <c r="O25" s="6">
        <f>IF(F25&gt;0,F25*M25,0)</f>
        <v>0</v>
      </c>
      <c r="P25" s="6">
        <f>IF(F25&gt;0,F25*L25,0)</f>
        <v>0</v>
      </c>
      <c r="Q25" s="7">
        <f>IF(K25="GESCHLOSSEN",
0,
IF(K25="OFFEN",
(N25/(L25*F25))))</f>
        <v>0</v>
      </c>
      <c r="R25" s="6">
        <f>IF(K25="GESCHLOSSEN",
H25-G25-I25 + SUMIFS(Daten!K:K,Daten!H:H,C25,Daten!E:E,"DIVIDEND"),
IF(K25="OFFEN",
IF(E25=0,
0,
H25+SUMIFS(Daten!K:K,Daten!H:H,C25,Daten!E:E,"DIVIDEND")-(G25-(F25*L25))-I25
),
""))</f>
        <v>2.1599999999999966</v>
      </c>
      <c r="S25" s="6">
        <f>IF(E25=0,
0,
(G25-(F25*L25))+I25
)</f>
        <v>62</v>
      </c>
      <c r="T25" s="26">
        <f>COUNTIFS(Daten!H:H,C25,Daten!E:E,"BUY",Daten!L:L,"&lt;0")</f>
        <v>1</v>
      </c>
      <c r="U25" s="26">
        <f>COUNTIFS(Daten!H:H,C25,Daten!E:E,"SELL",Daten!L:L,"&lt;0")</f>
        <v>1</v>
      </c>
      <c r="V25" s="7">
        <f>IF(S25&gt;0,R25/S25,0)</f>
        <v>3.4838709677419297E-2</v>
      </c>
      <c r="W25" s="7">
        <f>IF(K25="GESCHLOSSEN",
J25/(G25+I25),
IF(K25="OFFEN",
((H25+M25*F25)-G25-I25)/G25,
""))</f>
        <v>3.4838709677419297E-2</v>
      </c>
    </row>
    <row r="26" spans="1:23" x14ac:dyDescent="0.25">
      <c r="A26" s="9" t="s">
        <v>664</v>
      </c>
      <c r="B26" s="5" t="s">
        <v>32</v>
      </c>
      <c r="C26" s="5" t="s">
        <v>665</v>
      </c>
      <c r="D26" s="5">
        <f>SUMIFS(Daten!I:I,Daten!H:H,C26,Daten!E:E,"BUY")</f>
        <v>56.051445000000001</v>
      </c>
      <c r="E26" s="5">
        <f>-SUMIFS(Daten!I:I,Daten!H:H,C26,Daten!E:E,"SELL")</f>
        <v>26.322716</v>
      </c>
      <c r="F26" s="5">
        <f>D26-E26</f>
        <v>29.728729000000001</v>
      </c>
      <c r="G26" s="6">
        <f>-SUMIFS(Daten!K:K,Daten!H:H,C26,Daten!E:E,"BUY")</f>
        <v>450</v>
      </c>
      <c r="H26" s="6">
        <f>SUMIFS(Daten!K:K,Daten!H:H,C26,Daten!E:E,"SELL")</f>
        <v>210.27</v>
      </c>
      <c r="I26" s="6">
        <f>SUMIFS(Daten!L:L,Daten!H:H,C26)*-1</f>
        <v>5</v>
      </c>
      <c r="J26" s="6">
        <f>H26-G26-I26</f>
        <v>-244.73</v>
      </c>
      <c r="K26" s="5" t="str">
        <f>IF(F26&gt;0,"OFFEN","GESCHLOSSEN")</f>
        <v>OFFEN</v>
      </c>
      <c r="L26">
        <v>8.51</v>
      </c>
      <c r="M26">
        <v>7.5979999999999999</v>
      </c>
      <c r="N26" s="21">
        <f>IF(K26="GESCHLOSSEN",
0,
IF(K26="OFFEN",
((M26*F26)-(L26*F26)),
""))</f>
        <v>-27.112600848</v>
      </c>
      <c r="O26" s="6">
        <f>IF(F26&gt;0,F26*M26,0)</f>
        <v>225.87888294200002</v>
      </c>
      <c r="P26" s="6">
        <f>IF(F26&gt;0,F26*L26,0)</f>
        <v>252.99148379000002</v>
      </c>
      <c r="Q26" s="7">
        <f>IF(K26="GESCHLOSSEN",
0,
IF(K26="OFFEN",
(N26/(L26*F26))))</f>
        <v>-0.1071680376028202</v>
      </c>
      <c r="R26" s="6">
        <f>IF(K26="GESCHLOSSEN",
H26-G26-I26 + SUMIFS(Daten!K:K,Daten!H:H,C26,Daten!E:E,"DIVIDEND"),
IF(K26="OFFEN",
IF(E26=0,
0,
H26+SUMIFS(Daten!K:K,Daten!H:H,C26,Daten!E:E,"DIVIDEND")-(G26-(F26*L26))-I26
),
""))</f>
        <v>8.2614837900000282</v>
      </c>
      <c r="S26" s="6">
        <f>IF(E26=0,
0,
(G26-(F26*L26))+I26
)</f>
        <v>202.00851620999998</v>
      </c>
      <c r="T26" s="26">
        <f>COUNTIFS(Daten!H:H,C26,Daten!E:E,"BUY",Daten!L:L,"&lt;0")</f>
        <v>4</v>
      </c>
      <c r="U26" s="26">
        <f>COUNTIFS(Daten!H:H,C26,Daten!E:E,"SELL",Daten!L:L,"&lt;0")</f>
        <v>1</v>
      </c>
      <c r="V26" s="7">
        <f>IF(S26&gt;0,R26/S26,0)</f>
        <v>4.0896710420919677E-2</v>
      </c>
      <c r="W26" s="7">
        <f>IF(K26="GESCHLOSSEN",
J26/(G26+I26),
IF(K26="OFFEN",
((H26+M26*F26)-G26-I26)/G26,
""))</f>
        <v>-4.1891371240000003E-2</v>
      </c>
    </row>
    <row r="27" spans="1:23" x14ac:dyDescent="0.25">
      <c r="A27" s="9" t="s">
        <v>364</v>
      </c>
      <c r="B27" s="5" t="s">
        <v>32</v>
      </c>
      <c r="C27" s="5" t="s">
        <v>365</v>
      </c>
      <c r="D27" s="5">
        <f>SUMIFS(Daten!I:I,Daten!H:H,C27,Daten!E:E,"BUY")</f>
        <v>39.442231</v>
      </c>
      <c r="E27" s="5">
        <f>-SUMIFS(Daten!I:I,Daten!H:H,C27,Daten!E:E,"SELL")</f>
        <v>39.442231</v>
      </c>
      <c r="F27" s="5">
        <f>D27-E27</f>
        <v>0</v>
      </c>
      <c r="G27" s="6">
        <f>-SUMIFS(Daten!K:K,Daten!H:H,C27,Daten!E:E,"BUY")</f>
        <v>99</v>
      </c>
      <c r="H27" s="6">
        <f>SUMIFS(Daten!K:K,Daten!H:H,C27,Daten!E:E,"SELL")</f>
        <v>116.35</v>
      </c>
      <c r="I27" s="6">
        <f>SUMIFS(Daten!L:L,Daten!H:H,C27)*-1</f>
        <v>2</v>
      </c>
      <c r="J27" s="6">
        <f>H27-G27-I27</f>
        <v>15.349999999999994</v>
      </c>
      <c r="K27" s="5" t="str">
        <f>IF(F27&gt;0,"OFFEN","GESCHLOSSEN")</f>
        <v>GESCHLOSSEN</v>
      </c>
      <c r="L27">
        <v>0</v>
      </c>
      <c r="M27">
        <v>0</v>
      </c>
      <c r="N27" s="21">
        <f>IF(K27="GESCHLOSSEN",
0,
IF(K27="OFFEN",
((M27*F27)-(L27*F27)),
""))</f>
        <v>0</v>
      </c>
      <c r="O27" s="6">
        <f>IF(F27&gt;0,F27*M27,0)</f>
        <v>0</v>
      </c>
      <c r="P27" s="6">
        <f>IF(F27&gt;0,F27*L27,0)</f>
        <v>0</v>
      </c>
      <c r="Q27" s="7">
        <f>IF(K27="GESCHLOSSEN",
0,
IF(K27="OFFEN",
(N27/(L27*F27))))</f>
        <v>0</v>
      </c>
      <c r="R27" s="6">
        <f>IF(K27="GESCHLOSSEN",
H27-G27-I27 + SUMIFS(Daten!K:K,Daten!H:H,C27,Daten!E:E,"DIVIDEND"),
IF(K27="OFFEN",
IF(E27=0,
0,
H27+SUMIFS(Daten!K:K,Daten!H:H,C27,Daten!E:E,"DIVIDEND")-(G27-(F27*L27))-I27
),
""))</f>
        <v>15.349999999999994</v>
      </c>
      <c r="S27" s="6">
        <f>IF(E27=0,
0,
(G27-(F27*L27))+I27
)</f>
        <v>101</v>
      </c>
      <c r="T27" s="26">
        <f>COUNTIFS(Daten!H:H,C27,Daten!E:E,"BUY",Daten!L:L,"&lt;0")</f>
        <v>1</v>
      </c>
      <c r="U27" s="26">
        <f>COUNTIFS(Daten!H:H,C27,Daten!E:E,"SELL",Daten!L:L,"&lt;0")</f>
        <v>1</v>
      </c>
      <c r="V27" s="7">
        <f>IF(S27&gt;0,R27/S27,0)</f>
        <v>0.15198019801980192</v>
      </c>
      <c r="W27" s="7">
        <f>IF(K27="GESCHLOSSEN",
J27/(G27+I27),
IF(K27="OFFEN",
((H27+M27*F27)-G27-I27)/G27,
""))</f>
        <v>0.15198019801980192</v>
      </c>
    </row>
    <row r="28" spans="1:23" x14ac:dyDescent="0.25">
      <c r="A28" s="9" t="s">
        <v>799</v>
      </c>
      <c r="B28" s="5" t="s">
        <v>464</v>
      </c>
      <c r="C28" s="5" t="s">
        <v>800</v>
      </c>
      <c r="D28" s="5">
        <f>SUMIFS(Daten!I:I,Daten!H:H,C28,Daten!E:E,"BUY")</f>
        <v>6.0335359999999998</v>
      </c>
      <c r="E28" s="5">
        <f>-SUMIFS(Daten!I:I,Daten!H:H,C28,Daten!E:E,"SELL")</f>
        <v>0</v>
      </c>
      <c r="F28" s="5">
        <f>D28-E28</f>
        <v>6.0335359999999998</v>
      </c>
      <c r="G28" s="6">
        <f>-SUMIFS(Daten!K:K,Daten!H:H,C28,Daten!E:E,"BUY")</f>
        <v>766.99</v>
      </c>
      <c r="H28" s="6">
        <f>SUMIFS(Daten!K:K,Daten!H:H,C28,Daten!E:E,"SELL")</f>
        <v>0</v>
      </c>
      <c r="I28" s="6">
        <f>SUMIFS(Daten!L:L,Daten!H:H,C28)*-1</f>
        <v>3</v>
      </c>
      <c r="J28" s="6">
        <f>H28-G28-I28</f>
        <v>-769.99</v>
      </c>
      <c r="K28" s="5" t="str">
        <f>IF(F28&gt;0,"OFFEN","GESCHLOSSEN")</f>
        <v>OFFEN</v>
      </c>
      <c r="L28">
        <v>127.62</v>
      </c>
      <c r="M28">
        <v>149.88</v>
      </c>
      <c r="N28" s="21">
        <f>IF(K28="GESCHLOSSEN",
0,
IF(K28="OFFEN",
((M28*F28)-(L28*F28)),
""))</f>
        <v>134.30651135999994</v>
      </c>
      <c r="O28" s="6">
        <f>IF(F28&gt;0,F28*M28,0)</f>
        <v>904.30637567999997</v>
      </c>
      <c r="P28" s="6">
        <f>IF(F28&gt;0,F28*L28,0)</f>
        <v>769.99986432000003</v>
      </c>
      <c r="Q28" s="7">
        <f>IF(K28="GESCHLOSSEN",
0,
IF(K28="OFFEN",
(N28/(L28*F28))))</f>
        <v>0.17442407146215319</v>
      </c>
      <c r="R28" s="6">
        <f>IF(K28="GESCHLOSSEN",
H28-G28-I28 + SUMIFS(Daten!K:K,Daten!H:H,C28,Daten!E:E,"DIVIDEND"),
IF(K28="OFFEN",
IF(E28=0,
0,
H28+SUMIFS(Daten!K:K,Daten!H:H,C28,Daten!E:E,"DIVIDEND")-(G28-(F28*L28))-I28
),
""))</f>
        <v>0</v>
      </c>
      <c r="S28" s="6">
        <f>IF(E28=0,
0,
(G28-(F28*L28))+I28
)</f>
        <v>0</v>
      </c>
      <c r="T28" s="26">
        <f>COUNTIFS(Daten!H:H,C28,Daten!E:E,"BUY",Daten!L:L,"&lt;0")</f>
        <v>3</v>
      </c>
      <c r="U28" s="26">
        <f>COUNTIFS(Daten!H:H,C28,Daten!E:E,"SELL",Daten!L:L,"&lt;0")</f>
        <v>0</v>
      </c>
      <c r="V28" s="7">
        <f>IF(S28&gt;0,R28/S28,0)</f>
        <v>0</v>
      </c>
      <c r="W28" s="7">
        <f>IF(K28="GESCHLOSSEN",
J28/(G28+I28),
IF(K28="OFFEN",
((H28+M28*F28)-G28-I28)/G28,
""))</f>
        <v>0.17512141707193049</v>
      </c>
    </row>
    <row r="29" spans="1:23" x14ac:dyDescent="0.25">
      <c r="A29" s="9" t="s">
        <v>1237</v>
      </c>
      <c r="B29" s="5" t="s">
        <v>464</v>
      </c>
      <c r="C29" s="5" t="s">
        <v>1238</v>
      </c>
      <c r="D29" s="5">
        <f>SUMIFS(Daten!I:I,Daten!H:H,C29,Daten!E:E,"BUY")</f>
        <v>8.3333329999999997</v>
      </c>
      <c r="E29" s="5">
        <f>-SUMIFS(Daten!I:I,Daten!H:H,C29,Daten!E:E,"SELL")</f>
        <v>0</v>
      </c>
      <c r="F29" s="5">
        <f>D29-E29</f>
        <v>8.3333329999999997</v>
      </c>
      <c r="G29" s="6">
        <f>-SUMIFS(Daten!K:K,Daten!H:H,C29,Daten!E:E,"BUY")</f>
        <v>399.96</v>
      </c>
      <c r="H29" s="6">
        <f>SUMIFS(Daten!K:K,Daten!H:H,C29,Daten!E:E,"SELL")</f>
        <v>0</v>
      </c>
      <c r="I29" s="6">
        <f>SUMIFS(Daten!L:L,Daten!H:H,C29)*-1</f>
        <v>1</v>
      </c>
      <c r="J29" s="6">
        <f>H29-G29-I29</f>
        <v>-400.96</v>
      </c>
      <c r="K29" s="5" t="str">
        <f>IF(F29&gt;0,"OFFEN","GESCHLOSSEN")</f>
        <v>OFFEN</v>
      </c>
      <c r="L29">
        <v>48.12</v>
      </c>
      <c r="M29">
        <v>47.63</v>
      </c>
      <c r="N29" s="21">
        <f>IF(K29="GESCHLOSSEN",
0,
IF(K29="OFFEN",
((M29*F29)-(L29*F29)),
""))</f>
        <v>-4.0833331699999462</v>
      </c>
      <c r="O29" s="6">
        <f>IF(F29&gt;0,F29*M29,0)</f>
        <v>396.91665079000001</v>
      </c>
      <c r="P29" s="6">
        <f>IF(F29&gt;0,F29*L29,0)</f>
        <v>400.99998395999995</v>
      </c>
      <c r="Q29" s="7">
        <f>IF(K29="GESCHLOSSEN",
0,
IF(K29="OFFEN",
(N29/(L29*F29))))</f>
        <v>-1.018287614297576E-2</v>
      </c>
      <c r="R29" s="6">
        <f>IF(K29="GESCHLOSSEN",
H29-G29-I29 + SUMIFS(Daten!K:K,Daten!H:H,C29,Daten!E:E,"DIVIDEND"),
IF(K29="OFFEN",
IF(E29=0,
0,
H29+SUMIFS(Daten!K:K,Daten!H:H,C29,Daten!E:E,"DIVIDEND")-(G29-(F29*L29))-I29
),
""))</f>
        <v>0</v>
      </c>
      <c r="S29" s="6">
        <f>IF(E29=0,
0,
(G29-(F29*L29))+I29
)</f>
        <v>0</v>
      </c>
      <c r="T29" s="26">
        <f>COUNTIFS(Daten!H:H,C29,Daten!E:E,"BUY",Daten!L:L,"&lt;0")</f>
        <v>1</v>
      </c>
      <c r="U29" s="26">
        <f>COUNTIFS(Daten!H:H,C29,Daten!E:E,"SELL",Daten!L:L,"&lt;0")</f>
        <v>0</v>
      </c>
      <c r="V29" s="7">
        <f>IF(S29&gt;0,R29/S29,0)</f>
        <v>0</v>
      </c>
      <c r="W29" s="7">
        <f>IF(K29="GESCHLOSSEN",
J29/(G29+I29),
IF(K29="OFFEN",
((H29+M29*F29)-G29-I29)/G29,
""))</f>
        <v>-1.0109383963396276E-2</v>
      </c>
    </row>
    <row r="30" spans="1:23" x14ac:dyDescent="0.25">
      <c r="A30" s="9" t="s">
        <v>1178</v>
      </c>
      <c r="B30" s="5" t="s">
        <v>464</v>
      </c>
      <c r="C30" s="5" t="s">
        <v>1179</v>
      </c>
      <c r="D30" s="5">
        <f>SUMIFS(Daten!I:I,Daten!H:H,C30,Daten!E:E,"BUY")</f>
        <v>9.423959</v>
      </c>
      <c r="E30" s="5">
        <f>-SUMIFS(Daten!I:I,Daten!H:H,C30,Daten!E:E,"SELL")</f>
        <v>0</v>
      </c>
      <c r="F30" s="5">
        <f>D30-E30</f>
        <v>9.423959</v>
      </c>
      <c r="G30" s="6">
        <f>-SUMIFS(Daten!K:K,Daten!H:H,C30,Daten!E:E,"BUY")</f>
        <v>500</v>
      </c>
      <c r="H30" s="6">
        <f>SUMIFS(Daten!K:K,Daten!H:H,C30,Daten!E:E,"SELL")</f>
        <v>0</v>
      </c>
      <c r="I30" s="6">
        <f>SUMIFS(Daten!L:L,Daten!H:H,C30)*-1</f>
        <v>1</v>
      </c>
      <c r="J30" s="6">
        <f>H30-G30-I30</f>
        <v>-501</v>
      </c>
      <c r="K30" s="5" t="str">
        <f>IF(F30&gt;0,"OFFEN","GESCHLOSSEN")</f>
        <v>OFFEN</v>
      </c>
      <c r="L30">
        <v>53.16</v>
      </c>
      <c r="M30">
        <v>54.27</v>
      </c>
      <c r="N30" s="21">
        <f>IF(K30="GESCHLOSSEN",
0,
IF(K30="OFFEN",
((M30*F30)-(L30*F30)),
""))</f>
        <v>10.460594490000062</v>
      </c>
      <c r="O30" s="6">
        <f>IF(F30&gt;0,F30*M30,0)</f>
        <v>511.43825493000003</v>
      </c>
      <c r="P30" s="6">
        <f>IF(F30&gt;0,F30*L30,0)</f>
        <v>500.97766043999997</v>
      </c>
      <c r="Q30" s="7">
        <f>IF(K30="GESCHLOSSEN",
0,
IF(K30="OFFEN",
(N30/(L30*F30))))</f>
        <v>2.0880361173815025E-2</v>
      </c>
      <c r="R30" s="6">
        <f>IF(K30="GESCHLOSSEN",
H30-G30-I30 + SUMIFS(Daten!K:K,Daten!H:H,C30,Daten!E:E,"DIVIDEND"),
IF(K30="OFFEN",
IF(E30=0,
0,
H30+SUMIFS(Daten!K:K,Daten!H:H,C30,Daten!E:E,"DIVIDEND")-(G30-(F30*L30))-I30
),
""))</f>
        <v>0</v>
      </c>
      <c r="S30" s="6">
        <f>IF(E30=0,
0,
(G30-(F30*L30))+I30
)</f>
        <v>0</v>
      </c>
      <c r="T30" s="26">
        <f>COUNTIFS(Daten!H:H,C30,Daten!E:E,"BUY",Daten!L:L,"&lt;0")</f>
        <v>1</v>
      </c>
      <c r="U30" s="26">
        <f>COUNTIFS(Daten!H:H,C30,Daten!E:E,"SELL",Daten!L:L,"&lt;0")</f>
        <v>0</v>
      </c>
      <c r="V30" s="7">
        <f>IF(S30&gt;0,R30/S30,0)</f>
        <v>0</v>
      </c>
      <c r="W30" s="7">
        <f>IF(K30="GESCHLOSSEN",
J30/(G30+I30),
IF(K30="OFFEN",
((H30+M30*F30)-G30-I30)/G30,
""))</f>
        <v>2.0876509860000055E-2</v>
      </c>
    </row>
    <row r="31" spans="1:23" x14ac:dyDescent="0.25">
      <c r="A31" s="9" t="s">
        <v>747</v>
      </c>
      <c r="B31" s="5" t="s">
        <v>32</v>
      </c>
      <c r="C31" s="5" t="s">
        <v>748</v>
      </c>
      <c r="D31" s="5">
        <f>SUMIFS(Daten!I:I,Daten!H:H,C31,Daten!E:E,"BUY")</f>
        <v>7.1999240000000002</v>
      </c>
      <c r="E31" s="5">
        <f>-SUMIFS(Daten!I:I,Daten!H:H,C31,Daten!E:E,"SELL")</f>
        <v>0</v>
      </c>
      <c r="F31" s="5">
        <f>D31-E31</f>
        <v>7.1999240000000002</v>
      </c>
      <c r="G31" s="6">
        <f>-SUMIFS(Daten!K:K,Daten!H:H,C31,Daten!E:E,"BUY")</f>
        <v>527.53</v>
      </c>
      <c r="H31" s="6">
        <f>SUMIFS(Daten!K:K,Daten!H:H,C31,Daten!E:E,"SELL")</f>
        <v>0</v>
      </c>
      <c r="I31" s="6">
        <f>SUMIFS(Daten!L:L,Daten!H:H,C31)*-1</f>
        <v>6</v>
      </c>
      <c r="J31" s="6">
        <f>H31-G31-I31</f>
        <v>-533.53</v>
      </c>
      <c r="K31" s="5" t="str">
        <f>IF(F31&gt;0,"OFFEN","GESCHLOSSEN")</f>
        <v>OFFEN</v>
      </c>
      <c r="L31">
        <v>74.099999999999994</v>
      </c>
      <c r="M31">
        <v>62.93</v>
      </c>
      <c r="N31" s="21">
        <f>IF(K31="GESCHLOSSEN",
0,
IF(K31="OFFEN",
((M31*F31)-(L31*F31)),
""))</f>
        <v>-80.423151079999968</v>
      </c>
      <c r="O31" s="6">
        <f>IF(F31&gt;0,F31*M31,0)</f>
        <v>453.09121732</v>
      </c>
      <c r="P31" s="6">
        <f>IF(F31&gt;0,F31*L31,0)</f>
        <v>533.51436839999997</v>
      </c>
      <c r="Q31" s="7">
        <f>IF(K31="GESCHLOSSEN",
0,
IF(K31="OFFEN",
(N31/(L31*F31))))</f>
        <v>-0.15074224021592439</v>
      </c>
      <c r="R31" s="6">
        <f>IF(K31="GESCHLOSSEN",
H31-G31-I31 + SUMIFS(Daten!K:K,Daten!H:H,C31,Daten!E:E,"DIVIDEND"),
IF(K31="OFFEN",
IF(E31=0,
0,
H31+SUMIFS(Daten!K:K,Daten!H:H,C31,Daten!E:E,"DIVIDEND")-(G31-(F31*L31))-I31
),
""))</f>
        <v>0</v>
      </c>
      <c r="S31" s="6">
        <f>IF(E31=0,
0,
(G31-(F31*L31))+I31
)</f>
        <v>0</v>
      </c>
      <c r="T31" s="26">
        <f>COUNTIFS(Daten!H:H,C31,Daten!E:E,"BUY",Daten!L:L,"&lt;0")</f>
        <v>6</v>
      </c>
      <c r="U31" s="26">
        <f>COUNTIFS(Daten!H:H,C31,Daten!E:E,"SELL",Daten!L:L,"&lt;0")</f>
        <v>0</v>
      </c>
      <c r="V31" s="7">
        <f>IF(S31&gt;0,R31/S31,0)</f>
        <v>0</v>
      </c>
      <c r="W31" s="7">
        <f>IF(K31="GESCHLOSSEN",
J31/(G31+I31),
IF(K31="OFFEN",
((H31+M31*F31)-G31-I31)/G31,
""))</f>
        <v>-0.15248191132257877</v>
      </c>
    </row>
    <row r="32" spans="1:23" x14ac:dyDescent="0.25">
      <c r="A32" s="9" t="s">
        <v>1011</v>
      </c>
      <c r="B32" s="5" t="s">
        <v>464</v>
      </c>
      <c r="C32" s="5" t="s">
        <v>1012</v>
      </c>
      <c r="D32" s="5">
        <f>SUMIFS(Daten!I:I,Daten!H:H,C32,Daten!E:E,"BUY")</f>
        <v>8.7359650000000002</v>
      </c>
      <c r="E32" s="5">
        <f>-SUMIFS(Daten!I:I,Daten!H:H,C32,Daten!E:E,"SELL")</f>
        <v>0</v>
      </c>
      <c r="F32" s="5">
        <f>D32-E32</f>
        <v>8.7359650000000002</v>
      </c>
      <c r="G32" s="6">
        <f>-SUMIFS(Daten!K:K,Daten!H:H,C32,Daten!E:E,"BUY")</f>
        <v>400.01</v>
      </c>
      <c r="H32" s="6">
        <f>SUMIFS(Daten!K:K,Daten!H:H,C32,Daten!E:E,"SELL")</f>
        <v>0</v>
      </c>
      <c r="I32" s="6">
        <f>SUMIFS(Daten!L:L,Daten!H:H,C32)*-1</f>
        <v>3</v>
      </c>
      <c r="J32" s="6">
        <f>H32-G32-I32</f>
        <v>-403.01</v>
      </c>
      <c r="K32" s="5" t="str">
        <f>IF(F32&gt;0,"OFFEN","GESCHLOSSEN")</f>
        <v>OFFEN</v>
      </c>
      <c r="L32">
        <v>46.13</v>
      </c>
      <c r="M32">
        <v>40.344999999999999</v>
      </c>
      <c r="N32" s="21">
        <f>IF(K32="GESCHLOSSEN",
0,
IF(K32="OFFEN",
((M32*F32)-(L32*F32)),
""))</f>
        <v>-50.537557525000011</v>
      </c>
      <c r="O32" s="6">
        <f>IF(F32&gt;0,F32*M32,0)</f>
        <v>352.45250792500002</v>
      </c>
      <c r="P32" s="6">
        <f>IF(F32&gt;0,F32*L32,0)</f>
        <v>402.99006545000003</v>
      </c>
      <c r="Q32" s="7">
        <f>IF(K32="GESCHLOSSEN",
0,
IF(K32="OFFEN",
(N32/(L32*F32))))</f>
        <v>-0.12540646000433558</v>
      </c>
      <c r="R32" s="6">
        <f>IF(K32="GESCHLOSSEN",
H32-G32-I32 + SUMIFS(Daten!K:K,Daten!H:H,C32,Daten!E:E,"DIVIDEND"),
IF(K32="OFFEN",
IF(E32=0,
0,
H32+SUMIFS(Daten!K:K,Daten!H:H,C32,Daten!E:E,"DIVIDEND")-(G32-(F32*L32))-I32
),
""))</f>
        <v>0</v>
      </c>
      <c r="S32" s="6">
        <f>IF(E32=0,
0,
(G32-(F32*L32))+I32
)</f>
        <v>0</v>
      </c>
      <c r="T32" s="26">
        <f>COUNTIFS(Daten!H:H,C32,Daten!E:E,"BUY",Daten!L:L,"&lt;0")</f>
        <v>3</v>
      </c>
      <c r="U32" s="26">
        <f>COUNTIFS(Daten!H:H,C32,Daten!E:E,"SELL",Daten!L:L,"&lt;0")</f>
        <v>0</v>
      </c>
      <c r="V32" s="7">
        <f>IF(S32&gt;0,R32/S32,0)</f>
        <v>0</v>
      </c>
      <c r="W32" s="7">
        <f>IF(K32="GESCHLOSSEN",
J32/(G32+I32),
IF(K32="OFFEN",
((H32+M32*F32)-G32-I32)/G32,
""))</f>
        <v>-0.12639057042323934</v>
      </c>
    </row>
    <row r="33" spans="1:23" x14ac:dyDescent="0.25">
      <c r="A33" s="9" t="s">
        <v>1182</v>
      </c>
      <c r="B33" s="5" t="s">
        <v>32</v>
      </c>
      <c r="C33" s="5" t="s">
        <v>1183</v>
      </c>
      <c r="D33" s="5">
        <f>SUMIFS(Daten!I:I,Daten!H:H,C33,Daten!E:E,"BUY")</f>
        <v>6.7689640000000004</v>
      </c>
      <c r="E33" s="5">
        <f>-SUMIFS(Daten!I:I,Daten!H:H,C33,Daten!E:E,"SELL")</f>
        <v>0</v>
      </c>
      <c r="F33" s="5">
        <f>D33-E33</f>
        <v>6.7689640000000004</v>
      </c>
      <c r="G33" s="6">
        <f>-SUMIFS(Daten!K:K,Daten!H:H,C33,Daten!E:E,"BUY")</f>
        <v>239.51</v>
      </c>
      <c r="H33" s="6">
        <f>SUMIFS(Daten!K:K,Daten!H:H,C33,Daten!E:E,"SELL")</f>
        <v>0</v>
      </c>
      <c r="I33" s="6">
        <f>SUMIFS(Daten!L:L,Daten!H:H,C33)*-1</f>
        <v>2</v>
      </c>
      <c r="J33" s="6">
        <f>H33-G33-I33</f>
        <v>-241.51</v>
      </c>
      <c r="K33" s="5" t="str">
        <f>IF(F33&gt;0,"OFFEN","GESCHLOSSEN")</f>
        <v>OFFEN</v>
      </c>
      <c r="L33">
        <v>35.68</v>
      </c>
      <c r="M33">
        <v>31.55</v>
      </c>
      <c r="N33" s="21">
        <f>IF(K33="GESCHLOSSEN",
0,
IF(K33="OFFEN",
((M33*F33)-(L33*F33)),
""))</f>
        <v>-27.955821320000013</v>
      </c>
      <c r="O33" s="6">
        <f>IF(F33&gt;0,F33*M33,0)</f>
        <v>213.56081420000001</v>
      </c>
      <c r="P33" s="6">
        <f>IF(F33&gt;0,F33*L33,0)</f>
        <v>241.51663552000002</v>
      </c>
      <c r="Q33" s="7">
        <f>IF(K33="GESCHLOSSEN",
0,
IF(K33="OFFEN",
(N33/(L33*F33))))</f>
        <v>-0.11575112107623323</v>
      </c>
      <c r="R33" s="6">
        <f>IF(K33="GESCHLOSSEN",
H33-G33-I33 + SUMIFS(Daten!K:K,Daten!H:H,C33,Daten!E:E,"DIVIDEND"),
IF(K33="OFFEN",
IF(E33=0,
0,
H33+SUMIFS(Daten!K:K,Daten!H:H,C33,Daten!E:E,"DIVIDEND")-(G33-(F33*L33))-I33
),
""))</f>
        <v>0</v>
      </c>
      <c r="S33" s="6">
        <f>IF(E33=0,
0,
(G33-(F33*L33))+I33
)</f>
        <v>0</v>
      </c>
      <c r="T33" s="26">
        <f>COUNTIFS(Daten!H:H,C33,Daten!E:E,"BUY",Daten!L:L,"&lt;0")</f>
        <v>2</v>
      </c>
      <c r="U33" s="26">
        <f>COUNTIFS(Daten!H:H,C33,Daten!E:E,"SELL",Daten!L:L,"&lt;0")</f>
        <v>0</v>
      </c>
      <c r="V33" s="7">
        <f>IF(S33&gt;0,R33/S33,0)</f>
        <v>0</v>
      </c>
      <c r="W33" s="7">
        <f>IF(K33="GESCHLOSSEN",
J33/(G33+I33),
IF(K33="OFFEN",
((H33+M33*F33)-G33-I33)/G33,
""))</f>
        <v>-0.11669318942841628</v>
      </c>
    </row>
    <row r="34" spans="1:23" x14ac:dyDescent="0.25">
      <c r="A34" s="9" t="s">
        <v>40</v>
      </c>
      <c r="B34" s="5" t="s">
        <v>32</v>
      </c>
      <c r="C34" s="5" t="s">
        <v>41</v>
      </c>
      <c r="D34" s="5">
        <f>SUMIFS(Daten!I:I,Daten!H:H,C34,Daten!E:E,"BUY")</f>
        <v>1.3543989999999999</v>
      </c>
      <c r="E34" s="5">
        <f>-SUMIFS(Daten!I:I,Daten!H:H,C34,Daten!E:E,"SELL")</f>
        <v>1.3543989999999999</v>
      </c>
      <c r="F34" s="5">
        <f>D34-E34</f>
        <v>0</v>
      </c>
      <c r="G34" s="6">
        <f>-SUMIFS(Daten!K:K,Daten!H:H,C34,Daten!E:E,"BUY")</f>
        <v>196</v>
      </c>
      <c r="H34" s="6">
        <f>SUMIFS(Daten!K:K,Daten!H:H,C34,Daten!E:E,"SELL")</f>
        <v>205.19</v>
      </c>
      <c r="I34" s="6">
        <f>SUMIFS(Daten!L:L,Daten!H:H,C34)*-1</f>
        <v>4</v>
      </c>
      <c r="J34" s="6">
        <f>H34-G34-I34</f>
        <v>5.1899999999999977</v>
      </c>
      <c r="K34" s="5" t="str">
        <f>IF(F34&gt;0,"OFFEN","GESCHLOSSEN")</f>
        <v>GESCHLOSSEN</v>
      </c>
      <c r="L34">
        <v>0</v>
      </c>
      <c r="M34">
        <v>0</v>
      </c>
      <c r="N34" s="21">
        <f>IF(K34="GESCHLOSSEN",
0,
IF(K34="OFFEN",
((M34*F34)-(L34*F34)),
""))</f>
        <v>0</v>
      </c>
      <c r="O34" s="6">
        <f>IF(F34&gt;0,F34*M34,0)</f>
        <v>0</v>
      </c>
      <c r="P34" s="6">
        <f>IF(F34&gt;0,F34*L34,0)</f>
        <v>0</v>
      </c>
      <c r="Q34" s="7">
        <f>IF(K34="GESCHLOSSEN",
0,
IF(K34="OFFEN",
(N34/(L34*F34))))</f>
        <v>0</v>
      </c>
      <c r="R34" s="6">
        <f>IF(K34="GESCHLOSSEN",
H34-G34-I34 + SUMIFS(Daten!K:K,Daten!H:H,C34,Daten!E:E,"DIVIDEND"),
IF(K34="OFFEN",
IF(E34=0,
0,
H34+SUMIFS(Daten!K:K,Daten!H:H,C34,Daten!E:E,"DIVIDEND")-(G34-(F34*L34))-I34
),
""))</f>
        <v>5.1999999999999975</v>
      </c>
      <c r="S34" s="6">
        <f>IF(E34=0,
0,
(G34-(F34*L34))+I34
)</f>
        <v>200</v>
      </c>
      <c r="T34" s="26">
        <f>COUNTIFS(Daten!H:H,C34,Daten!E:E,"BUY",Daten!L:L,"&lt;0")</f>
        <v>2</v>
      </c>
      <c r="U34" s="26">
        <f>COUNTIFS(Daten!H:H,C34,Daten!E:E,"SELL",Daten!L:L,"&lt;0")</f>
        <v>2</v>
      </c>
      <c r="V34" s="7">
        <f>IF(S34&gt;0,R34/S34,0)</f>
        <v>2.5999999999999988E-2</v>
      </c>
      <c r="W34" s="7">
        <f>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D35-E35</f>
        <v>0</v>
      </c>
      <c r="G35" s="6">
        <f>-SUMIFS(Daten!K:K,Daten!H:H,C35,Daten!E:E,"BUY")</f>
        <v>149</v>
      </c>
      <c r="H35" s="6">
        <f>SUMIFS(Daten!K:K,Daten!H:H,C35,Daten!E:E,"SELL")</f>
        <v>161.5</v>
      </c>
      <c r="I35" s="6">
        <f>SUMIFS(Daten!L:L,Daten!H:H,C35)*-1</f>
        <v>2</v>
      </c>
      <c r="J35" s="6">
        <f>H35-G35-I35</f>
        <v>10.5</v>
      </c>
      <c r="K35" s="5" t="str">
        <f>IF(F35&gt;0,"OFFEN","GESCHLOSSEN")</f>
        <v>GESCHLOSSEN</v>
      </c>
      <c r="L35">
        <v>0</v>
      </c>
      <c r="M35">
        <v>0</v>
      </c>
      <c r="N35" s="21">
        <f>IF(K35="GESCHLOSSEN",
0,
IF(K35="OFFEN",
((M35*F35)-(L35*F35)),
""))</f>
        <v>0</v>
      </c>
      <c r="O35" s="6">
        <f>IF(F35&gt;0,F35*M35,0)</f>
        <v>0</v>
      </c>
      <c r="P35" s="6">
        <f>IF(F35&gt;0,F35*L35,0)</f>
        <v>0</v>
      </c>
      <c r="Q35" s="7">
        <f>IF(K35="GESCHLOSSEN",
0,
IF(K35="OFFEN",
(N35/(L35*F35))))</f>
        <v>0</v>
      </c>
      <c r="R35" s="6">
        <f>IF(K35="GESCHLOSSEN",
H35-G35-I35 + SUMIFS(Daten!K:K,Daten!H:H,C35,Daten!E:E,"DIVIDEND"),
IF(K35="OFFEN",
IF(E35=0,
0,
H35+SUMIFS(Daten!K:K,Daten!H:H,C35,Daten!E:E,"DIVIDEND")-(G35-(F35*L35))-I35
),
""))</f>
        <v>10.5</v>
      </c>
      <c r="S35" s="6">
        <f>IF(E35=0,
0,
(G35-(F35*L35))+I35
)</f>
        <v>151</v>
      </c>
      <c r="T35" s="26">
        <f>COUNTIFS(Daten!H:H,C35,Daten!E:E,"BUY",Daten!L:L,"&lt;0")</f>
        <v>1</v>
      </c>
      <c r="U35" s="26">
        <f>COUNTIFS(Daten!H:H,C35,Daten!E:E,"SELL",Daten!L:L,"&lt;0")</f>
        <v>1</v>
      </c>
      <c r="V35" s="7">
        <f>IF(S35&gt;0,R35/S35,0)</f>
        <v>6.9536423841059597E-2</v>
      </c>
      <c r="W35" s="7">
        <f>IF(K35="GESCHLOSSEN",
J35/(G35+I35),
IF(K35="OFFEN",
((H35+M35*F35)-G35-I35)/G35,
""))</f>
        <v>6.9536423841059597E-2</v>
      </c>
    </row>
    <row r="36" spans="1:23" x14ac:dyDescent="0.25">
      <c r="A36" s="9" t="s">
        <v>640</v>
      </c>
      <c r="B36" s="5" t="s">
        <v>32</v>
      </c>
      <c r="C36" s="5" t="s">
        <v>641</v>
      </c>
      <c r="D36" s="5">
        <f>SUMIFS(Daten!I:I,Daten!H:H,C36,Daten!E:E,"BUY")</f>
        <v>63.615581999999996</v>
      </c>
      <c r="E36" s="5">
        <f>-SUMIFS(Daten!I:I,Daten!H:H,C36,Daten!E:E,"SELL")</f>
        <v>63.615581999999996</v>
      </c>
      <c r="F36" s="5">
        <f>D36-E36</f>
        <v>0</v>
      </c>
      <c r="G36" s="6">
        <f>-SUMIFS(Daten!K:K,Daten!H:H,C36,Daten!E:E,"BUY")</f>
        <v>600</v>
      </c>
      <c r="H36" s="6">
        <f>SUMIFS(Daten!K:K,Daten!H:H,C36,Daten!E:E,"SELL")</f>
        <v>633.09999999999991</v>
      </c>
      <c r="I36" s="6">
        <f>SUMIFS(Daten!L:L,Daten!H:H,C36)*-1</f>
        <v>5</v>
      </c>
      <c r="J36" s="6">
        <f>H36-G36-I36</f>
        <v>28.099999999999909</v>
      </c>
      <c r="K36" s="5" t="str">
        <f>IF(F36&gt;0,"OFFEN","GESCHLOSSEN")</f>
        <v>GESCHLOSSEN</v>
      </c>
      <c r="L36">
        <v>0</v>
      </c>
      <c r="M36">
        <v>0</v>
      </c>
      <c r="N36" s="21">
        <f>IF(K36="GESCHLOSSEN",
0,
IF(K36="OFFEN",
((M36*F36)-(L36*F36)),
""))</f>
        <v>0</v>
      </c>
      <c r="O36" s="6">
        <f>IF(F36&gt;0,F36*M36,0)</f>
        <v>0</v>
      </c>
      <c r="P36" s="6">
        <f>IF(F36&gt;0,F36*L36,0)</f>
        <v>0</v>
      </c>
      <c r="Q36" s="7">
        <f>IF(K36="GESCHLOSSEN",
0,
IF(K36="OFFEN",
(N36/(L36*F36))))</f>
        <v>0</v>
      </c>
      <c r="R36" s="6">
        <f>IF(K36="GESCHLOSSEN",
H36-G36-I36 + SUMIFS(Daten!K:K,Daten!H:H,C36,Daten!E:E,"DIVIDEND"),
IF(K36="OFFEN",
IF(E36=0,
0,
H36+SUMIFS(Daten!K:K,Daten!H:H,C36,Daten!E:E,"DIVIDEND")-(G36-(F36*L36))-I36
),
""))</f>
        <v>28.099999999999909</v>
      </c>
      <c r="S36" s="6">
        <f>IF(E36=0,
0,
(G36-(F36*L36))+I36
)</f>
        <v>605</v>
      </c>
      <c r="T36" s="26">
        <f>COUNTIFS(Daten!H:H,C36,Daten!E:E,"BUY",Daten!L:L,"&lt;0")</f>
        <v>3</v>
      </c>
      <c r="U36" s="26">
        <f>COUNTIFS(Daten!H:H,C36,Daten!E:E,"SELL",Daten!L:L,"&lt;0")</f>
        <v>2</v>
      </c>
      <c r="V36" s="7">
        <f>IF(S36&gt;0,R36/S36,0)</f>
        <v>4.6446280991735388E-2</v>
      </c>
      <c r="W36" s="7">
        <f>IF(K36="GESCHLOSSEN",
J36/(G36+I36),
IF(K36="OFFEN",
((H36+M36*F36)-G36-I36)/G36,
""))</f>
        <v>4.6446280991735388E-2</v>
      </c>
    </row>
    <row r="37" spans="1:23" x14ac:dyDescent="0.25">
      <c r="A37" s="9" t="s">
        <v>864</v>
      </c>
      <c r="B37" s="5" t="s">
        <v>32</v>
      </c>
      <c r="C37" s="5" t="s">
        <v>865</v>
      </c>
      <c r="D37" s="5">
        <f>SUMIFS(Daten!I:I,Daten!H:H,C37,Daten!E:E,"BUY")</f>
        <v>9.0826519999999995</v>
      </c>
      <c r="E37" s="5">
        <f>-SUMIFS(Daten!I:I,Daten!H:H,C37,Daten!E:E,"SELL")</f>
        <v>9.0826519999999995</v>
      </c>
      <c r="F37" s="5">
        <f>D37-E37</f>
        <v>0</v>
      </c>
      <c r="G37" s="6">
        <f>-SUMIFS(Daten!K:K,Daten!H:H,C37,Daten!E:E,"BUY")</f>
        <v>200</v>
      </c>
      <c r="H37" s="6">
        <f>SUMIFS(Daten!K:K,Daten!H:H,C37,Daten!E:E,"SELL")</f>
        <v>202.27</v>
      </c>
      <c r="I37" s="6">
        <f>SUMIFS(Daten!L:L,Daten!H:H,C37)*-1</f>
        <v>2</v>
      </c>
      <c r="J37" s="6">
        <f>H37-G37-I37</f>
        <v>0.27000000000001023</v>
      </c>
      <c r="K37" s="5" t="str">
        <f>IF(F37&gt;0,"OFFEN","GESCHLOSSEN")</f>
        <v>GESCHLOSSEN</v>
      </c>
      <c r="L37">
        <v>0</v>
      </c>
      <c r="M37">
        <v>0</v>
      </c>
      <c r="N37" s="21">
        <f>IF(K37="GESCHLOSSEN",
0,
IF(K37="OFFEN",
((M37*F37)-(L37*F37)),
""))</f>
        <v>0</v>
      </c>
      <c r="O37" s="6">
        <f>IF(F37&gt;0,F37*M37,0)</f>
        <v>0</v>
      </c>
      <c r="P37" s="6">
        <f>IF(F37&gt;0,F37*L37,0)</f>
        <v>0</v>
      </c>
      <c r="Q37" s="7">
        <f>IF(K37="GESCHLOSSEN",
0,
IF(K37="OFFEN",
(N37/(L37*F37))))</f>
        <v>0</v>
      </c>
      <c r="R37" s="6">
        <f>IF(K37="GESCHLOSSEN",
H37-G37-I37 + SUMIFS(Daten!K:K,Daten!H:H,C37,Daten!E:E,"DIVIDEND"),
IF(K37="OFFEN",
IF(E37=0,
0,
H37+SUMIFS(Daten!K:K,Daten!H:H,C37,Daten!E:E,"DIVIDEND")-(G37-(F37*L37))-I37
),
""))</f>
        <v>0.27000000000001023</v>
      </c>
      <c r="S37" s="6">
        <f>IF(E37=0,
0,
(G37-(F37*L37))+I37
)</f>
        <v>202</v>
      </c>
      <c r="T37" s="26">
        <f>COUNTIFS(Daten!H:H,C37,Daten!E:E,"BUY",Daten!L:L,"&lt;0")</f>
        <v>1</v>
      </c>
      <c r="U37" s="26">
        <f>COUNTIFS(Daten!H:H,C37,Daten!E:E,"SELL",Daten!L:L,"&lt;0")</f>
        <v>1</v>
      </c>
      <c r="V37" s="7">
        <f>IF(S37&gt;0,R37/S37,0)</f>
        <v>1.3366336633663873E-3</v>
      </c>
      <c r="W37" s="7">
        <f>IF(K37="GESCHLOSSEN",
J37/(G37+I37),
IF(K37="OFFEN",
((H37+M37*F37)-G37-I37)/G37,
""))</f>
        <v>1.3366336633663873E-3</v>
      </c>
    </row>
    <row r="38" spans="1:23" x14ac:dyDescent="0.25">
      <c r="A38" s="9" t="s">
        <v>205</v>
      </c>
      <c r="B38" s="5" t="s">
        <v>32</v>
      </c>
      <c r="C38" s="5" t="s">
        <v>206</v>
      </c>
      <c r="D38" s="5">
        <f>SUMIFS(Daten!I:I,Daten!H:H,C38,Daten!E:E,"BUY")</f>
        <v>99.269513000000003</v>
      </c>
      <c r="E38" s="5">
        <f>-SUMIFS(Daten!I:I,Daten!H:H,C38,Daten!E:E,"SELL")</f>
        <v>99.269513000000003</v>
      </c>
      <c r="F38" s="5">
        <f>D38-E38</f>
        <v>0</v>
      </c>
      <c r="G38" s="6">
        <f>-SUMIFS(Daten!K:K,Daten!H:H,C38,Daten!E:E,"BUY")</f>
        <v>268</v>
      </c>
      <c r="H38" s="6">
        <f>SUMIFS(Daten!K:K,Daten!H:H,C38,Daten!E:E,"SELL")</f>
        <v>279.45</v>
      </c>
      <c r="I38" s="6">
        <f>SUMIFS(Daten!L:L,Daten!H:H,C38)*-1</f>
        <v>5</v>
      </c>
      <c r="J38" s="6">
        <f>H38-G38-I38</f>
        <v>6.4499999999999886</v>
      </c>
      <c r="K38" s="5" t="str">
        <f>IF(F38&gt;0,"OFFEN","GESCHLOSSEN")</f>
        <v>GESCHLOSSEN</v>
      </c>
      <c r="L38">
        <v>0</v>
      </c>
      <c r="M38">
        <v>0</v>
      </c>
      <c r="N38" s="21">
        <f>IF(K38="GESCHLOSSEN",
0,
IF(K38="OFFEN",
((M38*F38)-(L38*F38)),
""))</f>
        <v>0</v>
      </c>
      <c r="O38" s="6">
        <f>IF(F38&gt;0,F38*M38,0)</f>
        <v>0</v>
      </c>
      <c r="P38" s="6">
        <f>IF(F38&gt;0,F38*L38,0)</f>
        <v>0</v>
      </c>
      <c r="Q38" s="7">
        <f>IF(K38="GESCHLOSSEN",
0,
IF(K38="OFFEN",
(N38/(L38*F38))))</f>
        <v>0</v>
      </c>
      <c r="R38" s="6">
        <f>IF(K38="GESCHLOSSEN",
H38-G38-I38 + SUMIFS(Daten!K:K,Daten!H:H,C38,Daten!E:E,"DIVIDEND"),
IF(K38="OFFEN",
IF(E38=0,
0,
H38+SUMIFS(Daten!K:K,Daten!H:H,C38,Daten!E:E,"DIVIDEND")-(G38-(F38*L38))-I38
),
""))</f>
        <v>6.4499999999999886</v>
      </c>
      <c r="S38" s="6">
        <f>IF(E38=0,
0,
(G38-(F38*L38))+I38
)</f>
        <v>273</v>
      </c>
      <c r="T38" s="26">
        <f>COUNTIFS(Daten!H:H,C38,Daten!E:E,"BUY",Daten!L:L,"&lt;0")</f>
        <v>4</v>
      </c>
      <c r="U38" s="26">
        <f>COUNTIFS(Daten!H:H,C38,Daten!E:E,"SELL",Daten!L:L,"&lt;0")</f>
        <v>1</v>
      </c>
      <c r="V38" s="7">
        <f>IF(S38&gt;0,R38/S38,0)</f>
        <v>2.3626373626373584E-2</v>
      </c>
      <c r="W38" s="7">
        <f>IF(K38="GESCHLOSSEN",
J38/(G38+I38),
IF(K38="OFFEN",
((H38+M38*F38)-G38-I38)/G38,
""))</f>
        <v>2.3626373626373584E-2</v>
      </c>
    </row>
    <row r="39" spans="1:23" x14ac:dyDescent="0.25">
      <c r="A39" s="9" t="s">
        <v>118</v>
      </c>
      <c r="B39" s="5" t="s">
        <v>64</v>
      </c>
      <c r="C39" s="5" t="s">
        <v>119</v>
      </c>
      <c r="D39" s="5">
        <f>SUMIFS(Daten!I:I,Daten!H:H,C39,Daten!E:E,"BUY")</f>
        <v>80.193626999999992</v>
      </c>
      <c r="E39" s="5">
        <f>-SUMIFS(Daten!I:I,Daten!H:H,C39,Daten!E:E,"SELL")</f>
        <v>0</v>
      </c>
      <c r="F39" s="5">
        <f>D39-E39</f>
        <v>80.193626999999992</v>
      </c>
      <c r="G39" s="6">
        <f>-SUMIFS(Daten!K:K,Daten!H:H,C39,Daten!E:E,"BUY")</f>
        <v>112.99</v>
      </c>
      <c r="H39" s="6">
        <f>SUMIFS(Daten!K:K,Daten!H:H,C39,Daten!E:E,"SELL")</f>
        <v>0</v>
      </c>
      <c r="I39" s="6">
        <f>SUMIFS(Daten!L:L,Daten!H:H,C39)*-1</f>
        <v>5</v>
      </c>
      <c r="J39" s="6">
        <f>H39-G39-I39</f>
        <v>-117.99</v>
      </c>
      <c r="K39" s="5" t="str">
        <f>IF(F39&gt;0,"OFFEN","GESCHLOSSEN")</f>
        <v>OFFEN</v>
      </c>
      <c r="L39">
        <v>1.4710000000000001</v>
      </c>
      <c r="M39">
        <v>0.97503499999999999</v>
      </c>
      <c r="N39" s="21">
        <f>IF(K39="GESCHLOSSEN",
0,
IF(K39="OFFEN",
((M39*F39)-(L39*F39)),
""))</f>
        <v>-39.773232215055003</v>
      </c>
      <c r="O39" s="6">
        <f>IF(F39&gt;0,F39*M39,0)</f>
        <v>78.191593101944989</v>
      </c>
      <c r="P39" s="6">
        <f>IF(F39&gt;0,F39*L39,0)</f>
        <v>117.96482531699999</v>
      </c>
      <c r="Q39" s="7">
        <f>IF(K39="GESCHLOSSEN",
0,
IF(K39="OFFEN",
(N39/(L39*F39))))</f>
        <v>-0.33716179469748475</v>
      </c>
      <c r="R39" s="6">
        <f>IF(K39="GESCHLOSSEN",
H39-G39-I39 + SUMIFS(Daten!K:K,Daten!H:H,C39,Daten!E:E,"DIVIDEND"),
IF(K39="OFFEN",
IF(E39=0,
0,
H39+SUMIFS(Daten!K:K,Daten!H:H,C39,Daten!E:E,"DIVIDEND")-(G39-(F39*L39))-I39
),
""))</f>
        <v>0</v>
      </c>
      <c r="S39" s="6">
        <f>IF(E39=0,
0,
(G39-(F39*L39))+I39
)</f>
        <v>0</v>
      </c>
      <c r="T39" s="26">
        <f>COUNTIFS(Daten!H:H,C39,Daten!E:E,"BUY",Daten!L:L,"&lt;0")</f>
        <v>5</v>
      </c>
      <c r="U39" s="26">
        <f>COUNTIFS(Daten!H:H,C39,Daten!E:E,"SELL",Daten!L:L,"&lt;0")</f>
        <v>0</v>
      </c>
      <c r="V39" s="7">
        <f>IF(S39&gt;0,R39/S39,0)</f>
        <v>0</v>
      </c>
      <c r="W39" s="7">
        <f>IF(K39="GESCHLOSSEN",
J39/(G39+I39),
IF(K39="OFFEN",
((H39+M39*F39)-G39-I39)/G39,
""))</f>
        <v>-0.35222946188206927</v>
      </c>
    </row>
    <row r="40" spans="1:23" x14ac:dyDescent="0.25">
      <c r="A40" s="9" t="s">
        <v>355</v>
      </c>
      <c r="B40" s="5" t="s">
        <v>64</v>
      </c>
      <c r="C40" s="5" t="s">
        <v>356</v>
      </c>
      <c r="D40" s="5">
        <f>SUMIFS(Daten!I:I,Daten!H:H,C40,Daten!E:E,"BUY")</f>
        <v>223.93145699999999</v>
      </c>
      <c r="E40" s="5">
        <f>-SUMIFS(Daten!I:I,Daten!H:H,C40,Daten!E:E,"SELL")</f>
        <v>0</v>
      </c>
      <c r="F40" s="5">
        <f>D40-E40</f>
        <v>223.93145699999999</v>
      </c>
      <c r="G40" s="6">
        <f>-SUMIFS(Daten!K:K,Daten!H:H,C40,Daten!E:E,"BUY")</f>
        <v>23</v>
      </c>
      <c r="H40" s="6">
        <f>SUMIFS(Daten!K:K,Daten!H:H,C40,Daten!E:E,"SELL")</f>
        <v>0</v>
      </c>
      <c r="I40" s="6">
        <f>SUMIFS(Daten!L:L,Daten!H:H,C40)*-1</f>
        <v>1</v>
      </c>
      <c r="J40" s="6">
        <f>H40-G40-I40</f>
        <v>-24</v>
      </c>
      <c r="K40" s="5" t="str">
        <f>IF(F40&gt;0,"OFFEN","GESCHLOSSEN")</f>
        <v>OFFEN</v>
      </c>
      <c r="L40">
        <v>0.1072</v>
      </c>
      <c r="M40">
        <v>8.8562000000000002E-2</v>
      </c>
      <c r="N40" s="21">
        <f>IF(K40="GESCHLOSSEN",
0,
IF(K40="OFFEN",
((M40*F40)-(L40*F40)),
""))</f>
        <v>-4.1736344955659987</v>
      </c>
      <c r="O40" s="6">
        <f>IF(F40&gt;0,F40*M40,0)</f>
        <v>19.831817694834001</v>
      </c>
      <c r="P40" s="6">
        <f>IF(F40&gt;0,F40*L40,0)</f>
        <v>24.0054521904</v>
      </c>
      <c r="Q40" s="7">
        <f>IF(K40="GESCHLOSSEN",
0,
IF(K40="OFFEN",
(N40/(L40*F40))))</f>
        <v>-0.17386194029850741</v>
      </c>
      <c r="R40" s="6">
        <f>IF(K40="GESCHLOSSEN",
H40-G40-I40 + SUMIFS(Daten!K:K,Daten!H:H,C40,Daten!E:E,"DIVIDEND"),
IF(K40="OFFEN",
IF(E40=0,
0,
H40+SUMIFS(Daten!K:K,Daten!H:H,C40,Daten!E:E,"DIVIDEND")-(G40-(F40*L40))-I40
),
""))</f>
        <v>0</v>
      </c>
      <c r="S40" s="6">
        <f>IF(E40=0,
0,
(G40-(F40*L40))+I40
)</f>
        <v>0</v>
      </c>
      <c r="T40" s="26">
        <f>COUNTIFS(Daten!H:H,C40,Daten!E:E,"BUY",Daten!L:L,"&lt;0")</f>
        <v>1</v>
      </c>
      <c r="U40" s="26">
        <f>COUNTIFS(Daten!H:H,C40,Daten!E:E,"SELL",Daten!L:L,"&lt;0")</f>
        <v>0</v>
      </c>
      <c r="V40" s="7">
        <f>IF(S40&gt;0,R40/S40,0)</f>
        <v>0</v>
      </c>
      <c r="W40" s="7">
        <f>IF(K40="GESCHLOSSEN",
J40/(G40+I40),
IF(K40="OFFEN",
((H40+M40*F40)-G40-I40)/G40,
""))</f>
        <v>-0.18122531761591301</v>
      </c>
    </row>
    <row r="41" spans="1:23" x14ac:dyDescent="0.25">
      <c r="A41" s="9" t="s">
        <v>955</v>
      </c>
      <c r="B41" s="5" t="s">
        <v>464</v>
      </c>
      <c r="C41" s="5" t="s">
        <v>956</v>
      </c>
      <c r="D41" s="5">
        <f>SUMIFS(Daten!I:I,Daten!H:H,C41,Daten!E:E,"BUY")</f>
        <v>14.728630000000001</v>
      </c>
      <c r="E41" s="5">
        <f>-SUMIFS(Daten!I:I,Daten!H:H,C41,Daten!E:E,"SELL")</f>
        <v>0</v>
      </c>
      <c r="F41" s="5">
        <f>D41-E41</f>
        <v>14.728630000000001</v>
      </c>
      <c r="G41" s="6">
        <f>-SUMIFS(Daten!K:K,Daten!H:H,C41,Daten!E:E,"BUY")</f>
        <v>399.95</v>
      </c>
      <c r="H41" s="6">
        <f>SUMIFS(Daten!K:K,Daten!H:H,C41,Daten!E:E,"SELL")</f>
        <v>0</v>
      </c>
      <c r="I41" s="6">
        <f>SUMIFS(Daten!L:L,Daten!H:H,C41)*-1</f>
        <v>3</v>
      </c>
      <c r="J41" s="6">
        <f>H41-G41-I41</f>
        <v>-402.95</v>
      </c>
      <c r="K41" s="5" t="str">
        <f>IF(F41&gt;0,"OFFEN","GESCHLOSSEN")</f>
        <v>OFFEN</v>
      </c>
      <c r="L41">
        <v>27.36</v>
      </c>
      <c r="M41">
        <v>25.545000000000002</v>
      </c>
      <c r="N41" s="21">
        <f>IF(K41="GESCHLOSSEN",
0,
IF(K41="OFFEN",
((M41*F41)-(L41*F41)),
""))</f>
        <v>-26.732463450000012</v>
      </c>
      <c r="O41" s="6">
        <f>IF(F41&gt;0,F41*M41,0)</f>
        <v>376.24285335000002</v>
      </c>
      <c r="P41" s="6">
        <f>IF(F41&gt;0,F41*L41,0)</f>
        <v>402.97531680000003</v>
      </c>
      <c r="Q41" s="7">
        <f>IF(K41="GESCHLOSSEN",
0,
IF(K41="OFFEN",
(N41/(L41*F41))))</f>
        <v>-6.633771929824564E-2</v>
      </c>
      <c r="R41" s="6">
        <f>IF(K41="GESCHLOSSEN",
H41-G41-I41 + SUMIFS(Daten!K:K,Daten!H:H,C41,Daten!E:E,"DIVIDEND"),
IF(K41="OFFEN",
IF(E41=0,
0,
H41+SUMIFS(Daten!K:K,Daten!H:H,C41,Daten!E:E,"DIVIDEND")-(G41-(F41*L41))-I41
),
""))</f>
        <v>0</v>
      </c>
      <c r="S41" s="6">
        <f>IF(E41=0,
0,
(G41-(F41*L41))+I41
)</f>
        <v>0</v>
      </c>
      <c r="T41" s="26">
        <f>COUNTIFS(Daten!H:H,C41,Daten!E:E,"BUY",Daten!L:L,"&lt;0")</f>
        <v>3</v>
      </c>
      <c r="U41" s="26">
        <f>COUNTIFS(Daten!H:H,C41,Daten!E:E,"SELL",Daten!L:L,"&lt;0")</f>
        <v>0</v>
      </c>
      <c r="V41" s="7">
        <f>IF(S41&gt;0,R41/S41,0)</f>
        <v>0</v>
      </c>
      <c r="W41" s="7">
        <f>IF(K41="GESCHLOSSEN",
J41/(G41+I41),
IF(K41="OFFEN",
((H41+M41*F41)-G41-I41)/G41,
""))</f>
        <v>-6.6776213651706384E-2</v>
      </c>
    </row>
    <row r="42" spans="1:23" x14ac:dyDescent="0.25">
      <c r="A42" s="9" t="s">
        <v>348</v>
      </c>
      <c r="B42" s="5" t="s">
        <v>32</v>
      </c>
      <c r="C42" s="5" t="s">
        <v>349</v>
      </c>
      <c r="D42" s="5">
        <f>SUMIFS(Daten!I:I,Daten!H:H,C42,Daten!E:E,"BUY")</f>
        <v>28.343948999999999</v>
      </c>
      <c r="E42" s="5">
        <f>-SUMIFS(Daten!I:I,Daten!H:H,C42,Daten!E:E,"SELL")</f>
        <v>28.343948999999999</v>
      </c>
      <c r="F42" s="5">
        <f>D42-E42</f>
        <v>0</v>
      </c>
      <c r="G42" s="6">
        <f>-SUMIFS(Daten!K:K,Daten!H:H,C42,Daten!E:E,"BUY")</f>
        <v>89</v>
      </c>
      <c r="H42" s="6">
        <f>SUMIFS(Daten!K:K,Daten!H:H,C42,Daten!E:E,"SELL")</f>
        <v>108.83999999999999</v>
      </c>
      <c r="I42" s="6">
        <f>SUMIFS(Daten!L:L,Daten!H:H,C42)*-1</f>
        <v>2</v>
      </c>
      <c r="J42" s="6">
        <f>H42-G42-I42</f>
        <v>17.839999999999989</v>
      </c>
      <c r="K42" s="5" t="str">
        <f>IF(F42&gt;0,"OFFEN","GESCHLOSSEN")</f>
        <v>GESCHLOSSEN</v>
      </c>
      <c r="L42">
        <v>0</v>
      </c>
      <c r="M42">
        <v>0</v>
      </c>
      <c r="N42" s="21">
        <f>IF(K42="GESCHLOSSEN",
0,
IF(K42="OFFEN",
((M42*F42)-(L42*F42)),
""))</f>
        <v>0</v>
      </c>
      <c r="O42" s="6">
        <f>IF(F42&gt;0,F42*M42,0)</f>
        <v>0</v>
      </c>
      <c r="P42" s="6">
        <f>IF(F42&gt;0,F42*L42,0)</f>
        <v>0</v>
      </c>
      <c r="Q42" s="7">
        <f>IF(K42="GESCHLOSSEN",
0,
IF(K42="OFFEN",
(N42/(L42*F42))))</f>
        <v>0</v>
      </c>
      <c r="R42" s="6">
        <f>IF(K42="GESCHLOSSEN",
H42-G42-I42 + SUMIFS(Daten!K:K,Daten!H:H,C42,Daten!E:E,"DIVIDEND"),
IF(K42="OFFEN",
IF(E42=0,
0,
H42+SUMIFS(Daten!K:K,Daten!H:H,C42,Daten!E:E,"DIVIDEND")-(G42-(F42*L42))-I42
),
""))</f>
        <v>17.839999999999989</v>
      </c>
      <c r="S42" s="6">
        <f>IF(E42=0,
0,
(G42-(F42*L42))+I42
)</f>
        <v>91</v>
      </c>
      <c r="T42" s="26">
        <f>COUNTIFS(Daten!H:H,C42,Daten!E:E,"BUY",Daten!L:L,"&lt;0")</f>
        <v>1</v>
      </c>
      <c r="U42" s="26">
        <f>COUNTIFS(Daten!H:H,C42,Daten!E:E,"SELL",Daten!L:L,"&lt;0")</f>
        <v>1</v>
      </c>
      <c r="V42" s="7">
        <f>IF(S42&gt;0,R42/S42,0)</f>
        <v>0.19604395604395591</v>
      </c>
      <c r="W42" s="7">
        <f>IF(K42="GESCHLOSSEN",
J42/(G42+I42),
IF(K42="OFFEN",
((H42+M42*F42)-G42-I42)/G42,
""))</f>
        <v>0.19604395604395591</v>
      </c>
    </row>
    <row r="43" spans="1:23" x14ac:dyDescent="0.25">
      <c r="A43" s="9" t="s">
        <v>328</v>
      </c>
      <c r="B43" s="5" t="s">
        <v>32</v>
      </c>
      <c r="C43" s="5" t="s">
        <v>329</v>
      </c>
      <c r="D43" s="5">
        <f>SUMIFS(Daten!I:I,Daten!H:H,C43,Daten!E:E,"BUY")</f>
        <v>14.265129</v>
      </c>
      <c r="E43" s="5">
        <f>-SUMIFS(Daten!I:I,Daten!H:H,C43,Daten!E:E,"SELL")</f>
        <v>14.265129</v>
      </c>
      <c r="F43" s="5">
        <f>D43-E43</f>
        <v>0</v>
      </c>
      <c r="G43" s="6">
        <f>-SUMIFS(Daten!K:K,Daten!H:H,C43,Daten!E:E,"BUY")</f>
        <v>98.71</v>
      </c>
      <c r="H43" s="6">
        <f>SUMIFS(Daten!K:K,Daten!H:H,C43,Daten!E:E,"SELL")</f>
        <v>145.5</v>
      </c>
      <c r="I43" s="6">
        <f>SUMIFS(Daten!L:L,Daten!H:H,C43)*-1</f>
        <v>2</v>
      </c>
      <c r="J43" s="6">
        <f>H43-G43-I43</f>
        <v>44.790000000000006</v>
      </c>
      <c r="K43" s="5" t="str">
        <f>IF(F43&gt;0,"OFFEN","GESCHLOSSEN")</f>
        <v>GESCHLOSSEN</v>
      </c>
      <c r="L43">
        <v>0</v>
      </c>
      <c r="M43">
        <v>0</v>
      </c>
      <c r="N43" s="21">
        <f>IF(K43="GESCHLOSSEN",
0,
IF(K43="OFFEN",
((M43*F43)-(L43*F43)),
""))</f>
        <v>0</v>
      </c>
      <c r="O43" s="6">
        <f>IF(F43&gt;0,F43*M43,0)</f>
        <v>0</v>
      </c>
      <c r="P43" s="6">
        <f>IF(F43&gt;0,F43*L43,0)</f>
        <v>0</v>
      </c>
      <c r="Q43" s="7">
        <f>IF(K43="GESCHLOSSEN",
0,
IF(K43="OFFEN",
(N43/(L43*F43))))</f>
        <v>0</v>
      </c>
      <c r="R43" s="6">
        <f>IF(K43="GESCHLOSSEN",
H43-G43-I43 + SUMIFS(Daten!K:K,Daten!H:H,C43,Daten!E:E,"DIVIDEND"),
IF(K43="OFFEN",
IF(E43=0,
0,
H43+SUMIFS(Daten!K:K,Daten!H:H,C43,Daten!E:E,"DIVIDEND")-(G43-(F43*L43))-I43
),
""))</f>
        <v>44.790000000000006</v>
      </c>
      <c r="S43" s="6">
        <f>IF(E43=0,
0,
(G43-(F43*L43))+I43
)</f>
        <v>100.71</v>
      </c>
      <c r="T43" s="26">
        <f>COUNTIFS(Daten!H:H,C43,Daten!E:E,"BUY",Daten!L:L,"&lt;0")</f>
        <v>1</v>
      </c>
      <c r="U43" s="26">
        <f>COUNTIFS(Daten!H:H,C43,Daten!E:E,"SELL",Daten!L:L,"&lt;0")</f>
        <v>1</v>
      </c>
      <c r="V43" s="7">
        <f>IF(S43&gt;0,R43/S43,0)</f>
        <v>0.4447423294608282</v>
      </c>
      <c r="W43" s="7">
        <f>IF(K43="GESCHLOSSEN",
J43/(G43+I43),
IF(K43="OFFEN",
((H43+M43*F43)-G43-I43)/G43,
""))</f>
        <v>0.4447423294608282</v>
      </c>
    </row>
    <row r="44" spans="1:23" x14ac:dyDescent="0.25">
      <c r="A44" s="9" t="s">
        <v>114</v>
      </c>
      <c r="B44" s="5" t="s">
        <v>64</v>
      </c>
      <c r="C44" s="5" t="s">
        <v>115</v>
      </c>
      <c r="D44" s="5">
        <f>SUMIFS(Daten!I:I,Daten!H:H,C44,Daten!E:E,"BUY")</f>
        <v>24.9</v>
      </c>
      <c r="E44" s="5">
        <f>-SUMIFS(Daten!I:I,Daten!H:H,C44,Daten!E:E,"SELL")</f>
        <v>0</v>
      </c>
      <c r="F44" s="5">
        <f>D44-E44</f>
        <v>24.9</v>
      </c>
      <c r="G44" s="6">
        <f>-SUMIFS(Daten!K:K,Daten!H:H,C44,Daten!E:E,"BUY")</f>
        <v>55.97</v>
      </c>
      <c r="H44" s="6">
        <f>SUMIFS(Daten!K:K,Daten!H:H,C44,Daten!E:E,"SELL")</f>
        <v>0</v>
      </c>
      <c r="I44" s="6">
        <f>SUMIFS(Daten!L:L,Daten!H:H,C44)*-1</f>
        <v>3</v>
      </c>
      <c r="J44" s="6">
        <f>H44-G44-I44</f>
        <v>-58.97</v>
      </c>
      <c r="K44" s="5" t="str">
        <f>IF(F44&gt;0,"OFFEN","GESCHLOSSEN")</f>
        <v>OFFEN</v>
      </c>
      <c r="L44">
        <v>2.37</v>
      </c>
      <c r="M44">
        <v>1.54</v>
      </c>
      <c r="N44" s="21">
        <f>IF(K44="GESCHLOSSEN",
0,
IF(K44="OFFEN",
((M44*F44)-(L44*F44)),
""))</f>
        <v>-20.667000000000002</v>
      </c>
      <c r="O44" s="6">
        <f>IF(F44&gt;0,F44*M44,0)</f>
        <v>38.345999999999997</v>
      </c>
      <c r="P44" s="6">
        <f>IF(F44&gt;0,F44*L44,0)</f>
        <v>59.012999999999998</v>
      </c>
      <c r="Q44" s="7">
        <f>IF(K44="GESCHLOSSEN",
0,
IF(K44="OFFEN",
(N44/(L44*F44))))</f>
        <v>-0.35021097046413507</v>
      </c>
      <c r="R44" s="6">
        <f>IF(K44="GESCHLOSSEN",
H44-G44-I44 + SUMIFS(Daten!K:K,Daten!H:H,C44,Daten!E:E,"DIVIDEND"),
IF(K44="OFFEN",
IF(E44=0,
0,
H44+SUMIFS(Daten!K:K,Daten!H:H,C44,Daten!E:E,"DIVIDEND")-(G44-(F44*L44))-I44
),
""))</f>
        <v>0</v>
      </c>
      <c r="S44" s="6">
        <f>IF(E44=0,
0,
(G44-(F44*L44))+I44
)</f>
        <v>0</v>
      </c>
      <c r="T44" s="26">
        <f>COUNTIFS(Daten!H:H,C44,Daten!E:E,"BUY",Daten!L:L,"&lt;0")</f>
        <v>3</v>
      </c>
      <c r="U44" s="26">
        <f>COUNTIFS(Daten!H:H,C44,Daten!E:E,"SELL",Daten!L:L,"&lt;0")</f>
        <v>0</v>
      </c>
      <c r="V44" s="7">
        <f>IF(S44&gt;0,R44/S44,0)</f>
        <v>0</v>
      </c>
      <c r="W44" s="7">
        <f>IF(K44="GESCHLOSSEN",
J44/(G44+I44),
IF(K44="OFFEN",
((H44+M44*F44)-G44-I44)/G44,
""))</f>
        <v>-0.3684831159549759</v>
      </c>
    </row>
    <row r="45" spans="1:23" x14ac:dyDescent="0.25">
      <c r="A45" s="9" t="s">
        <v>89</v>
      </c>
      <c r="B45" s="5" t="s">
        <v>32</v>
      </c>
      <c r="C45" s="5" t="s">
        <v>90</v>
      </c>
      <c r="D45" s="5">
        <f>SUMIFS(Daten!I:I,Daten!H:H,C45,Daten!E:E,"BUY")</f>
        <v>1.1348940000000001</v>
      </c>
      <c r="E45" s="5">
        <f>-SUMIFS(Daten!I:I,Daten!H:H,C45,Daten!E:E,"SELL")</f>
        <v>1.1348940000000001</v>
      </c>
      <c r="F45" s="5">
        <f>D45-E45</f>
        <v>0</v>
      </c>
      <c r="G45" s="6">
        <f>-SUMIFS(Daten!K:K,Daten!H:H,C45,Daten!E:E,"BUY")</f>
        <v>79</v>
      </c>
      <c r="H45" s="6">
        <f>SUMIFS(Daten!K:K,Daten!H:H,C45,Daten!E:E,"SELL")</f>
        <v>88.28</v>
      </c>
      <c r="I45" s="6">
        <f>SUMIFS(Daten!L:L,Daten!H:H,C45)*-1</f>
        <v>2</v>
      </c>
      <c r="J45" s="6">
        <f>H45-G45-I45</f>
        <v>7.2800000000000011</v>
      </c>
      <c r="K45" s="5" t="str">
        <f>IF(F45&gt;0,"OFFEN","GESCHLOSSEN")</f>
        <v>GESCHLOSSEN</v>
      </c>
      <c r="L45">
        <v>0</v>
      </c>
      <c r="M45">
        <v>0</v>
      </c>
      <c r="N45" s="21">
        <f>IF(K45="GESCHLOSSEN",
0,
IF(K45="OFFEN",
((M45*F45)-(L45*F45)),
""))</f>
        <v>0</v>
      </c>
      <c r="O45" s="6">
        <f>IF(F45&gt;0,F45*M45,0)</f>
        <v>0</v>
      </c>
      <c r="P45" s="6">
        <f>IF(F45&gt;0,F45*L45,0)</f>
        <v>0</v>
      </c>
      <c r="Q45" s="7">
        <f>IF(K45="GESCHLOSSEN",
0,
IF(K45="OFFEN",
(N45/(L45*F45))))</f>
        <v>0</v>
      </c>
      <c r="R45" s="6">
        <f>IF(K45="GESCHLOSSEN",
H45-G45-I45 + SUMIFS(Daten!K:K,Daten!H:H,C45,Daten!E:E,"DIVIDEND"),
IF(K45="OFFEN",
IF(E45=0,
0,
H45+SUMIFS(Daten!K:K,Daten!H:H,C45,Daten!E:E,"DIVIDEND")-(G45-(F45*L45))-I45
),
""))</f>
        <v>7.2800000000000011</v>
      </c>
      <c r="S45" s="6">
        <f>IF(E45=0,
0,
(G45-(F45*L45))+I45
)</f>
        <v>81</v>
      </c>
      <c r="T45" s="26">
        <f>COUNTIFS(Daten!H:H,C45,Daten!E:E,"BUY",Daten!L:L,"&lt;0")</f>
        <v>1</v>
      </c>
      <c r="U45" s="26">
        <f>COUNTIFS(Daten!H:H,C45,Daten!E:E,"SELL",Daten!L:L,"&lt;0")</f>
        <v>1</v>
      </c>
      <c r="V45" s="7">
        <f>IF(S45&gt;0,R45/S45,0)</f>
        <v>8.9876543209876564E-2</v>
      </c>
      <c r="W45" s="7">
        <f>IF(K45="GESCHLOSSEN",
J45/(G45+I45),
IF(K45="OFFEN",
((H45+M45*F45)-G45-I45)/G45,
""))</f>
        <v>8.9876543209876564E-2</v>
      </c>
    </row>
    <row r="46" spans="1:23" x14ac:dyDescent="0.25">
      <c r="A46" s="9" t="s">
        <v>101</v>
      </c>
      <c r="B46" s="5" t="s">
        <v>32</v>
      </c>
      <c r="C46" s="5" t="s">
        <v>102</v>
      </c>
      <c r="D46" s="5">
        <f>SUMIFS(Daten!I:I,Daten!H:H,C46,Daten!E:E,"BUY")</f>
        <v>1.3683320000000001</v>
      </c>
      <c r="E46" s="5">
        <f>-SUMIFS(Daten!I:I,Daten!H:H,C46,Daten!E:E,"SELL")</f>
        <v>1.3683320000000001</v>
      </c>
      <c r="F46" s="5">
        <f>D46-E46</f>
        <v>0</v>
      </c>
      <c r="G46" s="6">
        <f>-SUMIFS(Daten!K:K,Daten!H:H,C46,Daten!E:E,"BUY")</f>
        <v>49</v>
      </c>
      <c r="H46" s="6">
        <f>SUMIFS(Daten!K:K,Daten!H:H,C46,Daten!E:E,"SELL")</f>
        <v>53.47</v>
      </c>
      <c r="I46" s="6">
        <f>SUMIFS(Daten!L:L,Daten!H:H,C46)*-1</f>
        <v>2</v>
      </c>
      <c r="J46" s="6">
        <f>H46-G46-I46</f>
        <v>2.4699999999999989</v>
      </c>
      <c r="K46" s="5" t="str">
        <f>IF(F46&gt;0,"OFFEN","GESCHLOSSEN")</f>
        <v>GESCHLOSSEN</v>
      </c>
      <c r="L46">
        <v>0</v>
      </c>
      <c r="M46">
        <v>0</v>
      </c>
      <c r="N46" s="21">
        <f>IF(K46="GESCHLOSSEN",
0,
IF(K46="OFFEN",
((M46*F46)-(L46*F46)),
""))</f>
        <v>0</v>
      </c>
      <c r="O46" s="6">
        <f>IF(F46&gt;0,F46*M46,0)</f>
        <v>0</v>
      </c>
      <c r="P46" s="6">
        <f>IF(F46&gt;0,F46*L46,0)</f>
        <v>0</v>
      </c>
      <c r="Q46" s="7">
        <f>IF(K46="GESCHLOSSEN",
0,
IF(K46="OFFEN",
(N46/(L46*F46))))</f>
        <v>0</v>
      </c>
      <c r="R46" s="6">
        <f>IF(K46="GESCHLOSSEN",
H46-G46-I46 + SUMIFS(Daten!K:K,Daten!H:H,C46,Daten!E:E,"DIVIDEND"),
IF(K46="OFFEN",
IF(E46=0,
0,
H46+SUMIFS(Daten!K:K,Daten!H:H,C46,Daten!E:E,"DIVIDEND")-(G46-(F46*L46))-I46
),
""))</f>
        <v>2.4699999999999989</v>
      </c>
      <c r="S46" s="6">
        <f>IF(E46=0,
0,
(G46-(F46*L46))+I46
)</f>
        <v>51</v>
      </c>
      <c r="T46" s="26">
        <f>COUNTIFS(Daten!H:H,C46,Daten!E:E,"BUY",Daten!L:L,"&lt;0")</f>
        <v>1</v>
      </c>
      <c r="U46" s="26">
        <f>COUNTIFS(Daten!H:H,C46,Daten!E:E,"SELL",Daten!L:L,"&lt;0")</f>
        <v>1</v>
      </c>
      <c r="V46" s="7">
        <f>IF(S46&gt;0,R46/S46,0)</f>
        <v>4.8431372549019587E-2</v>
      </c>
      <c r="W46" s="7">
        <f>IF(K46="GESCHLOSSEN",
J46/(G46+I46),
IF(K46="OFFEN",
((H46+M46*F46)-G46-I46)/G46,
""))</f>
        <v>4.8431372549019587E-2</v>
      </c>
    </row>
    <row r="47" spans="1:23" x14ac:dyDescent="0.25">
      <c r="A47" s="9" t="s">
        <v>994</v>
      </c>
      <c r="B47" s="5" t="s">
        <v>464</v>
      </c>
      <c r="C47" s="5" t="s">
        <v>995</v>
      </c>
      <c r="D47" s="5">
        <f>SUMIFS(Daten!I:I,Daten!H:H,C47,Daten!E:E,"BUY")</f>
        <v>7.237006</v>
      </c>
      <c r="E47" s="5">
        <f>-SUMIFS(Daten!I:I,Daten!H:H,C47,Daten!E:E,"SELL")</f>
        <v>0</v>
      </c>
      <c r="F47" s="5">
        <f>D47-E47</f>
        <v>7.237006</v>
      </c>
      <c r="G47" s="6">
        <f>-SUMIFS(Daten!K:K,Daten!H:H,C47,Daten!E:E,"BUY")</f>
        <v>693.54</v>
      </c>
      <c r="H47" s="6">
        <f>SUMIFS(Daten!K:K,Daten!H:H,C47,Daten!E:E,"SELL")</f>
        <v>0</v>
      </c>
      <c r="I47" s="6">
        <f>SUMIFS(Daten!L:L,Daten!H:H,C47)*-1</f>
        <v>2</v>
      </c>
      <c r="J47" s="6">
        <f>H47-G47-I47</f>
        <v>-695.54</v>
      </c>
      <c r="K47" s="5" t="str">
        <f>IF(F47&gt;0,"OFFEN","GESCHLOSSEN")</f>
        <v>OFFEN</v>
      </c>
      <c r="L47">
        <v>96.11</v>
      </c>
      <c r="M47">
        <v>97.57</v>
      </c>
      <c r="N47" s="21">
        <f>IF(K47="GESCHLOSSEN",
0,
IF(K47="OFFEN",
((M47*F47)-(L47*F47)),
""))</f>
        <v>10.566028759999881</v>
      </c>
      <c r="O47" s="6">
        <f>IF(F47&gt;0,F47*M47,0)</f>
        <v>706.11467541999991</v>
      </c>
      <c r="P47" s="6">
        <f>IF(F47&gt;0,F47*L47,0)</f>
        <v>695.54864666000003</v>
      </c>
      <c r="Q47" s="7">
        <f>IF(K47="GESCHLOSSEN",
0,
IF(K47="OFFEN",
(N47/(L47*F47))))</f>
        <v>1.5190927062740438E-2</v>
      </c>
      <c r="R47" s="6">
        <f>IF(K47="GESCHLOSSEN",
H47-G47-I47 + SUMIFS(Daten!K:K,Daten!H:H,C47,Daten!E:E,"DIVIDEND"),
IF(K47="OFFEN",
IF(E47=0,
0,
H47+SUMIFS(Daten!K:K,Daten!H:H,C47,Daten!E:E,"DIVIDEND")-(G47-(F47*L47))-I47
),
""))</f>
        <v>0</v>
      </c>
      <c r="S47" s="6">
        <f>IF(E47=0,
0,
(G47-(F47*L47))+I47
)</f>
        <v>0</v>
      </c>
      <c r="T47" s="26">
        <f>COUNTIFS(Daten!H:H,C47,Daten!E:E,"BUY",Daten!L:L,"&lt;0")</f>
        <v>2</v>
      </c>
      <c r="U47" s="26">
        <f>COUNTIFS(Daten!H:H,C47,Daten!E:E,"SELL",Daten!L:L,"&lt;0")</f>
        <v>0</v>
      </c>
      <c r="V47" s="7">
        <f>IF(S47&gt;0,R47/S47,0)</f>
        <v>0</v>
      </c>
      <c r="W47" s="7">
        <f>IF(K47="GESCHLOSSEN",
J47/(G47+I47),
IF(K47="OFFEN",
((H47+M47*F47)-G47-I47)/G47,
""))</f>
        <v>1.5247390806586426E-2</v>
      </c>
    </row>
    <row r="48" spans="1:23" x14ac:dyDescent="0.25">
      <c r="A48" s="9" t="s">
        <v>47</v>
      </c>
      <c r="B48" s="5" t="s">
        <v>32</v>
      </c>
      <c r="C48" s="5" t="s">
        <v>48</v>
      </c>
      <c r="D48" s="5">
        <f>SUMIFS(Daten!I:I,Daten!H:H,C48,Daten!E:E,"BUY")</f>
        <v>1.0174080000000001</v>
      </c>
      <c r="E48" s="5">
        <f>-SUMIFS(Daten!I:I,Daten!H:H,C48,Daten!E:E,"SELL")</f>
        <v>1.0174080000000001</v>
      </c>
      <c r="F48" s="5">
        <f>D48-E48</f>
        <v>0</v>
      </c>
      <c r="G48" s="6">
        <f>-SUMIFS(Daten!K:K,Daten!H:H,C48,Daten!E:E,"BUY")</f>
        <v>90</v>
      </c>
      <c r="H48" s="6">
        <f>SUMIFS(Daten!K:K,Daten!H:H,C48,Daten!E:E,"SELL")</f>
        <v>100.19</v>
      </c>
      <c r="I48" s="6">
        <f>SUMIFS(Daten!L:L,Daten!H:H,C48)*-1</f>
        <v>2</v>
      </c>
      <c r="J48" s="6">
        <f>H48-G48-I48</f>
        <v>8.1899999999999977</v>
      </c>
      <c r="K48" s="5" t="str">
        <f>IF(F48&gt;0,"OFFEN","GESCHLOSSEN")</f>
        <v>GESCHLOSSEN</v>
      </c>
      <c r="L48">
        <v>0</v>
      </c>
      <c r="M48">
        <v>0</v>
      </c>
      <c r="N48" s="21">
        <f>IF(K48="GESCHLOSSEN",
0,
IF(K48="OFFEN",
((M48*F48)-(L48*F48)),
""))</f>
        <v>0</v>
      </c>
      <c r="O48" s="6">
        <f>IF(F48&gt;0,F48*M48,0)</f>
        <v>0</v>
      </c>
      <c r="P48" s="6">
        <f>IF(F48&gt;0,F48*L48,0)</f>
        <v>0</v>
      </c>
      <c r="Q48" s="7">
        <f>IF(K48="GESCHLOSSEN",
0,
IF(K48="OFFEN",
(N48/(L48*F48))))</f>
        <v>0</v>
      </c>
      <c r="R48" s="6">
        <f>IF(K48="GESCHLOSSEN",
H48-G48-I48 + SUMIFS(Daten!K:K,Daten!H:H,C48,Daten!E:E,"DIVIDEND"),
IF(K48="OFFEN",
IF(E48=0,
0,
H48+SUMIFS(Daten!K:K,Daten!H:H,C48,Daten!E:E,"DIVIDEND")-(G48-(F48*L48))-I48
),
""))</f>
        <v>8.1899999999999977</v>
      </c>
      <c r="S48" s="6">
        <f>IF(E48=0,
0,
(G48-(F48*L48))+I48
)</f>
        <v>92</v>
      </c>
      <c r="T48" s="26">
        <f>COUNTIFS(Daten!H:H,C48,Daten!E:E,"BUY",Daten!L:L,"&lt;0")</f>
        <v>1</v>
      </c>
      <c r="U48" s="26">
        <f>COUNTIFS(Daten!H:H,C48,Daten!E:E,"SELL",Daten!L:L,"&lt;0")</f>
        <v>1</v>
      </c>
      <c r="V48" s="7">
        <f>IF(S48&gt;0,R48/S48,0)</f>
        <v>8.9021739130434763E-2</v>
      </c>
      <c r="W48" s="7">
        <f>IF(K48="GESCHLOSSEN",
J48/(G48+I48),
IF(K48="OFFEN",
((H48+M48*F48)-G48-I48)/G48,
""))</f>
        <v>8.9021739130434763E-2</v>
      </c>
    </row>
    <row r="49" spans="1:23" x14ac:dyDescent="0.25">
      <c r="A49" s="9" t="s">
        <v>123</v>
      </c>
      <c r="B49" s="5" t="s">
        <v>32</v>
      </c>
      <c r="C49" s="5" t="s">
        <v>124</v>
      </c>
      <c r="D49" s="5">
        <f>SUMIFS(Daten!I:I,Daten!H:H,C49,Daten!E:E,"BUY")</f>
        <v>2</v>
      </c>
      <c r="E49" s="5">
        <f>-SUMIFS(Daten!I:I,Daten!H:H,C49,Daten!E:E,"SELL")</f>
        <v>2</v>
      </c>
      <c r="F49" s="5">
        <f>D49-E49</f>
        <v>0</v>
      </c>
      <c r="G49" s="6">
        <f>-SUMIFS(Daten!K:K,Daten!H:H,C49,Daten!E:E,"BUY")</f>
        <v>80</v>
      </c>
      <c r="H49" s="6">
        <f>SUMIFS(Daten!K:K,Daten!H:H,C49,Daten!E:E,"SELL")</f>
        <v>92.300000000000011</v>
      </c>
      <c r="I49" s="6">
        <f>SUMIFS(Daten!L:L,Daten!H:H,C49)*-1</f>
        <v>3</v>
      </c>
      <c r="J49" s="6">
        <f>H49-G49-I49</f>
        <v>9.3000000000000114</v>
      </c>
      <c r="K49" s="5" t="str">
        <f>IF(F49&gt;0,"OFFEN","GESCHLOSSEN")</f>
        <v>GESCHLOSSEN</v>
      </c>
      <c r="L49">
        <v>0</v>
      </c>
      <c r="M49">
        <v>0</v>
      </c>
      <c r="N49" s="21">
        <f>IF(K49="GESCHLOSSEN",
0,
IF(K49="OFFEN",
((M49*F49)-(L49*F49)),
""))</f>
        <v>0</v>
      </c>
      <c r="O49" s="6">
        <f>IF(F49&gt;0,F49*M49,0)</f>
        <v>0</v>
      </c>
      <c r="P49" s="6">
        <f>IF(F49&gt;0,F49*L49,0)</f>
        <v>0</v>
      </c>
      <c r="Q49" s="7">
        <f>IF(K49="GESCHLOSSEN",
0,
IF(K49="OFFEN",
(N49/(L49*F49))))</f>
        <v>0</v>
      </c>
      <c r="R49" s="6">
        <f>IF(K49="GESCHLOSSEN",
H49-G49-I49 + SUMIFS(Daten!K:K,Daten!H:H,C49,Daten!E:E,"DIVIDEND"),
IF(K49="OFFEN",
IF(E49=0,
0,
H49+SUMIFS(Daten!K:K,Daten!H:H,C49,Daten!E:E,"DIVIDEND")-(G49-(F49*L49))-I49
),
""))</f>
        <v>9.3000000000000114</v>
      </c>
      <c r="S49" s="6">
        <f>IF(E49=0,
0,
(G49-(F49*L49))+I49
)</f>
        <v>83</v>
      </c>
      <c r="T49" s="26">
        <f>COUNTIFS(Daten!H:H,C49,Daten!E:E,"BUY",Daten!L:L,"&lt;0")</f>
        <v>1</v>
      </c>
      <c r="U49" s="26">
        <f>COUNTIFS(Daten!H:H,C49,Daten!E:E,"SELL",Daten!L:L,"&lt;0")</f>
        <v>2</v>
      </c>
      <c r="V49" s="7">
        <f>IF(S49&gt;0,R49/S49,0)</f>
        <v>0.11204819277108448</v>
      </c>
      <c r="W49" s="7">
        <f>IF(K49="GESCHLOSSEN",
J49/(G49+I49),
IF(K49="OFFEN",
((H49+M49*F49)-G49-I49)/G49,
""))</f>
        <v>0.11204819277108448</v>
      </c>
    </row>
    <row r="50" spans="1:23" x14ac:dyDescent="0.25">
      <c r="A50" s="9" t="s">
        <v>65</v>
      </c>
      <c r="B50" s="5" t="s">
        <v>64</v>
      </c>
      <c r="C50" s="5" t="s">
        <v>66</v>
      </c>
      <c r="D50" s="5">
        <f>SUMIFS(Daten!I:I,Daten!H:H,C50,Daten!E:E,"BUY")</f>
        <v>12.108418</v>
      </c>
      <c r="E50" s="5">
        <f>-SUMIFS(Daten!I:I,Daten!H:H,C50,Daten!E:E,"SELL")</f>
        <v>9.1084180000000003</v>
      </c>
      <c r="F50" s="5">
        <f>D50-E50</f>
        <v>3</v>
      </c>
      <c r="G50" s="6">
        <f>-SUMIFS(Daten!K:K,Daten!H:H,C50,Daten!E:E,"BUY")</f>
        <v>1062.25</v>
      </c>
      <c r="H50" s="6">
        <f>SUMIFS(Daten!K:K,Daten!H:H,C50,Daten!E:E,"SELL")</f>
        <v>860.56000000000006</v>
      </c>
      <c r="I50" s="6">
        <f>SUMIFS(Daten!L:L,Daten!H:H,C50)*-1</f>
        <v>11</v>
      </c>
      <c r="J50" s="6">
        <f>H50-G50-I50</f>
        <v>-212.68999999999994</v>
      </c>
      <c r="K50" s="5" t="str">
        <f>IF(F50&gt;0,"OFFEN","GESCHLOSSEN")</f>
        <v>OFFEN</v>
      </c>
      <c r="L50">
        <v>92.65</v>
      </c>
      <c r="M50">
        <v>99.92</v>
      </c>
      <c r="N50" s="21">
        <f>IF(K50="GESCHLOSSEN",
0,
IF(K50="OFFEN",
((M50*F50)-(L50*F50)),
""))</f>
        <v>21.809999999999945</v>
      </c>
      <c r="O50" s="6">
        <f>IF(F50&gt;0,F50*M50,0)</f>
        <v>299.76</v>
      </c>
      <c r="P50" s="6">
        <f>IF(F50&gt;0,F50*L50,0)</f>
        <v>277.95000000000005</v>
      </c>
      <c r="Q50" s="7">
        <f>IF(K50="GESCHLOSSEN",
0,
IF(K50="OFFEN",
(N50/(L50*F50))))</f>
        <v>7.8467350242849218E-2</v>
      </c>
      <c r="R50" s="6">
        <f>IF(K50="GESCHLOSSEN",
H50-G50-I50 + SUMIFS(Daten!K:K,Daten!H:H,C50,Daten!E:E,"DIVIDEND"),
IF(K50="OFFEN",
IF(E50=0,
0,
H50+SUMIFS(Daten!K:K,Daten!H:H,C50,Daten!E:E,"DIVIDEND")-(G50-(F50*L50))-I50
),
""))</f>
        <v>65.260000000000105</v>
      </c>
      <c r="S50" s="6">
        <f>IF(E50=0,
0,
(G50-(F50*L50))+I50
)</f>
        <v>795.3</v>
      </c>
      <c r="T50" s="26">
        <f>COUNTIFS(Daten!H:H,C50,Daten!E:E,"BUY",Daten!L:L,"&lt;0")</f>
        <v>9</v>
      </c>
      <c r="U50" s="26">
        <f>COUNTIFS(Daten!H:H,C50,Daten!E:E,"SELL",Daten!L:L,"&lt;0")</f>
        <v>2</v>
      </c>
      <c r="V50" s="7">
        <f>IF(S50&gt;0,R50/S50,0)</f>
        <v>8.2057085376587582E-2</v>
      </c>
      <c r="W50" s="7">
        <f>IF(K50="GESCHLOSSEN",
J50/(G50+I50),
IF(K50="OFFEN",
((H50+M50*F50)-G50-I50)/G50,
""))</f>
        <v>8.1967521769828355E-2</v>
      </c>
    </row>
    <row r="51" spans="1:23" x14ac:dyDescent="0.25">
      <c r="A51" s="9" t="s">
        <v>948</v>
      </c>
      <c r="B51" s="5" t="s">
        <v>464</v>
      </c>
      <c r="C51" s="5" t="s">
        <v>949</v>
      </c>
      <c r="D51" s="5">
        <f>SUMIFS(Daten!I:I,Daten!H:H,C51,Daten!E:E,"BUY")</f>
        <v>5.9082619999999997</v>
      </c>
      <c r="E51" s="5">
        <f>-SUMIFS(Daten!I:I,Daten!H:H,C51,Daten!E:E,"SELL")</f>
        <v>0</v>
      </c>
      <c r="F51" s="5">
        <f>D51-E51</f>
        <v>5.9082619999999997</v>
      </c>
      <c r="G51" s="6">
        <f>-SUMIFS(Daten!K:K,Daten!H:H,C51,Daten!E:E,"BUY")</f>
        <v>600.06000000000006</v>
      </c>
      <c r="H51" s="6">
        <f>SUMIFS(Daten!K:K,Daten!H:H,C51,Daten!E:E,"SELL")</f>
        <v>0</v>
      </c>
      <c r="I51" s="6">
        <f>SUMIFS(Daten!L:L,Daten!H:H,C51)*-1</f>
        <v>7</v>
      </c>
      <c r="J51" s="6">
        <f>H51-G51-I51</f>
        <v>-607.06000000000006</v>
      </c>
      <c r="K51" s="5" t="str">
        <f>IF(F51&gt;0,"OFFEN","GESCHLOSSEN")</f>
        <v>OFFEN</v>
      </c>
      <c r="L51">
        <v>102.75</v>
      </c>
      <c r="M51">
        <v>69.83</v>
      </c>
      <c r="N51" s="21">
        <f>IF(K51="GESCHLOSSEN",
0,
IF(K51="OFFEN",
((M51*F51)-(L51*F51)),
""))</f>
        <v>-194.49998504000001</v>
      </c>
      <c r="O51" s="6">
        <f>IF(F51&gt;0,F51*M51,0)</f>
        <v>412.57393545999997</v>
      </c>
      <c r="P51" s="6">
        <f>IF(F51&gt;0,F51*L51,0)</f>
        <v>607.07392049999999</v>
      </c>
      <c r="Q51" s="7">
        <f>IF(K51="GESCHLOSSEN",
0,
IF(K51="OFFEN",
(N51/(L51*F51))))</f>
        <v>-0.32038929440389297</v>
      </c>
      <c r="R51" s="6">
        <f>IF(K51="GESCHLOSSEN",
H51-G51-I51 + SUMIFS(Daten!K:K,Daten!H:H,C51,Daten!E:E,"DIVIDEND"),
IF(K51="OFFEN",
IF(E51=0,
0,
H51+SUMIFS(Daten!K:K,Daten!H:H,C51,Daten!E:E,"DIVIDEND")-(G51-(F51*L51))-I51
),
""))</f>
        <v>0</v>
      </c>
      <c r="S51" s="6">
        <f>IF(E51=0,
0,
(G51-(F51*L51))+I51
)</f>
        <v>0</v>
      </c>
      <c r="T51" s="26">
        <f>COUNTIFS(Daten!H:H,C51,Daten!E:E,"BUY",Daten!L:L,"&lt;0")</f>
        <v>7</v>
      </c>
      <c r="U51" s="26">
        <f>COUNTIFS(Daten!H:H,C51,Daten!E:E,"SELL",Daten!L:L,"&lt;0")</f>
        <v>0</v>
      </c>
      <c r="V51" s="7">
        <f>IF(S51&gt;0,R51/S51,0)</f>
        <v>0</v>
      </c>
      <c r="W51" s="7">
        <f>IF(K51="GESCHLOSSEN",
J51/(G51+I51),
IF(K51="OFFEN",
((H51+M51*F51)-G51-I51)/G51,
""))</f>
        <v>-0.32411102979702039</v>
      </c>
    </row>
    <row r="52" spans="1:23" x14ac:dyDescent="0.25">
      <c r="A52" s="9" t="s">
        <v>334</v>
      </c>
      <c r="B52" s="5" t="s">
        <v>32</v>
      </c>
      <c r="C52" s="5" t="s">
        <v>335</v>
      </c>
      <c r="D52" s="5">
        <f>SUMIFS(Daten!I:I,Daten!H:H,C52,Daten!E:E,"BUY")</f>
        <v>16.737109</v>
      </c>
      <c r="E52" s="5">
        <f>-SUMIFS(Daten!I:I,Daten!H:H,C52,Daten!E:E,"SELL")</f>
        <v>16.737109</v>
      </c>
      <c r="F52" s="5">
        <f>D52-E52</f>
        <v>0</v>
      </c>
      <c r="G52" s="6">
        <f>-SUMIFS(Daten!K:K,Daten!H:H,C52,Daten!E:E,"BUY")</f>
        <v>99</v>
      </c>
      <c r="H52" s="6">
        <f>SUMIFS(Daten!K:K,Daten!H:H,C52,Daten!E:E,"SELL")</f>
        <v>108.5</v>
      </c>
      <c r="I52" s="6">
        <f>SUMIFS(Daten!L:L,Daten!H:H,C52)*-1</f>
        <v>3</v>
      </c>
      <c r="J52" s="6">
        <f>H52-G52-I52</f>
        <v>6.5</v>
      </c>
      <c r="K52" s="5" t="str">
        <f>IF(F52&gt;0,"OFFEN","GESCHLOSSEN")</f>
        <v>GESCHLOSSEN</v>
      </c>
      <c r="L52">
        <v>0</v>
      </c>
      <c r="M52">
        <v>0</v>
      </c>
      <c r="N52" s="21">
        <f>IF(K52="GESCHLOSSEN",
0,
IF(K52="OFFEN",
((M52*F52)-(L52*F52)),
""))</f>
        <v>0</v>
      </c>
      <c r="O52" s="6">
        <f>IF(F52&gt;0,F52*M52,0)</f>
        <v>0</v>
      </c>
      <c r="P52" s="6">
        <f>IF(F52&gt;0,F52*L52,0)</f>
        <v>0</v>
      </c>
      <c r="Q52" s="7">
        <f>IF(K52="GESCHLOSSEN",
0,
IF(K52="OFFEN",
(N52/(L52*F52))))</f>
        <v>0</v>
      </c>
      <c r="R52" s="6">
        <f>IF(K52="GESCHLOSSEN",
H52-G52-I52 + SUMIFS(Daten!K:K,Daten!H:H,C52,Daten!E:E,"DIVIDEND"),
IF(K52="OFFEN",
IF(E52=0,
0,
H52+SUMIFS(Daten!K:K,Daten!H:H,C52,Daten!E:E,"DIVIDEND")-(G52-(F52*L52))-I52
),
""))</f>
        <v>6.5</v>
      </c>
      <c r="S52" s="6">
        <f>IF(E52=0,
0,
(G52-(F52*L52))+I52
)</f>
        <v>102</v>
      </c>
      <c r="T52" s="26">
        <f>COUNTIFS(Daten!H:H,C52,Daten!E:E,"BUY",Daten!L:L,"&lt;0")</f>
        <v>1</v>
      </c>
      <c r="U52" s="26">
        <f>COUNTIFS(Daten!H:H,C52,Daten!E:E,"SELL",Daten!L:L,"&lt;0")</f>
        <v>2</v>
      </c>
      <c r="V52" s="7">
        <f>IF(S52&gt;0,R52/S52,0)</f>
        <v>6.3725490196078427E-2</v>
      </c>
      <c r="W52" s="7">
        <f>IF(K52="GESCHLOSSEN",
J52/(G52+I52),
IF(K52="OFFEN",
((H52+M52*F52)-G52-I52)/G52,
""))</f>
        <v>6.3725490196078427E-2</v>
      </c>
    </row>
    <row r="53" spans="1:23" x14ac:dyDescent="0.25">
      <c r="A53" s="9" t="s">
        <v>76</v>
      </c>
      <c r="B53" s="5" t="s">
        <v>32</v>
      </c>
      <c r="C53" s="5" t="s">
        <v>77</v>
      </c>
      <c r="D53" s="5">
        <f>SUMIFS(Daten!I:I,Daten!H:H,C53,Daten!E:E,"BUY")</f>
        <v>2.1868780000000001</v>
      </c>
      <c r="E53" s="5">
        <f>-SUMIFS(Daten!I:I,Daten!H:H,C53,Daten!E:E,"SELL")</f>
        <v>2.1868780000000001</v>
      </c>
      <c r="F53" s="5">
        <f>D53-E53</f>
        <v>0</v>
      </c>
      <c r="G53" s="6">
        <f>-SUMIFS(Daten!K:K,Daten!H:H,C53,Daten!E:E,"BUY")</f>
        <v>21.99</v>
      </c>
      <c r="H53" s="6">
        <f>SUMIFS(Daten!K:K,Daten!H:H,C53,Daten!E:E,"SELL")</f>
        <v>25.43</v>
      </c>
      <c r="I53" s="6">
        <f>SUMIFS(Daten!L:L,Daten!H:H,C53)*-1</f>
        <v>2</v>
      </c>
      <c r="J53" s="6">
        <f>H53-G53-I53</f>
        <v>1.4400000000000013</v>
      </c>
      <c r="K53" s="5" t="str">
        <f>IF(F53&gt;0,"OFFEN","GESCHLOSSEN")</f>
        <v>GESCHLOSSEN</v>
      </c>
      <c r="L53">
        <v>0</v>
      </c>
      <c r="M53">
        <v>0</v>
      </c>
      <c r="N53" s="21">
        <f>IF(K53="GESCHLOSSEN",
0,
IF(K53="OFFEN",
((M53*F53)-(L53*F53)),
""))</f>
        <v>0</v>
      </c>
      <c r="O53" s="6">
        <f>IF(F53&gt;0,F53*M53,0)</f>
        <v>0</v>
      </c>
      <c r="P53" s="6">
        <f>IF(F53&gt;0,F53*L53,0)</f>
        <v>0</v>
      </c>
      <c r="Q53" s="7">
        <f>IF(K53="GESCHLOSSEN",
0,
IF(K53="OFFEN",
(N53/(L53*F53))))</f>
        <v>0</v>
      </c>
      <c r="R53" s="6">
        <f>IF(K53="GESCHLOSSEN",
H53-G53-I53 + SUMIFS(Daten!K:K,Daten!H:H,C53,Daten!E:E,"DIVIDEND"),
IF(K53="OFFEN",
IF(E53=0,
0,
H53+SUMIFS(Daten!K:K,Daten!H:H,C53,Daten!E:E,"DIVIDEND")-(G53-(F53*L53))-I53
),
""))</f>
        <v>1.4400000000000013</v>
      </c>
      <c r="S53" s="6">
        <f>IF(E53=0,
0,
(G53-(F53*L53))+I53
)</f>
        <v>23.99</v>
      </c>
      <c r="T53" s="26">
        <f>COUNTIFS(Daten!H:H,C53,Daten!E:E,"BUY",Daten!L:L,"&lt;0")</f>
        <v>1</v>
      </c>
      <c r="U53" s="26">
        <f>COUNTIFS(Daten!H:H,C53,Daten!E:E,"SELL",Daten!L:L,"&lt;0")</f>
        <v>1</v>
      </c>
      <c r="V53" s="7">
        <f>IF(S53&gt;0,R53/S53,0)</f>
        <v>6.0025010421008808E-2</v>
      </c>
      <c r="W53" s="7">
        <f>IF(K53="GESCHLOSSEN",
J53/(G53+I53),
IF(K53="OFFEN",
((H53+M53*F53)-G53-I53)/G53,
""))</f>
        <v>6.0025010421008808E-2</v>
      </c>
    </row>
    <row r="54" spans="1:23" x14ac:dyDescent="0.25">
      <c r="A54" s="9" t="s">
        <v>226</v>
      </c>
      <c r="B54" s="5" t="s">
        <v>32</v>
      </c>
      <c r="C54" s="5" t="s">
        <v>227</v>
      </c>
      <c r="D54" s="5">
        <f>SUMIFS(Daten!I:I,Daten!H:H,C54,Daten!E:E,"BUY")</f>
        <v>7.211239</v>
      </c>
      <c r="E54" s="5">
        <f>-SUMIFS(Daten!I:I,Daten!H:H,C54,Daten!E:E,"SELL")</f>
        <v>7.211239</v>
      </c>
      <c r="F54" s="5">
        <f>D54-E54</f>
        <v>0</v>
      </c>
      <c r="G54" s="6">
        <f>-SUMIFS(Daten!K:K,Daten!H:H,C54,Daten!E:E,"BUY")</f>
        <v>115.99000000000001</v>
      </c>
      <c r="H54" s="6">
        <f>SUMIFS(Daten!K:K,Daten!H:H,C54,Daten!E:E,"SELL")</f>
        <v>101.14</v>
      </c>
      <c r="I54" s="6">
        <f>SUMIFS(Daten!L:L,Daten!H:H,C54)*-1</f>
        <v>3</v>
      </c>
      <c r="J54" s="6">
        <f>H54-G54-I54</f>
        <v>-17.850000000000009</v>
      </c>
      <c r="K54" s="5" t="str">
        <f>IF(F54&gt;0,"OFFEN","GESCHLOSSEN")</f>
        <v>GESCHLOSSEN</v>
      </c>
      <c r="L54">
        <v>0</v>
      </c>
      <c r="M54">
        <v>0</v>
      </c>
      <c r="N54" s="21">
        <f>IF(K54="GESCHLOSSEN",
0,
IF(K54="OFFEN",
((M54*F54)-(L54*F54)),
""))</f>
        <v>0</v>
      </c>
      <c r="O54" s="6">
        <f>IF(F54&gt;0,F54*M54,0)</f>
        <v>0</v>
      </c>
      <c r="P54" s="6">
        <f>IF(F54&gt;0,F54*L54,0)</f>
        <v>0</v>
      </c>
      <c r="Q54" s="7">
        <f>IF(K54="GESCHLOSSEN",
0,
IF(K54="OFFEN",
(N54/(L54*F54))))</f>
        <v>0</v>
      </c>
      <c r="R54" s="6">
        <f>IF(K54="GESCHLOSSEN",
H54-G54-I54 + SUMIFS(Daten!K:K,Daten!H:H,C54,Daten!E:E,"DIVIDEND"),
IF(K54="OFFEN",
IF(E54=0,
0,
H54+SUMIFS(Daten!K:K,Daten!H:H,C54,Daten!E:E,"DIVIDEND")-(G54-(F54*L54))-I54
),
""))</f>
        <v>-17.850000000000009</v>
      </c>
      <c r="S54" s="6">
        <f>IF(E54=0,
0,
(G54-(F54*L54))+I54
)</f>
        <v>118.99000000000001</v>
      </c>
      <c r="T54" s="26">
        <f>COUNTIFS(Daten!H:H,C54,Daten!E:E,"BUY",Daten!L:L,"&lt;0")</f>
        <v>1</v>
      </c>
      <c r="U54" s="26">
        <f>COUNTIFS(Daten!H:H,C54,Daten!E:E,"SELL",Daten!L:L,"&lt;0")</f>
        <v>2</v>
      </c>
      <c r="V54" s="7">
        <f>IF(S54&gt;0,R54/S54,0)</f>
        <v>-0.15001260610135311</v>
      </c>
      <c r="W54" s="7">
        <f>IF(K54="GESCHLOSSEN",
J54/(G54+I54),
IF(K54="OFFEN",
((H54+M54*F54)-G54-I54)/G54,
""))</f>
        <v>-0.15001260610135311</v>
      </c>
    </row>
    <row r="55" spans="1:23" x14ac:dyDescent="0.25">
      <c r="A55" s="9" t="s">
        <v>515</v>
      </c>
      <c r="B55" s="5" t="s">
        <v>32</v>
      </c>
      <c r="C55" s="5" t="s">
        <v>516</v>
      </c>
      <c r="D55" s="5">
        <f>SUMIFS(Daten!I:I,Daten!H:H,C55,Daten!E:E,"BUY")</f>
        <v>62.851702000000003</v>
      </c>
      <c r="E55" s="5">
        <f>-SUMIFS(Daten!I:I,Daten!H:H,C55,Daten!E:E,"SELL")</f>
        <v>0</v>
      </c>
      <c r="F55" s="5">
        <f>D55-E55</f>
        <v>62.851702000000003</v>
      </c>
      <c r="G55" s="6">
        <f>-SUMIFS(Daten!K:K,Daten!H:H,C55,Daten!E:E,"BUY")</f>
        <v>725.98000000000013</v>
      </c>
      <c r="H55" s="6">
        <f>SUMIFS(Daten!K:K,Daten!H:H,C55,Daten!E:E,"SELL")</f>
        <v>0</v>
      </c>
      <c r="I55" s="6">
        <f>SUMIFS(Daten!L:L,Daten!H:H,C55)*-1</f>
        <v>7</v>
      </c>
      <c r="J55" s="6">
        <f>H55-G55-I55</f>
        <v>-732.98000000000013</v>
      </c>
      <c r="K55" s="5" t="str">
        <f>IF(F55&gt;0,"OFFEN","GESCHLOSSEN")</f>
        <v>OFFEN</v>
      </c>
      <c r="L55">
        <v>11.66</v>
      </c>
      <c r="M55">
        <v>8.6564999999999994</v>
      </c>
      <c r="N55" s="21">
        <f>IF(K55="GESCHLOSSEN",
0,
IF(K55="OFFEN",
((M55*F55)-(L55*F55)),
""))</f>
        <v>-188.7750869570001</v>
      </c>
      <c r="O55" s="6">
        <f>IF(F55&gt;0,F55*M55,0)</f>
        <v>544.07575836299998</v>
      </c>
      <c r="P55" s="6">
        <f>IF(F55&gt;0,F55*L55,0)</f>
        <v>732.85084532000008</v>
      </c>
      <c r="Q55" s="7">
        <f>IF(K55="GESCHLOSSEN",
0,
IF(K55="OFFEN",
(N55/(L55*F55))))</f>
        <v>-0.25759005145797609</v>
      </c>
      <c r="R55" s="6">
        <f>IF(K55="GESCHLOSSEN",
H55-G55-I55 + SUMIFS(Daten!K:K,Daten!H:H,C55,Daten!E:E,"DIVIDEND"),
IF(K55="OFFEN",
IF(E55=0,
0,
H55+SUMIFS(Daten!K:K,Daten!H:H,C55,Daten!E:E,"DIVIDEND")-(G55-(F55*L55))-I55
),
""))</f>
        <v>0</v>
      </c>
      <c r="S55" s="6">
        <f>IF(E55=0,
0,
(G55-(F55*L55))+I55
)</f>
        <v>0</v>
      </c>
      <c r="T55" s="26">
        <f>COUNTIFS(Daten!H:H,C55,Daten!E:E,"BUY",Daten!L:L,"&lt;0")</f>
        <v>7</v>
      </c>
      <c r="U55" s="26">
        <f>COUNTIFS(Daten!H:H,C55,Daten!E:E,"SELL",Daten!L:L,"&lt;0")</f>
        <v>0</v>
      </c>
      <c r="V55" s="7">
        <f>IF(S55&gt;0,R55/S55,0)</f>
        <v>0</v>
      </c>
      <c r="W55" s="7">
        <f>IF(K55="GESCHLOSSEN",
J55/(G55+I55),
IF(K55="OFFEN",
((H55+M55*F55)-G55-I55)/G55,
""))</f>
        <v>-0.2602058481459546</v>
      </c>
    </row>
    <row r="56" spans="1:23" x14ac:dyDescent="0.25">
      <c r="A56" s="9" t="s">
        <v>937</v>
      </c>
      <c r="B56" s="5" t="s">
        <v>32</v>
      </c>
      <c r="C56" s="5" t="s">
        <v>938</v>
      </c>
      <c r="D56" s="5">
        <f>SUMIFS(Daten!I:I,Daten!H:H,C56,Daten!E:E,"BUY")</f>
        <v>63.734862</v>
      </c>
      <c r="E56" s="5">
        <f>-SUMIFS(Daten!I:I,Daten!H:H,C56,Daten!E:E,"SELL")</f>
        <v>63.734862</v>
      </c>
      <c r="F56" s="5">
        <f>D56-E56</f>
        <v>0</v>
      </c>
      <c r="G56" s="6">
        <f>-SUMIFS(Daten!K:K,Daten!H:H,C56,Daten!E:E,"BUY")</f>
        <v>200</v>
      </c>
      <c r="H56" s="6">
        <f>SUMIFS(Daten!K:K,Daten!H:H,C56,Daten!E:E,"SELL")</f>
        <v>281.63</v>
      </c>
      <c r="I56" s="6">
        <f>SUMIFS(Daten!L:L,Daten!H:H,C56)*-1</f>
        <v>3</v>
      </c>
      <c r="J56" s="6">
        <f>H56-G56-I56</f>
        <v>78.63</v>
      </c>
      <c r="K56" s="5" t="str">
        <f>IF(F56&gt;0,"OFFEN","GESCHLOSSEN")</f>
        <v>GESCHLOSSEN</v>
      </c>
      <c r="L56">
        <v>0</v>
      </c>
      <c r="M56">
        <v>0</v>
      </c>
      <c r="N56" s="21">
        <f>IF(K56="GESCHLOSSEN",
0,
IF(K56="OFFEN",
((M56*F56)-(L56*F56)),
""))</f>
        <v>0</v>
      </c>
      <c r="O56" s="6">
        <f>IF(F56&gt;0,F56*M56,0)</f>
        <v>0</v>
      </c>
      <c r="P56" s="6">
        <f>IF(F56&gt;0,F56*L56,0)</f>
        <v>0</v>
      </c>
      <c r="Q56" s="7">
        <f>IF(K56="GESCHLOSSEN",
0,
IF(K56="OFFEN",
(N56/(L56*F56))))</f>
        <v>0</v>
      </c>
      <c r="R56" s="6">
        <f>IF(K56="GESCHLOSSEN",
H56-G56-I56 + SUMIFS(Daten!K:K,Daten!H:H,C56,Daten!E:E,"DIVIDEND"),
IF(K56="OFFEN",
IF(E56=0,
0,
H56+SUMIFS(Daten!K:K,Daten!H:H,C56,Daten!E:E,"DIVIDEND")-(G56-(F56*L56))-I56
),
""))</f>
        <v>78.63</v>
      </c>
      <c r="S56" s="6">
        <f>IF(E56=0,
0,
(G56-(F56*L56))+I56
)</f>
        <v>203</v>
      </c>
      <c r="T56" s="26">
        <f>COUNTIFS(Daten!H:H,C56,Daten!E:E,"BUY",Daten!L:L,"&lt;0")</f>
        <v>1</v>
      </c>
      <c r="U56" s="26">
        <f>COUNTIFS(Daten!H:H,C56,Daten!E:E,"SELL",Daten!L:L,"&lt;0")</f>
        <v>2</v>
      </c>
      <c r="V56" s="7">
        <f>IF(S56&gt;0,R56/S56,0)</f>
        <v>0.38733990147783248</v>
      </c>
      <c r="W56" s="7">
        <f>IF(K56="GESCHLOSSEN",
J56/(G56+I56),
IF(K56="OFFEN",
((H56+M56*F56)-G56-I56)/G56,
""))</f>
        <v>0.38733990147783248</v>
      </c>
    </row>
    <row r="57" spans="1:23" x14ac:dyDescent="0.25">
      <c r="A57" s="9" t="s">
        <v>304</v>
      </c>
      <c r="B57" s="5" t="s">
        <v>32</v>
      </c>
      <c r="C57" s="5" t="s">
        <v>305</v>
      </c>
      <c r="D57" s="5">
        <f>SUMIFS(Daten!I:I,Daten!H:H,C57,Daten!E:E,"BUY")</f>
        <v>50</v>
      </c>
      <c r="E57" s="5">
        <f>-SUMIFS(Daten!I:I,Daten!H:H,C57,Daten!E:E,"SELL")</f>
        <v>50</v>
      </c>
      <c r="F57" s="5">
        <f>D57-E57</f>
        <v>0</v>
      </c>
      <c r="G57" s="6">
        <f>-SUMIFS(Daten!K:K,Daten!H:H,C57,Daten!E:E,"BUY")</f>
        <v>17.8</v>
      </c>
      <c r="H57" s="6">
        <f>SUMIFS(Daten!K:K,Daten!H:H,C57,Daten!E:E,"SELL")</f>
        <v>21.1</v>
      </c>
      <c r="I57" s="6">
        <f>SUMIFS(Daten!L:L,Daten!H:H,C57)*-1</f>
        <v>2</v>
      </c>
      <c r="J57" s="6">
        <f>H57-G57-I57</f>
        <v>1.3000000000000007</v>
      </c>
      <c r="K57" s="5" t="str">
        <f>IF(F57&gt;0,"OFFEN","GESCHLOSSEN")</f>
        <v>GESCHLOSSEN</v>
      </c>
      <c r="L57">
        <v>0</v>
      </c>
      <c r="M57">
        <v>0</v>
      </c>
      <c r="N57" s="21">
        <f>IF(K57="GESCHLOSSEN",
0,
IF(K57="OFFEN",
((M57*F57)-(L57*F57)),
""))</f>
        <v>0</v>
      </c>
      <c r="O57" s="6">
        <f>IF(F57&gt;0,F57*M57,0)</f>
        <v>0</v>
      </c>
      <c r="P57" s="6">
        <f>IF(F57&gt;0,F57*L57,0)</f>
        <v>0</v>
      </c>
      <c r="Q57" s="7">
        <f>IF(K57="GESCHLOSSEN",
0,
IF(K57="OFFEN",
(N57/(L57*F57))))</f>
        <v>0</v>
      </c>
      <c r="R57" s="6">
        <f>IF(K57="GESCHLOSSEN",
H57-G57-I57 + SUMIFS(Daten!K:K,Daten!H:H,C57,Daten!E:E,"DIVIDEND"),
IF(K57="OFFEN",
IF(E57=0,
0,
H57+SUMIFS(Daten!K:K,Daten!H:H,C57,Daten!E:E,"DIVIDEND")-(G57-(F57*L57))-I57
),
""))</f>
        <v>1.3000000000000007</v>
      </c>
      <c r="S57" s="6">
        <f>IF(E57=0,
0,
(G57-(F57*L57))+I57
)</f>
        <v>19.8</v>
      </c>
      <c r="T57" s="26">
        <f>COUNTIFS(Daten!H:H,C57,Daten!E:E,"BUY",Daten!L:L,"&lt;0")</f>
        <v>1</v>
      </c>
      <c r="U57" s="26">
        <f>COUNTIFS(Daten!H:H,C57,Daten!E:E,"SELL",Daten!L:L,"&lt;0")</f>
        <v>1</v>
      </c>
      <c r="V57" s="7">
        <f>IF(S57&gt;0,R57/S57,0)</f>
        <v>6.5656565656565691E-2</v>
      </c>
      <c r="W57" s="7">
        <f>IF(K57="GESCHLOSSEN",
J57/(G57+I57),
IF(K57="OFFEN",
((H57+M57*F57)-G57-I57)/G57,
""))</f>
        <v>6.5656565656565691E-2</v>
      </c>
    </row>
    <row r="58" spans="1:23" x14ac:dyDescent="0.25">
      <c r="A58" s="9" t="s">
        <v>321</v>
      </c>
      <c r="B58" s="5" t="s">
        <v>32</v>
      </c>
      <c r="C58" s="5" t="s">
        <v>322</v>
      </c>
      <c r="D58" s="5">
        <f>SUMIFS(Daten!I:I,Daten!H:H,C58,Daten!E:E,"BUY")</f>
        <v>15.401785</v>
      </c>
      <c r="E58" s="5">
        <f>-SUMIFS(Daten!I:I,Daten!H:H,C58,Daten!E:E,"SELL")</f>
        <v>15.401785</v>
      </c>
      <c r="F58" s="5">
        <f>D58-E58</f>
        <v>0</v>
      </c>
      <c r="G58" s="6">
        <f>-SUMIFS(Daten!K:K,Daten!H:H,C58,Daten!E:E,"BUY")</f>
        <v>69</v>
      </c>
      <c r="H58" s="6">
        <f>SUMIFS(Daten!K:K,Daten!H:H,C58,Daten!E:E,"SELL")</f>
        <v>81.63</v>
      </c>
      <c r="I58" s="6">
        <f>SUMIFS(Daten!L:L,Daten!H:H,C58)*-1</f>
        <v>2</v>
      </c>
      <c r="J58" s="6">
        <f>H58-G58-I58</f>
        <v>10.629999999999995</v>
      </c>
      <c r="K58" s="5" t="str">
        <f>IF(F58&gt;0,"OFFEN","GESCHLOSSEN")</f>
        <v>GESCHLOSSEN</v>
      </c>
      <c r="L58">
        <v>0</v>
      </c>
      <c r="M58">
        <v>0</v>
      </c>
      <c r="N58" s="21">
        <f>IF(K58="GESCHLOSSEN",
0,
IF(K58="OFFEN",
((M58*F58)-(L58*F58)),
""))</f>
        <v>0</v>
      </c>
      <c r="O58" s="6">
        <f>IF(F58&gt;0,F58*M58,0)</f>
        <v>0</v>
      </c>
      <c r="P58" s="6">
        <f>IF(F58&gt;0,F58*L58,0)</f>
        <v>0</v>
      </c>
      <c r="Q58" s="7">
        <f>IF(K58="GESCHLOSSEN",
0,
IF(K58="OFFEN",
(N58/(L58*F58))))</f>
        <v>0</v>
      </c>
      <c r="R58" s="6">
        <f>IF(K58="GESCHLOSSEN",
H58-G58-I58 + SUMIFS(Daten!K:K,Daten!H:H,C58,Daten!E:E,"DIVIDEND"),
IF(K58="OFFEN",
IF(E58=0,
0,
H58+SUMIFS(Daten!K:K,Daten!H:H,C58,Daten!E:E,"DIVIDEND")-(G58-(F58*L58))-I58
),
""))</f>
        <v>10.629999999999995</v>
      </c>
      <c r="S58" s="6">
        <f>IF(E58=0,
0,
(G58-(F58*L58))+I58
)</f>
        <v>71</v>
      </c>
      <c r="T58" s="26">
        <f>COUNTIFS(Daten!H:H,C58,Daten!E:E,"BUY",Daten!L:L,"&lt;0")</f>
        <v>1</v>
      </c>
      <c r="U58" s="26">
        <f>COUNTIFS(Daten!H:H,C58,Daten!E:E,"SELL",Daten!L:L,"&lt;0")</f>
        <v>1</v>
      </c>
      <c r="V58" s="7">
        <f>IF(S58&gt;0,R58/S58,0)</f>
        <v>0.14971830985915485</v>
      </c>
      <c r="W58" s="7">
        <f>IF(K58="GESCHLOSSEN",
J58/(G58+I58),
IF(K58="OFFEN",
((H58+M58*F58)-G58-I58)/G58,
""))</f>
        <v>0.14971830985915485</v>
      </c>
    </row>
    <row r="59" spans="1:23" x14ac:dyDescent="0.25">
      <c r="A59" s="9" t="s">
        <v>308</v>
      </c>
      <c r="B59" s="5" t="s">
        <v>32</v>
      </c>
      <c r="C59" s="5" t="s">
        <v>309</v>
      </c>
      <c r="D59" s="5">
        <f>SUMIFS(Daten!I:I,Daten!H:H,C59,Daten!E:E,"BUY")</f>
        <v>12.345679000000001</v>
      </c>
      <c r="E59" s="5">
        <f>-SUMIFS(Daten!I:I,Daten!H:H,C59,Daten!E:E,"SELL")</f>
        <v>12.345679000000001</v>
      </c>
      <c r="F59" s="5">
        <f>D59-E59</f>
        <v>0</v>
      </c>
      <c r="G59" s="6">
        <f>-SUMIFS(Daten!K:K,Daten!H:H,C59,Daten!E:E,"BUY")</f>
        <v>28</v>
      </c>
      <c r="H59" s="6">
        <f>SUMIFS(Daten!K:K,Daten!H:H,C59,Daten!E:E,"SELL")</f>
        <v>33.159999999999997</v>
      </c>
      <c r="I59" s="6">
        <f>SUMIFS(Daten!L:L,Daten!H:H,C59)*-1</f>
        <v>2</v>
      </c>
      <c r="J59" s="6">
        <f>H59-G59-I59</f>
        <v>3.1599999999999966</v>
      </c>
      <c r="K59" s="5" t="str">
        <f>IF(F59&gt;0,"OFFEN","GESCHLOSSEN")</f>
        <v>GESCHLOSSEN</v>
      </c>
      <c r="L59">
        <v>0</v>
      </c>
      <c r="M59">
        <v>0</v>
      </c>
      <c r="N59" s="21">
        <f>IF(K59="GESCHLOSSEN",
0,
IF(K59="OFFEN",
((M59*F59)-(L59*F59)),
""))</f>
        <v>0</v>
      </c>
      <c r="O59" s="6">
        <f>IF(F59&gt;0,F59*M59,0)</f>
        <v>0</v>
      </c>
      <c r="P59" s="6">
        <f>IF(F59&gt;0,F59*L59,0)</f>
        <v>0</v>
      </c>
      <c r="Q59" s="7">
        <f>IF(K59="GESCHLOSSEN",
0,
IF(K59="OFFEN",
(N59/(L59*F59))))</f>
        <v>0</v>
      </c>
      <c r="R59" s="6">
        <f>IF(K59="GESCHLOSSEN",
H59-G59-I59 + SUMIFS(Daten!K:K,Daten!H:H,C59,Daten!E:E,"DIVIDEND"),
IF(K59="OFFEN",
IF(E59=0,
0,
H59+SUMIFS(Daten!K:K,Daten!H:H,C59,Daten!E:E,"DIVIDEND")-(G59-(F59*L59))-I59
),
""))</f>
        <v>3.1599999999999966</v>
      </c>
      <c r="S59" s="6">
        <f>IF(E59=0,
0,
(G59-(F59*L59))+I59
)</f>
        <v>30</v>
      </c>
      <c r="T59" s="26">
        <f>COUNTIFS(Daten!H:H,C59,Daten!E:E,"BUY",Daten!L:L,"&lt;0")</f>
        <v>1</v>
      </c>
      <c r="U59" s="26">
        <f>COUNTIFS(Daten!H:H,C59,Daten!E:E,"SELL",Daten!L:L,"&lt;0")</f>
        <v>1</v>
      </c>
      <c r="V59" s="7">
        <f>IF(S59&gt;0,R59/S59,0)</f>
        <v>0.10533333333333322</v>
      </c>
      <c r="W59" s="7">
        <f>IF(K59="GESCHLOSSEN",
J59/(G59+I59),
IF(K59="OFFEN",
((H59+M59*F59)-G59-I59)/G59,
""))</f>
        <v>0.10533333333333322</v>
      </c>
    </row>
    <row r="60" spans="1:23" x14ac:dyDescent="0.25">
      <c r="A60" s="9" t="s">
        <v>691</v>
      </c>
      <c r="B60" s="5" t="s">
        <v>32</v>
      </c>
      <c r="C60" s="5" t="s">
        <v>692</v>
      </c>
      <c r="D60" s="5">
        <f>SUMIFS(Daten!I:I,Daten!H:H,C60,Daten!E:E,"BUY")</f>
        <v>19.212295000000001</v>
      </c>
      <c r="E60" s="5">
        <f>-SUMIFS(Daten!I:I,Daten!H:H,C60,Daten!E:E,"SELL")</f>
        <v>19.212295000000001</v>
      </c>
      <c r="F60" s="5">
        <f>D60-E60</f>
        <v>0</v>
      </c>
      <c r="G60" s="6">
        <f>-SUMIFS(Daten!K:K,Daten!H:H,C60,Daten!E:E,"BUY")</f>
        <v>200</v>
      </c>
      <c r="H60" s="6">
        <f>SUMIFS(Daten!K:K,Daten!H:H,C60,Daten!E:E,"SELL")</f>
        <v>221.32999999999998</v>
      </c>
      <c r="I60" s="6">
        <f>SUMIFS(Daten!L:L,Daten!H:H,C60)*-1</f>
        <v>2</v>
      </c>
      <c r="J60" s="6">
        <f>H60-G60-I60</f>
        <v>19.329999999999984</v>
      </c>
      <c r="K60" s="5" t="str">
        <f>IF(F60&gt;0,"OFFEN","GESCHLOSSEN")</f>
        <v>GESCHLOSSEN</v>
      </c>
      <c r="L60">
        <v>0</v>
      </c>
      <c r="M60">
        <v>0</v>
      </c>
      <c r="N60" s="21">
        <f>IF(K60="GESCHLOSSEN",
0,
IF(K60="OFFEN",
((M60*F60)-(L60*F60)),
""))</f>
        <v>0</v>
      </c>
      <c r="O60" s="6">
        <f>IF(F60&gt;0,F60*M60,0)</f>
        <v>0</v>
      </c>
      <c r="P60" s="6">
        <f>IF(F60&gt;0,F60*L60,0)</f>
        <v>0</v>
      </c>
      <c r="Q60" s="7">
        <f>IF(K60="GESCHLOSSEN",
0,
IF(K60="OFFEN",
(N60/(L60*F60))))</f>
        <v>0</v>
      </c>
      <c r="R60" s="6">
        <f>IF(K60="GESCHLOSSEN",
H60-G60-I60 + SUMIFS(Daten!K:K,Daten!H:H,C60,Daten!E:E,"DIVIDEND"),
IF(K60="OFFEN",
IF(E60=0,
0,
H60+SUMIFS(Daten!K:K,Daten!H:H,C60,Daten!E:E,"DIVIDEND")-(G60-(F60*L60))-I60
),
""))</f>
        <v>19.329999999999984</v>
      </c>
      <c r="S60" s="6">
        <f>IF(E60=0,
0,
(G60-(F60*L60))+I60
)</f>
        <v>202</v>
      </c>
      <c r="T60" s="26">
        <f>COUNTIFS(Daten!H:H,C60,Daten!E:E,"BUY",Daten!L:L,"&lt;0")</f>
        <v>1</v>
      </c>
      <c r="U60" s="26">
        <f>COUNTIFS(Daten!H:H,C60,Daten!E:E,"SELL",Daten!L:L,"&lt;0")</f>
        <v>1</v>
      </c>
      <c r="V60" s="7">
        <f>IF(S60&gt;0,R60/S60,0)</f>
        <v>9.5693069306930612E-2</v>
      </c>
      <c r="W60" s="7">
        <f>IF(K60="GESCHLOSSEN",
J60/(G60+I60),
IF(K60="OFFEN",
((H60+M60*F60)-G60-I60)/G60,
""))</f>
        <v>9.5693069306930612E-2</v>
      </c>
    </row>
    <row r="61" spans="1:23" x14ac:dyDescent="0.25">
      <c r="A61" s="9" t="s">
        <v>380</v>
      </c>
      <c r="B61" s="5" t="s">
        <v>32</v>
      </c>
      <c r="C61" s="5" t="s">
        <v>381</v>
      </c>
      <c r="D61" s="5">
        <f>SUMIFS(Daten!I:I,Daten!H:H,C61,Daten!E:E,"BUY")</f>
        <v>7.0017500000000004</v>
      </c>
      <c r="E61" s="5">
        <f>-SUMIFS(Daten!I:I,Daten!H:H,C61,Daten!E:E,"SELL")</f>
        <v>7.0017500000000004</v>
      </c>
      <c r="F61" s="5">
        <f>D61-E61</f>
        <v>0</v>
      </c>
      <c r="G61" s="6">
        <f>-SUMIFS(Daten!K:K,Daten!H:H,C61,Daten!E:E,"BUY")</f>
        <v>28</v>
      </c>
      <c r="H61" s="6">
        <f>SUMIFS(Daten!K:K,Daten!H:H,C61,Daten!E:E,"SELL")</f>
        <v>30.310000000000002</v>
      </c>
      <c r="I61" s="6">
        <f>SUMIFS(Daten!L:L,Daten!H:H,C61)*-1</f>
        <v>2</v>
      </c>
      <c r="J61" s="6">
        <f>H61-G61-I61</f>
        <v>0.31000000000000227</v>
      </c>
      <c r="K61" s="5" t="str">
        <f>IF(F61&gt;0,"OFFEN","GESCHLOSSEN")</f>
        <v>GESCHLOSSEN</v>
      </c>
      <c r="L61">
        <v>0</v>
      </c>
      <c r="M61">
        <v>0</v>
      </c>
      <c r="N61" s="21">
        <f>IF(K61="GESCHLOSSEN",
0,
IF(K61="OFFEN",
((M61*F61)-(L61*F61)),
""))</f>
        <v>0</v>
      </c>
      <c r="O61" s="6">
        <f>IF(F61&gt;0,F61*M61,0)</f>
        <v>0</v>
      </c>
      <c r="P61" s="6">
        <f>IF(F61&gt;0,F61*L61,0)</f>
        <v>0</v>
      </c>
      <c r="Q61" s="7">
        <f>IF(K61="GESCHLOSSEN",
0,
IF(K61="OFFEN",
(N61/(L61*F61))))</f>
        <v>0</v>
      </c>
      <c r="R61" s="6">
        <f>IF(K61="GESCHLOSSEN",
H61-G61-I61 + SUMIFS(Daten!K:K,Daten!H:H,C61,Daten!E:E,"DIVIDEND"),
IF(K61="OFFEN",
IF(E61=0,
0,
H61+SUMIFS(Daten!K:K,Daten!H:H,C61,Daten!E:E,"DIVIDEND")-(G61-(F61*L61))-I61
),
""))</f>
        <v>0.31000000000000227</v>
      </c>
      <c r="S61" s="6">
        <f>IF(E61=0,
0,
(G61-(F61*L61))+I61
)</f>
        <v>30</v>
      </c>
      <c r="T61" s="26">
        <f>COUNTIFS(Daten!H:H,C61,Daten!E:E,"BUY",Daten!L:L,"&lt;0")</f>
        <v>1</v>
      </c>
      <c r="U61" s="26">
        <f>COUNTIFS(Daten!H:H,C61,Daten!E:E,"SELL",Daten!L:L,"&lt;0")</f>
        <v>1</v>
      </c>
      <c r="V61" s="7">
        <f>IF(S61&gt;0,R61/S61,0)</f>
        <v>1.033333333333341E-2</v>
      </c>
      <c r="W61" s="7">
        <f>IF(K61="GESCHLOSSEN",
J61/(G61+I61),
IF(K61="OFFEN",
((H61+M61*F61)-G61-I61)/G61,
""))</f>
        <v>1.033333333333341E-2</v>
      </c>
    </row>
    <row r="62" spans="1:23" x14ac:dyDescent="0.25">
      <c r="A62" s="9" t="s">
        <v>69</v>
      </c>
      <c r="B62" s="5" t="s">
        <v>64</v>
      </c>
      <c r="C62" s="5" t="s">
        <v>69</v>
      </c>
      <c r="D62" s="5">
        <f>SUMIFS(Daten!I:I,Daten!H:H,C62,Daten!E:E,"BUY")</f>
        <v>194.73171099999999</v>
      </c>
      <c r="E62" s="5">
        <f>-SUMIFS(Daten!I:I,Daten!H:H,C62,Daten!E:E,"SELL")</f>
        <v>0</v>
      </c>
      <c r="F62" s="5">
        <f>D62-E62</f>
        <v>194.73171099999999</v>
      </c>
      <c r="G62" s="6">
        <f>-SUMIFS(Daten!K:K,Daten!H:H,C62,Daten!E:E,"BUY")</f>
        <v>247.45</v>
      </c>
      <c r="H62" s="6">
        <f>SUMIFS(Daten!K:K,Daten!H:H,C62,Daten!E:E,"SELL")</f>
        <v>0</v>
      </c>
      <c r="I62" s="6">
        <f>SUMIFS(Daten!L:L,Daten!H:H,C62)*-1</f>
        <v>9</v>
      </c>
      <c r="J62" s="6">
        <f>H62-G62-I62</f>
        <v>-256.45</v>
      </c>
      <c r="K62" s="5" t="str">
        <f>IF(F62&gt;0,"OFFEN","GESCHLOSSEN")</f>
        <v>OFFEN</v>
      </c>
      <c r="L62">
        <v>1.3169999999999999</v>
      </c>
      <c r="M62">
        <v>1.3</v>
      </c>
      <c r="N62" s="21">
        <f>IF(K62="GESCHLOSSEN",
0,
IF(K62="OFFEN",
((M62*F62)-(L62*F62)),
""))</f>
        <v>-3.3104390869999918</v>
      </c>
      <c r="O62" s="6">
        <f>IF(F62&gt;0,F62*M62,0)</f>
        <v>253.1512243</v>
      </c>
      <c r="P62" s="6">
        <f>IF(F62&gt;0,F62*L62,0)</f>
        <v>256.46166338699999</v>
      </c>
      <c r="Q62" s="7">
        <f>IF(K62="GESCHLOSSEN",
0,
IF(K62="OFFEN",
(N62/(L62*F62))))</f>
        <v>-1.2908124525436568E-2</v>
      </c>
      <c r="R62" s="6">
        <f>IF(K62="GESCHLOSSEN",
H62-G62-I62 + SUMIFS(Daten!K:K,Daten!H:H,C62,Daten!E:E,"DIVIDEND"),
IF(K62="OFFEN",
IF(E62=0,
0,
H62+SUMIFS(Daten!K:K,Daten!H:H,C62,Daten!E:E,"DIVIDEND")-(G62-(F62*L62))-I62
),
""))</f>
        <v>0</v>
      </c>
      <c r="S62" s="6">
        <f>IF(E62=0,
0,
(G62-(F62*L62))+I62
)</f>
        <v>0</v>
      </c>
      <c r="T62" s="26">
        <f>COUNTIFS(Daten!H:H,C62,Daten!E:E,"BUY",Daten!L:L,"&lt;0")</f>
        <v>9</v>
      </c>
      <c r="U62" s="26">
        <f>COUNTIFS(Daten!H:H,C62,Daten!E:E,"SELL",Daten!L:L,"&lt;0")</f>
        <v>0</v>
      </c>
      <c r="V62" s="7">
        <f>IF(S62&gt;0,R62/S62,0)</f>
        <v>0</v>
      </c>
      <c r="W62" s="7">
        <f>IF(K62="GESCHLOSSEN",
J62/(G62+I62),
IF(K62="OFFEN",
((H62+M62*F62)-G62-I62)/G62,
""))</f>
        <v>-1.3331079814103832E-2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42" priority="8" operator="lessThan">
      <formula>0</formula>
    </cfRule>
    <cfRule type="cellIs" dxfId="41" priority="9" operator="greaterThan">
      <formula>0</formula>
    </cfRule>
    <cfRule type="cellIs" dxfId="40" priority="11" operator="greaterThan">
      <formula>0</formula>
    </cfRule>
  </conditionalFormatting>
  <conditionalFormatting sqref="Q2:R1048576">
    <cfRule type="cellIs" dxfId="39" priority="3" operator="lessThan">
      <formula>0</formula>
    </cfRule>
    <cfRule type="cellIs" dxfId="38" priority="4" operator="greaterThan">
      <formula>0</formula>
    </cfRule>
  </conditionalFormatting>
  <conditionalFormatting sqref="V2:W1048576">
    <cfRule type="cellIs" dxfId="37" priority="1" operator="lessThan">
      <formula>0</formula>
    </cfRule>
    <cfRule type="cellIs" dxfId="36"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9" zoomScale="115" zoomScaleNormal="115" workbookViewId="0">
      <selection activeCell="A130" sqref="A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B3/B3</f>
        <v>1</v>
      </c>
    </row>
    <row r="4" spans="1:3" s="12" customFormat="1" ht="15.75" x14ac:dyDescent="0.25">
      <c r="A4" s="13" t="s">
        <v>1287</v>
      </c>
      <c r="B4" s="11">
        <f>COUNTIFS(Auswertung!B:B,"STOCK")</f>
        <v>38</v>
      </c>
      <c r="C4" s="23">
        <f>B4/B3</f>
        <v>0.62295081967213117</v>
      </c>
    </row>
    <row r="5" spans="1:3" s="12" customFormat="1" ht="15.75" x14ac:dyDescent="0.25">
      <c r="A5" s="13" t="s">
        <v>1288</v>
      </c>
      <c r="B5" s="11">
        <f>COUNTIFS(Auswertung!B:B,"FUND")</f>
        <v>14</v>
      </c>
      <c r="C5" s="23">
        <f>B5/B3</f>
        <v>0.22950819672131148</v>
      </c>
    </row>
    <row r="6" spans="1:3" s="12" customFormat="1" ht="15.75" x14ac:dyDescent="0.25">
      <c r="A6" s="13" t="s">
        <v>1289</v>
      </c>
      <c r="B6" s="11">
        <f>COUNTIFS(Auswertung!B:B,"CRYPTO")</f>
        <v>9</v>
      </c>
      <c r="C6" s="23">
        <f>B6/B3</f>
        <v>0.14754098360655737</v>
      </c>
    </row>
    <row r="7" spans="1:3" s="12" customFormat="1" ht="15.75" x14ac:dyDescent="0.25">
      <c r="A7" s="13"/>
      <c r="B7" s="11"/>
    </row>
    <row r="8" spans="1:3" s="12" customFormat="1" ht="15.75" x14ac:dyDescent="0.25">
      <c r="A8" s="13" t="s">
        <v>1293</v>
      </c>
      <c r="B8" s="11">
        <f>COUNTIFS(Auswertung!K:K,"OFFEN")</f>
        <v>30</v>
      </c>
      <c r="C8" s="23">
        <f>B8/B8</f>
        <v>1</v>
      </c>
    </row>
    <row r="9" spans="1:3" s="12" customFormat="1" ht="15.75" x14ac:dyDescent="0.25">
      <c r="A9" s="13" t="s">
        <v>1290</v>
      </c>
      <c r="B9" s="11">
        <f>COUNTIFS(Auswertung!B:B,"STOCK",Auswertung!K:K,"OFFEN")</f>
        <v>8</v>
      </c>
      <c r="C9" s="23">
        <f>B9/B8</f>
        <v>0.26666666666666666</v>
      </c>
    </row>
    <row r="10" spans="1:3" s="12" customFormat="1" ht="15.75" x14ac:dyDescent="0.25">
      <c r="A10" s="13" t="s">
        <v>1291</v>
      </c>
      <c r="B10" s="11">
        <f>COUNTIFS(Auswertung!B:B,"FUND",Auswertung!K:K,"OFFEN")</f>
        <v>13</v>
      </c>
      <c r="C10" s="23">
        <f>B10/B8</f>
        <v>0.43333333333333335</v>
      </c>
    </row>
    <row r="11" spans="1:3" s="12" customFormat="1" ht="15.75" x14ac:dyDescent="0.25">
      <c r="A11" s="13" t="s">
        <v>1292</v>
      </c>
      <c r="B11" s="11">
        <f>COUNTIFS(Auswertung!B:B,"CRYPTO",Auswertung!K:K,"OFFEN")</f>
        <v>9</v>
      </c>
      <c r="C11" s="23">
        <f>B11/B8</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B19/B18</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B20/B18</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B21/B18</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B22/B18</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B25/B24</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B26/B24</f>
        <v>0.52450066284235619</v>
      </c>
      <c r="D26" s="22">
        <f>-SUMIFS(Daten!K:K,Daten!F:F,"STOCK",Daten!E:E,"BUY")</f>
        <v>12842.64</v>
      </c>
    </row>
    <row r="27" spans="1:5" s="12" customFormat="1" ht="15.75" x14ac:dyDescent="0.25">
      <c r="A27" s="13" t="s">
        <v>1380</v>
      </c>
      <c r="B27" s="14">
        <f>SUMIFS(Auswertung!G:G,Auswertung!B:B,"FUND")</f>
        <v>9600.17</v>
      </c>
      <c r="C27" s="23">
        <f>B27/B24</f>
        <v>0.39207635878598968</v>
      </c>
      <c r="D27" s="22">
        <f>-SUMIFS(Daten!K:K,Daten!F:F,"FUND",Daten!E:E,"BUY")</f>
        <v>9600.1699999999983</v>
      </c>
    </row>
    <row r="28" spans="1:5" s="12" customFormat="1" ht="15.75" x14ac:dyDescent="0.25">
      <c r="A28" s="13" t="s">
        <v>1381</v>
      </c>
      <c r="B28" s="14">
        <f>SUMIFS(Auswertung!G:G,Auswertung!B:B,"CRYPTO")</f>
        <v>2042.65</v>
      </c>
      <c r="C28" s="23">
        <f>B28/B24</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B31/B30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B32/B30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B33/B30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B33/B30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B37/B36</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B38/B36</f>
        <v>0.88465503742550322</v>
      </c>
      <c r="D38" s="22">
        <f>SUMIFS(Daten!K:K,Daten!F:F,"STOCK",Daten!E:E,"SELL")</f>
        <v>10485.709999999999</v>
      </c>
    </row>
    <row r="39" spans="1:4" s="12" customFormat="1" ht="15.75" x14ac:dyDescent="0.25">
      <c r="A39" s="13" t="s">
        <v>1390</v>
      </c>
      <c r="B39" s="14">
        <f>SUMIFS(Auswertung!H:H,Auswertung!B:B,"FUND")</f>
        <v>506.61</v>
      </c>
      <c r="C39" s="23">
        <f>B39/B36</f>
        <v>4.2741510923927355E-2</v>
      </c>
      <c r="D39" s="22">
        <f>SUMIFS(Daten!K:K,Daten!F:F,"FUND",Daten!E:E,"SELL")</f>
        <v>506.61</v>
      </c>
    </row>
    <row r="40" spans="1:4" s="12" customFormat="1" ht="15.75" x14ac:dyDescent="0.25">
      <c r="A40" s="13" t="s">
        <v>1391</v>
      </c>
      <c r="B40" s="14">
        <f>SUMIFS(Auswertung!H:H,Auswertung!B:B,"CRYPTO")</f>
        <v>860.56000000000006</v>
      </c>
      <c r="C40" s="23">
        <f>B40/B36</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-SUM(Daten!L:L)</f>
        <v>280</v>
      </c>
      <c r="D42" s="23"/>
    </row>
    <row r="43" spans="1:4" s="12" customFormat="1" ht="15.75" x14ac:dyDescent="0.25">
      <c r="A43" s="13" t="s">
        <v>1366</v>
      </c>
      <c r="B43" s="14">
        <f>SUMIFS(Auswertung!I:I,Auswertung!B:B,"STOCK")+SUMIFS(Auswertung!I:I,Auswertung!B:B,"FUND")</f>
        <v>239</v>
      </c>
      <c r="C43" s="22">
        <f xml:space="preserve"> -SUMIFS(Daten!L:L,Daten!F:F,"STOCK")-SUMIFS(Daten!L:L,Daten!F:F,"FUND")</f>
        <v>239</v>
      </c>
      <c r="D43" s="23">
        <f>C43/C42</f>
        <v>0.85357142857142854</v>
      </c>
    </row>
    <row r="44" spans="1:4" s="12" customFormat="1" ht="15.75" x14ac:dyDescent="0.25">
      <c r="A44" s="13" t="s">
        <v>1301</v>
      </c>
      <c r="B44" s="14">
        <f>SUMIFS(Auswertung!I:I,Auswertung!B:B,"STOCK")</f>
        <v>186</v>
      </c>
      <c r="C44" s="22">
        <f xml:space="preserve"> -SUMIFS(Daten!L:L,Daten!F:F,"STOCK")</f>
        <v>186</v>
      </c>
      <c r="D44" s="23">
        <f>C44/C42</f>
        <v>0.66428571428571426</v>
      </c>
    </row>
    <row r="45" spans="1:4" s="12" customFormat="1" ht="15.75" x14ac:dyDescent="0.25">
      <c r="A45" s="13" t="s">
        <v>1302</v>
      </c>
      <c r="B45" s="14">
        <f>SUMIFS(Auswertung!I:I,Auswertung!B:B,"FUND")</f>
        <v>53</v>
      </c>
      <c r="C45" s="22">
        <f xml:space="preserve"> -SUMIFS(Daten!L:L,Daten!F:F,"FUND")</f>
        <v>53</v>
      </c>
      <c r="D45" s="23">
        <f>C45/C42</f>
        <v>0.18928571428571428</v>
      </c>
    </row>
    <row r="46" spans="1:4" s="12" customFormat="1" ht="15.75" x14ac:dyDescent="0.25">
      <c r="A46" s="13" t="s">
        <v>1303</v>
      </c>
      <c r="B46" s="14">
        <f>SUMIFS(Auswertung!I:I,Auswertung!B:B,"CRYPTO")</f>
        <v>41</v>
      </c>
      <c r="C46" s="22">
        <f xml:space="preserve"> -SUMIFS(Daten!L:L,Daten!F:F,"CRYPTO")</f>
        <v>41</v>
      </c>
      <c r="D46" s="23">
        <f>C46/C42</f>
        <v>0.14642857142857144</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B49/B48</f>
        <v>0.82110091743119262</v>
      </c>
    </row>
    <row r="50" spans="1:3" s="12" customFormat="1" ht="15.75" x14ac:dyDescent="0.25">
      <c r="A50" s="13" t="s">
        <v>1351</v>
      </c>
      <c r="B50" s="14">
        <f xml:space="preserve"> -SUMIFS(Daten!L:L,Daten!E:E,"BUY",Daten!F:F,"STOCK")</f>
        <v>127</v>
      </c>
      <c r="C50" s="23">
        <f>B50/B48</f>
        <v>0.58256880733944949</v>
      </c>
    </row>
    <row r="51" spans="1:3" s="12" customFormat="1" ht="15.75" x14ac:dyDescent="0.25">
      <c r="A51" s="13" t="s">
        <v>1352</v>
      </c>
      <c r="B51" s="14">
        <f xml:space="preserve"> -SUMIFS(Daten!L:L,Daten!E:E,"BUY",Daten!F:F,"FUND")</f>
        <v>52</v>
      </c>
      <c r="C51" s="23">
        <f>B51/B48</f>
        <v>0.23853211009174313</v>
      </c>
    </row>
    <row r="52" spans="1:3" s="12" customFormat="1" ht="15.75" x14ac:dyDescent="0.25">
      <c r="A52" s="13" t="s">
        <v>1353</v>
      </c>
      <c r="B52" s="14">
        <f xml:space="preserve"> -SUMIFS(Daten!L:L,Daten!E:E,"BUY",Daten!F:F,"CRYPTO")</f>
        <v>39</v>
      </c>
      <c r="C52" s="23">
        <f>B52/B48</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B55/B54</f>
        <v>0.967741935483871</v>
      </c>
    </row>
    <row r="56" spans="1:3" s="12" customFormat="1" ht="15.75" x14ac:dyDescent="0.25">
      <c r="A56" s="13" t="s">
        <v>1354</v>
      </c>
      <c r="B56" s="14">
        <f xml:space="preserve"> -SUMIFS(Daten!L:L,Daten!E:E,"SELL",Daten!F:F,"STOCK")</f>
        <v>59</v>
      </c>
      <c r="C56" s="23">
        <f>B56/B54</f>
        <v>0.95161290322580649</v>
      </c>
    </row>
    <row r="57" spans="1:3" s="12" customFormat="1" ht="15.75" x14ac:dyDescent="0.25">
      <c r="A57" s="13" t="s">
        <v>1356</v>
      </c>
      <c r="B57" s="14">
        <f xml:space="preserve"> -SUMIFS(Daten!L:L,Daten!E:E,"SELL",Daten!F:F,"FUND")</f>
        <v>1</v>
      </c>
      <c r="C57" s="23">
        <f>B57/B54</f>
        <v>1.6129032258064516E-2</v>
      </c>
    </row>
    <row r="58" spans="1:3" s="12" customFormat="1" ht="15.75" x14ac:dyDescent="0.25">
      <c r="A58" s="13" t="s">
        <v>1357</v>
      </c>
      <c r="B58" s="14">
        <f xml:space="preserve"> -SUMIFS(Daten!L:L,Daten!E:E,"SELL",Daten!F:F,"CRYPTO")</f>
        <v>2</v>
      </c>
      <c r="C58" s="23">
        <f>B58/B54</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B61/B60</f>
        <v>0.82110091743119262</v>
      </c>
    </row>
    <row r="62" spans="1:3" s="12" customFormat="1" ht="15.75" x14ac:dyDescent="0.25">
      <c r="A62" s="13" t="s">
        <v>1399</v>
      </c>
      <c r="B62" s="29">
        <f>SUMIFS(Auswertung!T:T,Auswertung!B:B,"STOCK")</f>
        <v>127</v>
      </c>
      <c r="C62" s="23">
        <f>B62/B60</f>
        <v>0.58256880733944949</v>
      </c>
    </row>
    <row r="63" spans="1:3" s="12" customFormat="1" ht="15.75" x14ac:dyDescent="0.25">
      <c r="A63" s="13" t="s">
        <v>1400</v>
      </c>
      <c r="B63" s="29">
        <f>SUMIFS(Auswertung!T:T,Auswertung!B:B,"FUND")</f>
        <v>52</v>
      </c>
      <c r="C63" s="23">
        <f>B63/B60</f>
        <v>0.23853211009174313</v>
      </c>
    </row>
    <row r="64" spans="1:3" s="12" customFormat="1" ht="15.75" x14ac:dyDescent="0.25">
      <c r="A64" s="13" t="s">
        <v>1401</v>
      </c>
      <c r="B64" s="29">
        <f>SUMIFS(Auswertung!T:T,Auswertung!B:B,"CRYPTO")</f>
        <v>39</v>
      </c>
      <c r="C64" s="23">
        <f>B64/B60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B67/B66</f>
        <v>0.967741935483871</v>
      </c>
    </row>
    <row r="68" spans="1:3" s="12" customFormat="1" ht="15.75" x14ac:dyDescent="0.25">
      <c r="A68" s="13" t="s">
        <v>1404</v>
      </c>
      <c r="B68" s="29">
        <f>SUMIFS(Auswertung!U:U,Auswertung!B:B,"STOCK")</f>
        <v>59</v>
      </c>
      <c r="C68" s="23">
        <f>B68/B66</f>
        <v>0.95161290322580649</v>
      </c>
    </row>
    <row r="69" spans="1:3" s="12" customFormat="1" ht="15.75" x14ac:dyDescent="0.25">
      <c r="A69" s="13" t="s">
        <v>1405</v>
      </c>
      <c r="B69" s="29">
        <f>SUMIFS(Auswertung!U:U,Auswertung!B:B,"FUND")</f>
        <v>1</v>
      </c>
      <c r="C69" s="23">
        <f>B69/B66</f>
        <v>1.6129032258064516E-2</v>
      </c>
    </row>
    <row r="70" spans="1:3" s="12" customFormat="1" ht="15.75" x14ac:dyDescent="0.25">
      <c r="A70" s="13" t="s">
        <v>1406</v>
      </c>
      <c r="B70" s="29">
        <f>SUMIFS(Auswertung!U:U,Auswertung!B:B,"CRYPTO")</f>
        <v>2</v>
      </c>
      <c r="C70" s="23">
        <f>B70/B66</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B73/B72</f>
        <v>0.90527919284914404</v>
      </c>
    </row>
    <row r="74" spans="1:3" s="12" customFormat="1" ht="15.75" x14ac:dyDescent="0.25">
      <c r="A74" s="13" t="s">
        <v>1319</v>
      </c>
      <c r="B74" s="14">
        <f>SUMIFS(Auswertung!J:J,Auswertung!B:B,"STOCK")</f>
        <v>-2542.9299999999998</v>
      </c>
      <c r="C74" s="23">
        <f>B74/B72</f>
        <v>0.19693430747379687</v>
      </c>
    </row>
    <row r="75" spans="1:3" s="12" customFormat="1" ht="15.75" x14ac:dyDescent="0.25">
      <c r="A75" s="13" t="s">
        <v>1320</v>
      </c>
      <c r="B75" s="14">
        <f>SUMIFS(Auswertung!J:J,Auswertung!B:B,"FUND")</f>
        <v>-9146.56</v>
      </c>
      <c r="C75" s="23">
        <f>B75/B72</f>
        <v>0.70834488537534712</v>
      </c>
    </row>
    <row r="76" spans="1:3" s="12" customFormat="1" ht="15.75" x14ac:dyDescent="0.25">
      <c r="A76" s="13" t="s">
        <v>1300</v>
      </c>
      <c r="B76" s="14">
        <f>SUMIFS(Auswertung!J:J,Auswertung!B:B,"CRYPTO")</f>
        <v>-1223.0899999999999</v>
      </c>
      <c r="C76" s="23">
        <f>B76/B72</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B79/B78</f>
        <v>0.94392380137846355</v>
      </c>
    </row>
    <row r="80" spans="1:3" s="12" customFormat="1" ht="15.75" x14ac:dyDescent="0.25">
      <c r="A80" s="13" t="s">
        <v>1335</v>
      </c>
      <c r="B80" s="14">
        <f>SUMIFS(Auswertung!R:R,Auswertung!B:B,"STOCK")</f>
        <v>1094.9036081299998</v>
      </c>
      <c r="C80" s="23">
        <f>B80/B78</f>
        <v>0.9408218234896536</v>
      </c>
    </row>
    <row r="81" spans="1:3" s="12" customFormat="1" ht="15.75" x14ac:dyDescent="0.25">
      <c r="A81" s="13" t="s">
        <v>1336</v>
      </c>
      <c r="B81" s="14">
        <f>SUMIFS(Auswertung!R:R,Auswertung!B:B,"FUND")</f>
        <v>3.6100000000000136</v>
      </c>
      <c r="C81" s="23">
        <f>B81/B78</f>
        <v>3.1019778888101038E-3</v>
      </c>
    </row>
    <row r="82" spans="1:3" s="12" customFormat="1" ht="15.75" x14ac:dyDescent="0.25">
      <c r="A82" s="13" t="s">
        <v>1337</v>
      </c>
      <c r="B82" s="14">
        <f>SUMIFS(Auswertung!R:R,Auswertung!B:B,"CRYPTO")</f>
        <v>65.260000000000105</v>
      </c>
      <c r="C82" s="23">
        <f>B82/B78</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13148.376449937501</v>
      </c>
    </row>
    <row r="92" spans="1:3" s="12" customFormat="1" ht="15.75" x14ac:dyDescent="0.25">
      <c r="A92" s="13" t="s">
        <v>1285</v>
      </c>
      <c r="B92" s="14">
        <f>SUMIFS(Auswertung!O:O,Auswertung!K:K,"OFFEN",Auswertung!B:B,"STOCK")
+SUMIFS(Auswertung!O:O,Auswertung!K:K,"OFFEN",Auswertung!B:B,"FUND")</f>
        <v>11925.0264677337</v>
      </c>
      <c r="C92" s="23">
        <f>B92/B91</f>
        <v>0.90695809578758935</v>
      </c>
    </row>
    <row r="93" spans="1:3" s="12" customFormat="1" ht="15.75" x14ac:dyDescent="0.25">
      <c r="A93" s="13" t="s">
        <v>1317</v>
      </c>
      <c r="B93" s="14">
        <f>SUMIFS(Auswertung!O:O,Auswertung!K:K,"OFFEN",Auswertung!B:B,"STOCK")</f>
        <v>2713.3108038036999</v>
      </c>
      <c r="C93" s="23">
        <f>B93/B91</f>
        <v>0.20636090046057337</v>
      </c>
    </row>
    <row r="94" spans="1:3" s="12" customFormat="1" ht="15.75" x14ac:dyDescent="0.25">
      <c r="A94" s="13" t="s">
        <v>1318</v>
      </c>
      <c r="B94" s="14">
        <f>SUMIFS(Auswertung!O:O,Auswertung!K:K,"OFFEN",Auswertung!B:B,"FUND")</f>
        <v>9211.7156639299992</v>
      </c>
      <c r="C94" s="23">
        <f>B94/B91</f>
        <v>0.70059719532701592</v>
      </c>
    </row>
    <row r="95" spans="1:3" s="12" customFormat="1" ht="15.75" x14ac:dyDescent="0.25">
      <c r="A95" s="13" t="s">
        <v>1286</v>
      </c>
      <c r="B95" s="14">
        <f>SUMIFS(Auswertung!O:O,Auswertung!K:K,"OFFEN",Auswertung!B:B,"CRYPTO")</f>
        <v>1223.349982203802</v>
      </c>
      <c r="C95" s="23">
        <f>B95/B91</f>
        <v>9.3041904212410736E-2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B101/B100</f>
        <v>0.52501309533158502</v>
      </c>
    </row>
    <row r="102" spans="1:3" s="12" customFormat="1" ht="15.75" x14ac:dyDescent="0.25">
      <c r="A102" s="13" t="s">
        <v>1309</v>
      </c>
      <c r="B102" s="14">
        <f>SUMIFS(Daten!K:K,Daten!E:E,"BUY",Daten!F:F,"FUND")+SUMIFS(Daten!L:L,Daten!E:E,"BUY",Daten!F:F,"FUND")</f>
        <v>-9652.1699999999983</v>
      </c>
      <c r="C102" s="23">
        <f>B102/B100</f>
        <v>0.39072138072966284</v>
      </c>
    </row>
    <row r="103" spans="1:3" s="12" customFormat="1" ht="15.75" x14ac:dyDescent="0.25">
      <c r="A103" s="13" t="s">
        <v>1310</v>
      </c>
      <c r="B103" s="14">
        <f>SUMIFS(Daten!K:K,Daten!E:E,"BUY",Daten!F:F,"CRYPTO")+SUMIFS(Daten!L:L,Daten!E:E,"BUY",Daten!F:F,"CRYPTO")</f>
        <v>-2081.65</v>
      </c>
      <c r="C103" s="23">
        <f>B103/B100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B106/B105</f>
        <v>0.88500345786109458</v>
      </c>
    </row>
    <row r="107" spans="1:3" s="12" customFormat="1" ht="15.75" x14ac:dyDescent="0.25">
      <c r="A107" s="13" t="s">
        <v>1312</v>
      </c>
      <c r="B107" s="14">
        <f>SUMIFS(Daten!K:K,Daten!E:E,"SELL",Daten!F:F,"FUND")-SUMIFS(Daten!L:L,Daten!E:E,"SELL",Daten!F:F,"FUND")</f>
        <v>507.61</v>
      </c>
      <c r="C107" s="23">
        <f>B107/B105</f>
        <v>4.2603030832035232E-2</v>
      </c>
    </row>
    <row r="108" spans="1:3" s="12" customFormat="1" ht="15.75" x14ac:dyDescent="0.25">
      <c r="A108" s="13" t="s">
        <v>1313</v>
      </c>
      <c r="B108" s="14">
        <f>SUMIFS(Daten!K:K,Daten!E:E,"SELL",Daten!F:F,"CRYPTO")-SUMIFS(Daten!L:L,Daten!E:E,"SELL",Daten!F:F,"CRYPTO")</f>
        <v>862.56000000000006</v>
      </c>
      <c r="C108" s="23">
        <f>B108/B105</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B111/B110</f>
        <v>0.90842195242944179</v>
      </c>
    </row>
    <row r="112" spans="1:3" s="12" customFormat="1" ht="15.75" x14ac:dyDescent="0.25">
      <c r="A112" s="13" t="s">
        <v>1324</v>
      </c>
      <c r="B112" s="14">
        <f>SUMIFS(Auswertung!P:P,Auswertung!K:K,"OFFEN",Auswertung!B:B,"STOCK")</f>
        <v>3633.6654573699998</v>
      </c>
      <c r="C112" s="23">
        <f>B112/B110</f>
        <v>0.25820878319369189</v>
      </c>
    </row>
    <row r="113" spans="1:4" s="12" customFormat="1" ht="15.75" x14ac:dyDescent="0.25">
      <c r="A113" s="13" t="s">
        <v>1325</v>
      </c>
      <c r="B113" s="14">
        <f>SUMIFS(Auswertung!P:P,Auswertung!K:K,"OFFEN",Auswertung!B:B,"FUND")</f>
        <v>9150.1811199299991</v>
      </c>
      <c r="C113" s="23">
        <f>B113/B110</f>
        <v>0.6502131692357499</v>
      </c>
    </row>
    <row r="114" spans="1:4" s="12" customFormat="1" ht="15.75" x14ac:dyDescent="0.25">
      <c r="A114" s="13" t="s">
        <v>1326</v>
      </c>
      <c r="B114" s="14">
        <f>SUMIFS(Auswertung!P:P,Auswertung!K:K,"OFFEN",Auswertung!B:B,"CRYPTO")</f>
        <v>1288.7400033209001</v>
      </c>
      <c r="C114" s="23">
        <f>B114/B110</f>
        <v>9.1578047570558235E-2</v>
      </c>
    </row>
    <row r="115" spans="1:4" s="12" customFormat="1" ht="15.75" x14ac:dyDescent="0.25">
      <c r="A115" s="13"/>
      <c r="B115" s="14"/>
    </row>
    <row r="116" spans="1:4" s="12" customFormat="1" ht="15.75" x14ac:dyDescent="0.25">
      <c r="A116" s="13" t="s">
        <v>1339</v>
      </c>
      <c r="B116" s="14">
        <f>SUMIFS(Auswertung!N:N,Auswertung!N:N,"&lt;0",Auswertung!K:K,"OFFEN")</f>
        <v>-1497.1806374556461</v>
      </c>
      <c r="C116" s="23"/>
    </row>
    <row r="117" spans="1:4" s="12" customFormat="1" ht="15.75" x14ac:dyDescent="0.25">
      <c r="A117" s="13" t="s">
        <v>1340</v>
      </c>
      <c r="B117" s="14">
        <f>SUMIFS(Auswertung!N:N,Auswertung!N:N,"&lt;0",Auswertung!B:B,"STOCK",Auswertung!K:K,"OFFEN")
+SUMIFS(Auswertung!N:N,Auswertung!N:N,"&lt;0",Auswertung!B:B,"FUND",Auswertung!K:K,"OFFEN")</f>
        <v>-1388.7745642293</v>
      </c>
      <c r="C117" s="23">
        <f>B117/B116</f>
        <v>0.9275931904846334</v>
      </c>
    </row>
    <row r="118" spans="1:4" s="12" customFormat="1" ht="15.75" x14ac:dyDescent="0.25">
      <c r="A118" s="13" t="s">
        <v>1358</v>
      </c>
      <c r="B118" s="14">
        <f>SUMIFS(Auswertung!N:N,Auswertung!N:N,"&lt;0",Auswertung!B:B,"STOCK",Auswertung!K:K,"OFFEN")</f>
        <v>-929.23466120630007</v>
      </c>
      <c r="C118" s="23">
        <f>B118/B116</f>
        <v>0.62065634430423133</v>
      </c>
    </row>
    <row r="119" spans="1:4" s="12" customFormat="1" ht="15.75" x14ac:dyDescent="0.25">
      <c r="A119" s="13" t="s">
        <v>1359</v>
      </c>
      <c r="B119" s="14">
        <f>SUMIFS(Auswertung!N:N,Auswertung!N:N,"&lt;0",Auswertung!B:B,"FUND",Auswertung!K:K,"OFFEN")</f>
        <v>-459.53990302299997</v>
      </c>
      <c r="C119" s="23">
        <f>B119/B116</f>
        <v>0.30693684618040207</v>
      </c>
    </row>
    <row r="120" spans="1:4" s="12" customFormat="1" ht="15.75" x14ac:dyDescent="0.25">
      <c r="A120" s="13" t="s">
        <v>1341</v>
      </c>
      <c r="B120" s="14">
        <f>SUMIFS(Auswertung!N:N,Auswertung!N:N,"&lt;0",Auswertung!B:B,"CRYPTO",Auswertung!K:K,"OFFEN")</f>
        <v>-108.406073226346</v>
      </c>
      <c r="C120" s="23">
        <f>B120/B116</f>
        <v>7.240680951536653E-2</v>
      </c>
    </row>
    <row r="121" spans="1:4" s="12" customFormat="1" ht="15.75" x14ac:dyDescent="0.25">
      <c r="A121" s="13"/>
      <c r="B121" s="14"/>
    </row>
    <row r="122" spans="1:4" s="12" customFormat="1" ht="15.75" x14ac:dyDescent="0.25">
      <c r="A122" s="13" t="s">
        <v>1342</v>
      </c>
      <c r="B122" s="14">
        <f>SUMIFS(Auswertung!N:N,Auswertung!N:N,"&gt;0",Auswertung!K:K,"OFFEN")</f>
        <v>572.97050677224786</v>
      </c>
      <c r="C122" s="23"/>
    </row>
    <row r="123" spans="1:4" s="12" customFormat="1" ht="15.75" x14ac:dyDescent="0.25">
      <c r="A123" s="13" t="s">
        <v>1343</v>
      </c>
      <c r="B123" s="14">
        <f>SUMIFS(Auswertung!N:N,Auswertung!N:N,"&gt;0",Auswertung!B:B,"STOCK",Auswertung!K:K,"OFFEN")
+SUMIFS(Auswertung!N:N,Auswertung!N:N,"&gt;0",Auswertung!B:B,"FUND",Auswertung!K:K,"OFFEN")</f>
        <v>529.95445466299998</v>
      </c>
      <c r="C123" s="23">
        <f>B123/B122</f>
        <v>0.92492449157361867</v>
      </c>
    </row>
    <row r="124" spans="1:4" s="12" customFormat="1" ht="15.75" x14ac:dyDescent="0.25">
      <c r="A124" s="13" t="s">
        <v>1360</v>
      </c>
      <c r="B124" s="14">
        <f>SUMIFS(Auswertung!N:N,Auswertung!N:N,"&gt;0",Auswertung!B:B,"STOCK",Auswertung!K:K,"OFFEN")</f>
        <v>8.8800076399999917</v>
      </c>
      <c r="C124" s="23">
        <f>B124/B122</f>
        <v>1.5498193249115593E-2</v>
      </c>
    </row>
    <row r="125" spans="1:4" s="12" customFormat="1" ht="15.75" x14ac:dyDescent="0.25">
      <c r="A125" s="13" t="s">
        <v>1361</v>
      </c>
      <c r="B125" s="14">
        <f xml:space="preserve"> SUMIFS(Auswertung!N:N,Auswertung!N:N,"&gt;0",Auswertung!B:B,"FUND",Auswertung!K:K,"OFFEN")</f>
        <v>521.07444702299995</v>
      </c>
      <c r="C125" s="23">
        <f>B125/B122</f>
        <v>0.90942629832450295</v>
      </c>
    </row>
    <row r="126" spans="1:4" s="12" customFormat="1" ht="15.75" x14ac:dyDescent="0.25">
      <c r="A126" s="13" t="s">
        <v>1344</v>
      </c>
      <c r="B126" s="14">
        <f>SUMIFS(Auswertung!N:N,Auswertung!N:N,"&gt;0",Auswertung!B:B,"CRYPTO",Auswertung!K:K,"OFFEN")</f>
        <v>43.016052109247966</v>
      </c>
      <c r="C126" s="23">
        <f>B126/B122</f>
        <v>7.5075508426381485E-2</v>
      </c>
    </row>
    <row r="127" spans="1:4" s="12" customFormat="1" ht="15.75" x14ac:dyDescent="0.25">
      <c r="A127" s="13"/>
      <c r="B127" s="14"/>
    </row>
    <row r="128" spans="1:4" s="12" customFormat="1" ht="15.75" x14ac:dyDescent="0.25">
      <c r="A128" s="13" t="s">
        <v>1345</v>
      </c>
      <c r="B128" s="14">
        <f>SUMIFS(Auswertung!N:N,Auswertung!K:K,"OFFEN")</f>
        <v>-924.21013068339812</v>
      </c>
      <c r="C128" s="22">
        <f>B91-B110</f>
        <v>-924.21013068339744</v>
      </c>
      <c r="D128" s="22">
        <f>B116+B122</f>
        <v>-924.21013068339823</v>
      </c>
    </row>
    <row r="129" spans="1:5" s="12" customFormat="1" ht="15.75" x14ac:dyDescent="0.25">
      <c r="A129" s="13" t="s">
        <v>1346</v>
      </c>
      <c r="B129" s="14">
        <f>SUMIFS(Auswertung!N:N,Auswertung!B:B,"STOCK",Auswertung!K:K,"OFFEN")
+SUMIFS(Auswertung!N:N,Auswertung!B:B,"FUND",Auswertung!K:K,"OFFEN")</f>
        <v>-858.82010956630006</v>
      </c>
      <c r="C129" s="22">
        <f>B92-B111</f>
        <v>-858.82010956629892</v>
      </c>
      <c r="D129" s="22">
        <f>B117+B123</f>
        <v>-858.82010956630006</v>
      </c>
      <c r="E129" s="23">
        <f>B129/B128</f>
        <v>0.92924766895949729</v>
      </c>
    </row>
    <row r="130" spans="1:5" s="12" customFormat="1" ht="15.75" x14ac:dyDescent="0.25">
      <c r="A130" s="13" t="s">
        <v>1364</v>
      </c>
      <c r="B130" s="14">
        <f>SUMIFS(Auswertung!N:N,Auswertung!B:B,"STOCK",Auswertung!K:K,"OFFEN")</f>
        <v>-920.35465356630004</v>
      </c>
      <c r="C130" s="22">
        <f>B93-B112</f>
        <v>-920.35465356629993</v>
      </c>
      <c r="D130" s="22">
        <f>B118+B124</f>
        <v>-920.35465356630004</v>
      </c>
      <c r="E130" s="23">
        <f>B130/B128</f>
        <v>0.99582835440870232</v>
      </c>
    </row>
    <row r="131" spans="1:5" s="12" customFormat="1" ht="15.75" x14ac:dyDescent="0.25">
      <c r="A131" s="13" t="s">
        <v>1365</v>
      </c>
      <c r="B131" s="14">
        <f>SUMIFS(Auswertung!N:N,Auswertung!B:B,"FUND",Auswertung!K:K,"OFFEN")</f>
        <v>61.534543999999983</v>
      </c>
      <c r="C131" s="22">
        <f>B94-B113</f>
        <v>61.534544000000096</v>
      </c>
      <c r="D131" s="22">
        <f>B119+B125</f>
        <v>61.534543999999983</v>
      </c>
      <c r="E131" s="23">
        <f>B131/B128</f>
        <v>-6.6580685449205007E-2</v>
      </c>
    </row>
    <row r="132" spans="1:5" s="12" customFormat="1" ht="15.75" x14ac:dyDescent="0.25">
      <c r="A132" s="13" t="s">
        <v>1347</v>
      </c>
      <c r="B132" s="14">
        <f>SUMIFS(Auswertung!N:N,Auswertung!B:B,"CRYPTO",Auswertung!K:K,"OFFEN")</f>
        <v>-65.39002111709803</v>
      </c>
      <c r="C132" s="22">
        <f>B95-B114</f>
        <v>-65.390021117098058</v>
      </c>
      <c r="D132" s="22">
        <f>B120+B126</f>
        <v>-65.39002111709803</v>
      </c>
      <c r="E132" s="23">
        <f>B132/B128</f>
        <v>7.0752331040502686E-2</v>
      </c>
    </row>
    <row r="133" spans="1:5" s="12" customFormat="1" ht="15.75" x14ac:dyDescent="0.25">
      <c r="A133" s="13"/>
      <c r="B133" s="14"/>
      <c r="C133" s="22"/>
      <c r="D133" s="22"/>
    </row>
    <row r="134" spans="1:5" s="12" customFormat="1" ht="15.75" x14ac:dyDescent="0.25">
      <c r="A134" s="13" t="s">
        <v>1369</v>
      </c>
      <c r="B134" s="14">
        <f>B78+B128</f>
        <v>239.56347744660161</v>
      </c>
      <c r="C134" s="22"/>
      <c r="D134" s="22"/>
    </row>
    <row r="135" spans="1:5" s="12" customFormat="1" ht="15.75" x14ac:dyDescent="0.25">
      <c r="A135" s="13" t="s">
        <v>1370</v>
      </c>
      <c r="B135" s="14">
        <f>B79+B129</f>
        <v>239.69349856369968</v>
      </c>
      <c r="C135" s="22"/>
      <c r="D135" s="22"/>
    </row>
    <row r="136" spans="1:5" s="12" customFormat="1" ht="15.75" x14ac:dyDescent="0.25">
      <c r="A136" s="13" t="s">
        <v>1371</v>
      </c>
      <c r="B136" s="14">
        <f>B82+B132</f>
        <v>-0.1300211170979253</v>
      </c>
      <c r="C136" s="22"/>
      <c r="D136" s="22"/>
    </row>
    <row r="137" spans="1:5" s="12" customFormat="1" ht="15.75" x14ac:dyDescent="0.25">
      <c r="A137" s="13"/>
      <c r="B137" s="14"/>
    </row>
    <row r="138" spans="1:5" s="12" customFormat="1" ht="15.75" x14ac:dyDescent="0.25">
      <c r="A138" s="13" t="s">
        <v>1329</v>
      </c>
      <c r="B138" s="14">
        <f>B72+B91</f>
        <v>235.79644993750117</v>
      </c>
      <c r="C138" s="22"/>
    </row>
    <row r="139" spans="1:5" s="12" customFormat="1" ht="15.75" x14ac:dyDescent="0.25">
      <c r="A139" s="13" t="s">
        <v>1327</v>
      </c>
      <c r="B139" s="14">
        <f>B73+B92</f>
        <v>235.53646773370019</v>
      </c>
      <c r="C139" s="22"/>
      <c r="D139" s="22"/>
    </row>
    <row r="140" spans="1:5" s="12" customFormat="1" ht="15.75" x14ac:dyDescent="0.25">
      <c r="A140" s="13" t="s">
        <v>1328</v>
      </c>
      <c r="B140" s="14">
        <f>B76+B95</f>
        <v>0.25998220380211023</v>
      </c>
      <c r="C140" s="22"/>
    </row>
    <row r="141" spans="1:5" s="12" customFormat="1" ht="15.75" x14ac:dyDescent="0.25">
      <c r="A141" s="13"/>
      <c r="B141" s="14"/>
    </row>
    <row r="142" spans="1:5" s="12" customFormat="1" ht="15.75" x14ac:dyDescent="0.25">
      <c r="A142" s="13" t="s">
        <v>1332</v>
      </c>
      <c r="B142" s="15">
        <f>-B138/B72</f>
        <v>1.8260986567943911E-2</v>
      </c>
      <c r="C142" s="23">
        <f>-B134/B72</f>
        <v>1.8552719707959339E-2</v>
      </c>
    </row>
    <row r="143" spans="1:5" s="12" customFormat="1" ht="15.75" x14ac:dyDescent="0.25">
      <c r="A143" s="13" t="s">
        <v>1330</v>
      </c>
      <c r="B143" s="15">
        <f>-B139/B73</f>
        <v>2.0149422064923293E-2</v>
      </c>
      <c r="C143" s="23">
        <f>-B135/B73</f>
        <v>2.0505043296473985E-2</v>
      </c>
    </row>
    <row r="144" spans="1:5" s="12" customFormat="1" ht="15.75" x14ac:dyDescent="0.25">
      <c r="A144" s="13" t="s">
        <v>1331</v>
      </c>
      <c r="B144" s="15">
        <f>-B140/B76</f>
        <v>2.1256179332846336E-4</v>
      </c>
      <c r="C144" s="23">
        <f>-B136/B76</f>
        <v>-1.0630543712885013E-4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J47"/>
  <sheetViews>
    <sheetView zoomScale="118" zoomScaleNormal="118" workbookViewId="0">
      <selection activeCell="E25" sqref="E24:E25"/>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0" x14ac:dyDescent="0.25">
      <c r="A3" s="34" t="s">
        <v>1433</v>
      </c>
      <c r="B3" t="s">
        <v>1435</v>
      </c>
      <c r="C3" t="s">
        <v>1434</v>
      </c>
      <c r="E3" t="s">
        <v>1434</v>
      </c>
      <c r="G3" t="s">
        <v>1434</v>
      </c>
      <c r="J3" t="s">
        <v>1435</v>
      </c>
    </row>
    <row r="4" spans="1:10" x14ac:dyDescent="0.25">
      <c r="A4" s="9" t="s">
        <v>64</v>
      </c>
      <c r="B4" s="36">
        <v>1288.7400033209001</v>
      </c>
      <c r="C4" s="36">
        <v>1223.349982203802</v>
      </c>
      <c r="E4" s="36">
        <v>13148.376449937501</v>
      </c>
      <c r="G4" s="36">
        <v>13148.376449937501</v>
      </c>
      <c r="J4" s="36">
        <v>14072.586580620899</v>
      </c>
    </row>
    <row r="5" spans="1:10" x14ac:dyDescent="0.25">
      <c r="A5" s="9" t="s">
        <v>464</v>
      </c>
      <c r="B5" s="36">
        <v>9150.1811199299991</v>
      </c>
      <c r="C5" s="36">
        <v>9211.7156639299992</v>
      </c>
      <c r="I5" t="s">
        <v>1436</v>
      </c>
    </row>
    <row r="6" spans="1:10" x14ac:dyDescent="0.25">
      <c r="A6" s="9" t="s">
        <v>32</v>
      </c>
      <c r="B6" s="36">
        <v>3633.6654573699998</v>
      </c>
      <c r="C6" s="36">
        <v>2713.3108038036999</v>
      </c>
      <c r="E6" s="37">
        <f>GETPIVOTDATA("Aktuelle Position €",$E$3)</f>
        <v>13148.376449937501</v>
      </c>
      <c r="G6" s="37">
        <f>GETPIVOTDATA("Aktuelle Position €",$G$3)</f>
        <v>13148.376449937501</v>
      </c>
      <c r="H6" s="37"/>
      <c r="I6" s="37">
        <f>G6-J6</f>
        <v>-924.21013068339744</v>
      </c>
      <c r="J6" s="37">
        <f>GETPIVOTDATA("Aktuell Investiert €",$J$3)</f>
        <v>14072.586580620899</v>
      </c>
    </row>
    <row r="7" spans="1:10" x14ac:dyDescent="0.25">
      <c r="A7" s="9" t="s">
        <v>1431</v>
      </c>
      <c r="B7" s="36"/>
      <c r="C7" s="36"/>
    </row>
    <row r="8" spans="1:10" x14ac:dyDescent="0.25">
      <c r="A8" s="9" t="s">
        <v>1432</v>
      </c>
      <c r="B8" s="36">
        <v>14072.586580620899</v>
      </c>
      <c r="C8" s="36">
        <v>13148.376449937499</v>
      </c>
    </row>
    <row r="13" spans="1:10" x14ac:dyDescent="0.25">
      <c r="A13" s="34" t="s">
        <v>1433</v>
      </c>
      <c r="B13" t="s">
        <v>1434</v>
      </c>
      <c r="E13" s="34" t="s">
        <v>1433</v>
      </c>
      <c r="F13" t="s">
        <v>1434</v>
      </c>
    </row>
    <row r="14" spans="1:10" x14ac:dyDescent="0.25">
      <c r="A14" s="9" t="s">
        <v>64</v>
      </c>
      <c r="B14" s="36">
        <v>1223.349982203802</v>
      </c>
      <c r="E14" s="9" t="s">
        <v>64</v>
      </c>
      <c r="F14" s="36">
        <v>1223.349982203802</v>
      </c>
    </row>
    <row r="15" spans="1:10" x14ac:dyDescent="0.25">
      <c r="A15" s="35" t="s">
        <v>359</v>
      </c>
      <c r="B15" s="36">
        <v>14.825331278100002</v>
      </c>
      <c r="E15" s="9" t="s">
        <v>464</v>
      </c>
      <c r="F15" s="36">
        <v>9211.7156639299992</v>
      </c>
    </row>
    <row r="16" spans="1:10" x14ac:dyDescent="0.25">
      <c r="A16" s="35" t="s">
        <v>72</v>
      </c>
      <c r="B16" s="36">
        <v>148.921051293175</v>
      </c>
      <c r="E16" s="9" t="s">
        <v>32</v>
      </c>
      <c r="F16" s="36">
        <v>2713.3108038036999</v>
      </c>
    </row>
    <row r="17" spans="1:6" x14ac:dyDescent="0.25">
      <c r="A17" s="35" t="s">
        <v>107</v>
      </c>
      <c r="B17" s="36">
        <v>259.66597086000002</v>
      </c>
      <c r="E17" s="9" t="s">
        <v>1431</v>
      </c>
      <c r="F17" s="36"/>
    </row>
    <row r="18" spans="1:6" x14ac:dyDescent="0.25">
      <c r="A18" s="35" t="s">
        <v>1421</v>
      </c>
      <c r="B18" s="36">
        <v>110.656993675748</v>
      </c>
      <c r="E18" s="9" t="s">
        <v>1432</v>
      </c>
      <c r="F18" s="36">
        <v>13148.376449937499</v>
      </c>
    </row>
    <row r="19" spans="1:6" x14ac:dyDescent="0.25">
      <c r="A19" s="35" t="s">
        <v>118</v>
      </c>
      <c r="B19" s="36">
        <v>78.191593101944989</v>
      </c>
    </row>
    <row r="20" spans="1:6" x14ac:dyDescent="0.25">
      <c r="A20" s="35" t="s">
        <v>355</v>
      </c>
      <c r="B20" s="36">
        <v>19.831817694834001</v>
      </c>
    </row>
    <row r="21" spans="1:6" x14ac:dyDescent="0.25">
      <c r="A21" s="35" t="s">
        <v>114</v>
      </c>
      <c r="B21" s="36">
        <v>38.345999999999997</v>
      </c>
    </row>
    <row r="22" spans="1:6" x14ac:dyDescent="0.25">
      <c r="A22" s="35" t="s">
        <v>65</v>
      </c>
      <c r="B22" s="36">
        <v>299.76</v>
      </c>
    </row>
    <row r="23" spans="1:6" x14ac:dyDescent="0.25">
      <c r="A23" s="35" t="s">
        <v>69</v>
      </c>
      <c r="B23" s="36">
        <v>253.1512243</v>
      </c>
    </row>
    <row r="24" spans="1:6" x14ac:dyDescent="0.25">
      <c r="A24" s="9" t="s">
        <v>464</v>
      </c>
      <c r="B24" s="36">
        <v>9211.7156639299992</v>
      </c>
    </row>
    <row r="25" spans="1:6" x14ac:dyDescent="0.25">
      <c r="A25" s="35" t="s">
        <v>1154</v>
      </c>
      <c r="B25" s="36">
        <v>701.055643143</v>
      </c>
    </row>
    <row r="26" spans="1:6" x14ac:dyDescent="0.25">
      <c r="A26" s="35" t="s">
        <v>465</v>
      </c>
      <c r="B26" s="36">
        <v>1161.5903013000002</v>
      </c>
    </row>
    <row r="27" spans="1:6" x14ac:dyDescent="0.25">
      <c r="A27" s="35" t="s">
        <v>526</v>
      </c>
      <c r="B27" s="36">
        <v>2078.2696752000002</v>
      </c>
    </row>
    <row r="28" spans="1:6" x14ac:dyDescent="0.25">
      <c r="A28" s="35" t="s">
        <v>815</v>
      </c>
      <c r="B28" s="36">
        <v>733.53743855000005</v>
      </c>
    </row>
    <row r="29" spans="1:6" x14ac:dyDescent="0.25">
      <c r="A29" s="35" t="s">
        <v>1018</v>
      </c>
      <c r="B29" s="36">
        <v>373.39748298000006</v>
      </c>
    </row>
    <row r="30" spans="1:6" x14ac:dyDescent="0.25">
      <c r="A30" s="35" t="s">
        <v>1004</v>
      </c>
      <c r="B30" s="36">
        <v>503.81986920200001</v>
      </c>
    </row>
    <row r="31" spans="1:6" x14ac:dyDescent="0.25">
      <c r="A31" s="35" t="s">
        <v>799</v>
      </c>
      <c r="B31" s="36">
        <v>904.30637567999997</v>
      </c>
    </row>
    <row r="32" spans="1:6" x14ac:dyDescent="0.25">
      <c r="A32" s="35" t="s">
        <v>1237</v>
      </c>
      <c r="B32" s="36">
        <v>396.91665079000001</v>
      </c>
    </row>
    <row r="33" spans="1:2" x14ac:dyDescent="0.25">
      <c r="A33" s="35" t="s">
        <v>1178</v>
      </c>
      <c r="B33" s="36">
        <v>511.43825493000003</v>
      </c>
    </row>
    <row r="34" spans="1:2" x14ac:dyDescent="0.25">
      <c r="A34" s="35" t="s">
        <v>1011</v>
      </c>
      <c r="B34" s="36">
        <v>352.45250792500002</v>
      </c>
    </row>
    <row r="35" spans="1:2" x14ac:dyDescent="0.25">
      <c r="A35" s="35" t="s">
        <v>955</v>
      </c>
      <c r="B35" s="36">
        <v>376.24285335000002</v>
      </c>
    </row>
    <row r="36" spans="1:2" x14ac:dyDescent="0.25">
      <c r="A36" s="35" t="s">
        <v>994</v>
      </c>
      <c r="B36" s="36">
        <v>706.11467541999991</v>
      </c>
    </row>
    <row r="37" spans="1:2" x14ac:dyDescent="0.25">
      <c r="A37" s="35" t="s">
        <v>948</v>
      </c>
      <c r="B37" s="36">
        <v>412.57393545999997</v>
      </c>
    </row>
    <row r="38" spans="1:2" x14ac:dyDescent="0.25">
      <c r="A38" s="9" t="s">
        <v>32</v>
      </c>
      <c r="B38" s="36">
        <v>2713.3108038036999</v>
      </c>
    </row>
    <row r="39" spans="1:2" x14ac:dyDescent="0.25">
      <c r="A39" s="35" t="s">
        <v>262</v>
      </c>
      <c r="B39" s="36">
        <v>28.467232879999969</v>
      </c>
    </row>
    <row r="40" spans="1:2" x14ac:dyDescent="0.25">
      <c r="A40" s="35" t="s">
        <v>300</v>
      </c>
      <c r="B40" s="36">
        <v>40.950000000000003</v>
      </c>
    </row>
    <row r="41" spans="1:2" x14ac:dyDescent="0.25">
      <c r="A41" s="35" t="s">
        <v>167</v>
      </c>
      <c r="B41" s="36">
        <v>734.50022536079996</v>
      </c>
    </row>
    <row r="42" spans="1:2" x14ac:dyDescent="0.25">
      <c r="A42" s="35" t="s">
        <v>154</v>
      </c>
      <c r="B42" s="36">
        <v>472.78667273790001</v>
      </c>
    </row>
    <row r="43" spans="1:2" x14ac:dyDescent="0.25">
      <c r="A43" s="35" t="s">
        <v>664</v>
      </c>
      <c r="B43" s="36">
        <v>225.87888294200002</v>
      </c>
    </row>
    <row r="44" spans="1:2" x14ac:dyDescent="0.25">
      <c r="A44" s="35" t="s">
        <v>747</v>
      </c>
      <c r="B44" s="36">
        <v>453.09121732</v>
      </c>
    </row>
    <row r="45" spans="1:2" x14ac:dyDescent="0.25">
      <c r="A45" s="35" t="s">
        <v>1182</v>
      </c>
      <c r="B45" s="36">
        <v>213.56081420000001</v>
      </c>
    </row>
    <row r="46" spans="1:2" x14ac:dyDescent="0.25">
      <c r="A46" s="35" t="s">
        <v>515</v>
      </c>
      <c r="B46" s="36">
        <v>544.07575836299998</v>
      </c>
    </row>
    <row r="47" spans="1:2" x14ac:dyDescent="0.25">
      <c r="A47" s="9" t="s">
        <v>1432</v>
      </c>
      <c r="B47" s="36">
        <v>13148.376449937503</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H10" workbookViewId="0">
      <selection activeCell="F66" sqref="F66"/>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1433</v>
      </c>
      <c r="B8" s="28" t="s">
        <v>1441</v>
      </c>
      <c r="C8" s="5" t="s">
        <v>1437</v>
      </c>
      <c r="D8" s="5" t="s">
        <v>1434</v>
      </c>
    </row>
    <row r="9" spans="1:4" x14ac:dyDescent="0.25">
      <c r="A9" s="9" t="s">
        <v>64</v>
      </c>
      <c r="B9" s="28"/>
      <c r="C9" s="38"/>
      <c r="D9" s="38"/>
    </row>
    <row r="10" spans="1:4" x14ac:dyDescent="0.25">
      <c r="A10" s="35" t="s">
        <v>359</v>
      </c>
      <c r="B10" s="28">
        <v>160.77442500000001</v>
      </c>
      <c r="C10" s="38">
        <v>9.2212000000000002E-2</v>
      </c>
      <c r="D10" s="38">
        <v>14.825331278100002</v>
      </c>
    </row>
    <row r="11" spans="1:4" x14ac:dyDescent="0.25">
      <c r="A11" s="35" t="s">
        <v>72</v>
      </c>
      <c r="B11" s="28">
        <v>714.061285</v>
      </c>
      <c r="C11" s="38">
        <v>0.20855499999999999</v>
      </c>
      <c r="D11" s="38">
        <v>148.921051293175</v>
      </c>
    </row>
    <row r="12" spans="1:4" x14ac:dyDescent="0.25">
      <c r="A12" s="35" t="s">
        <v>107</v>
      </c>
      <c r="B12" s="28">
        <v>24.110118</v>
      </c>
      <c r="C12" s="38">
        <v>10.77</v>
      </c>
      <c r="D12" s="38">
        <v>259.66597086000002</v>
      </c>
    </row>
    <row r="13" spans="1:4" x14ac:dyDescent="0.25">
      <c r="A13" s="35" t="s">
        <v>1421</v>
      </c>
      <c r="B13" s="28">
        <v>1356.0241370000001</v>
      </c>
      <c r="C13" s="38">
        <v>8.1603999999999996E-2</v>
      </c>
      <c r="D13" s="38">
        <v>110.656993675748</v>
      </c>
    </row>
    <row r="14" spans="1:4" x14ac:dyDescent="0.25">
      <c r="A14" s="35" t="s">
        <v>118</v>
      </c>
      <c r="B14" s="28">
        <v>80.193626999999992</v>
      </c>
      <c r="C14" s="38">
        <v>0.97503499999999999</v>
      </c>
      <c r="D14" s="38">
        <v>78.191593101944989</v>
      </c>
    </row>
    <row r="15" spans="1:4" x14ac:dyDescent="0.25">
      <c r="A15" s="35" t="s">
        <v>355</v>
      </c>
      <c r="B15" s="28">
        <v>223.93145699999999</v>
      </c>
      <c r="C15" s="38">
        <v>8.8562000000000002E-2</v>
      </c>
      <c r="D15" s="38">
        <v>19.831817694834001</v>
      </c>
    </row>
    <row r="16" spans="1:4" x14ac:dyDescent="0.25">
      <c r="A16" s="35" t="s">
        <v>114</v>
      </c>
      <c r="B16" s="28">
        <v>24.9</v>
      </c>
      <c r="C16" s="38">
        <v>1.54</v>
      </c>
      <c r="D16" s="38">
        <v>38.345999999999997</v>
      </c>
    </row>
    <row r="17" spans="1:4" x14ac:dyDescent="0.25">
      <c r="A17" s="35" t="s">
        <v>65</v>
      </c>
      <c r="B17" s="28">
        <v>3</v>
      </c>
      <c r="C17" s="38">
        <v>99.92</v>
      </c>
      <c r="D17" s="38">
        <v>299.76</v>
      </c>
    </row>
    <row r="18" spans="1:4" x14ac:dyDescent="0.25">
      <c r="A18" s="35" t="s">
        <v>69</v>
      </c>
      <c r="B18" s="28">
        <v>194.73171099999999</v>
      </c>
      <c r="C18" s="38">
        <v>1.3</v>
      </c>
      <c r="D18" s="38">
        <v>253.1512243</v>
      </c>
    </row>
    <row r="19" spans="1:4" x14ac:dyDescent="0.25">
      <c r="A19" s="9" t="s">
        <v>1438</v>
      </c>
      <c r="B19" s="28">
        <v>2781.7267600000005</v>
      </c>
      <c r="C19" s="38">
        <v>114.97596799999999</v>
      </c>
      <c r="D19" s="38">
        <v>1223.349982203802</v>
      </c>
    </row>
    <row r="20" spans="1:4" x14ac:dyDescent="0.25">
      <c r="A20" s="9"/>
      <c r="B20" s="28"/>
      <c r="C20" s="38"/>
      <c r="D20" s="38"/>
    </row>
    <row r="21" spans="1:4" x14ac:dyDescent="0.25">
      <c r="A21" s="9" t="s">
        <v>464</v>
      </c>
      <c r="B21" s="28"/>
      <c r="C21" s="38"/>
      <c r="D21" s="38"/>
    </row>
    <row r="22" spans="1:4" x14ac:dyDescent="0.25">
      <c r="A22" s="35" t="s">
        <v>1154</v>
      </c>
      <c r="B22" s="28">
        <v>14.461017</v>
      </c>
      <c r="C22" s="38">
        <v>48.478999999999999</v>
      </c>
      <c r="D22" s="38">
        <v>701.055643143</v>
      </c>
    </row>
    <row r="23" spans="1:4" x14ac:dyDescent="0.25">
      <c r="A23" s="35" t="s">
        <v>465</v>
      </c>
      <c r="B23" s="28">
        <v>9.0643020000000014</v>
      </c>
      <c r="C23" s="38">
        <v>128.15</v>
      </c>
      <c r="D23" s="38">
        <v>1161.5903013000002</v>
      </c>
    </row>
    <row r="24" spans="1:4" x14ac:dyDescent="0.25">
      <c r="A24" s="35" t="s">
        <v>526</v>
      </c>
      <c r="B24" s="28">
        <v>2.8623150000000002</v>
      </c>
      <c r="C24" s="38">
        <v>726.08</v>
      </c>
      <c r="D24" s="38">
        <v>2078.2696752000002</v>
      </c>
    </row>
    <row r="25" spans="1:4" x14ac:dyDescent="0.25">
      <c r="A25" s="35" t="s">
        <v>815</v>
      </c>
      <c r="B25" s="28">
        <v>2.3372229999999998</v>
      </c>
      <c r="C25" s="38">
        <v>313.85000000000002</v>
      </c>
      <c r="D25" s="38">
        <v>733.53743855000005</v>
      </c>
    </row>
    <row r="26" spans="1:4" x14ac:dyDescent="0.25">
      <c r="A26" s="35" t="s">
        <v>1018</v>
      </c>
      <c r="B26" s="28">
        <v>7.1821020000000004</v>
      </c>
      <c r="C26" s="38">
        <v>51.99</v>
      </c>
      <c r="D26" s="38">
        <v>373.39748298000006</v>
      </c>
    </row>
    <row r="27" spans="1:4" x14ac:dyDescent="0.25">
      <c r="A27" s="35" t="s">
        <v>1004</v>
      </c>
      <c r="B27" s="28">
        <v>102.799402</v>
      </c>
      <c r="C27" s="38">
        <v>4.9009999999999998</v>
      </c>
      <c r="D27" s="38">
        <v>503.81986920200001</v>
      </c>
    </row>
    <row r="28" spans="1:4" x14ac:dyDescent="0.25">
      <c r="A28" s="35" t="s">
        <v>799</v>
      </c>
      <c r="B28" s="28">
        <v>6.0335359999999998</v>
      </c>
      <c r="C28" s="38">
        <v>149.88</v>
      </c>
      <c r="D28" s="38">
        <v>904.30637567999997</v>
      </c>
    </row>
    <row r="29" spans="1:4" x14ac:dyDescent="0.25">
      <c r="A29" s="35" t="s">
        <v>1237</v>
      </c>
      <c r="B29" s="28">
        <v>8.3333329999999997</v>
      </c>
      <c r="C29" s="38">
        <v>47.63</v>
      </c>
      <c r="D29" s="38">
        <v>396.91665079000001</v>
      </c>
    </row>
    <row r="30" spans="1:4" x14ac:dyDescent="0.25">
      <c r="A30" s="35" t="s">
        <v>1178</v>
      </c>
      <c r="B30" s="28">
        <v>9.423959</v>
      </c>
      <c r="C30" s="38">
        <v>54.27</v>
      </c>
      <c r="D30" s="38">
        <v>511.43825493000003</v>
      </c>
    </row>
    <row r="31" spans="1:4" x14ac:dyDescent="0.25">
      <c r="A31" s="35" t="s">
        <v>1011</v>
      </c>
      <c r="B31" s="28">
        <v>8.7359650000000002</v>
      </c>
      <c r="C31" s="38">
        <v>40.344999999999999</v>
      </c>
      <c r="D31" s="38">
        <v>352.45250792500002</v>
      </c>
    </row>
    <row r="32" spans="1:4" x14ac:dyDescent="0.25">
      <c r="A32" s="35" t="s">
        <v>955</v>
      </c>
      <c r="B32" s="28">
        <v>14.728630000000001</v>
      </c>
      <c r="C32" s="38">
        <v>25.545000000000002</v>
      </c>
      <c r="D32" s="38">
        <v>376.24285335000002</v>
      </c>
    </row>
    <row r="33" spans="1:4" x14ac:dyDescent="0.25">
      <c r="A33" s="35" t="s">
        <v>994</v>
      </c>
      <c r="B33" s="28">
        <v>7.237006</v>
      </c>
      <c r="C33" s="38">
        <v>97.57</v>
      </c>
      <c r="D33" s="38">
        <v>706.11467541999991</v>
      </c>
    </row>
    <row r="34" spans="1:4" x14ac:dyDescent="0.25">
      <c r="A34" s="35" t="s">
        <v>948</v>
      </c>
      <c r="B34" s="28">
        <v>5.9082619999999997</v>
      </c>
      <c r="C34" s="38">
        <v>69.83</v>
      </c>
      <c r="D34" s="38">
        <v>412.57393545999997</v>
      </c>
    </row>
    <row r="35" spans="1:4" x14ac:dyDescent="0.25">
      <c r="A35" s="9" t="s">
        <v>1439</v>
      </c>
      <c r="B35" s="28">
        <v>199.10705200000004</v>
      </c>
      <c r="C35" s="38">
        <v>1758.5200000000004</v>
      </c>
      <c r="D35" s="38">
        <v>9211.7156639299992</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48.92</v>
      </c>
      <c r="D38" s="38">
        <v>28.467232879999969</v>
      </c>
    </row>
    <row r="39" spans="1:4" x14ac:dyDescent="0.25">
      <c r="A39" s="35" t="s">
        <v>300</v>
      </c>
      <c r="B39" s="28">
        <v>30</v>
      </c>
      <c r="C39" s="38">
        <v>1.365</v>
      </c>
      <c r="D39" s="38">
        <v>40.950000000000003</v>
      </c>
    </row>
    <row r="40" spans="1:4" x14ac:dyDescent="0.25">
      <c r="A40" s="35" t="s">
        <v>167</v>
      </c>
      <c r="B40" s="28">
        <v>731.28258199999993</v>
      </c>
      <c r="C40" s="38">
        <v>1.0044</v>
      </c>
      <c r="D40" s="38">
        <v>734.50022536079996</v>
      </c>
    </row>
    <row r="41" spans="1:4" x14ac:dyDescent="0.25">
      <c r="A41" s="35" t="s">
        <v>154</v>
      </c>
      <c r="B41" s="28">
        <v>32.327956999999998</v>
      </c>
      <c r="C41" s="38">
        <v>14.624700000000001</v>
      </c>
      <c r="D41" s="38">
        <v>472.78667273790001</v>
      </c>
    </row>
    <row r="42" spans="1:4" x14ac:dyDescent="0.25">
      <c r="A42" s="35" t="s">
        <v>664</v>
      </c>
      <c r="B42" s="28">
        <v>29.728729000000001</v>
      </c>
      <c r="C42" s="38">
        <v>7.5979999999999999</v>
      </c>
      <c r="D42" s="38">
        <v>225.87888294200002</v>
      </c>
    </row>
    <row r="43" spans="1:4" x14ac:dyDescent="0.25">
      <c r="A43" s="35" t="s">
        <v>747</v>
      </c>
      <c r="B43" s="28">
        <v>7.1999240000000002</v>
      </c>
      <c r="C43" s="38">
        <v>62.93</v>
      </c>
      <c r="D43" s="38">
        <v>453.09121732</v>
      </c>
    </row>
    <row r="44" spans="1:4" x14ac:dyDescent="0.25">
      <c r="A44" s="35" t="s">
        <v>1182</v>
      </c>
      <c r="B44" s="28">
        <v>6.7689640000000004</v>
      </c>
      <c r="C44" s="38">
        <v>31.55</v>
      </c>
      <c r="D44" s="38">
        <v>213.56081420000001</v>
      </c>
    </row>
    <row r="45" spans="1:4" x14ac:dyDescent="0.25">
      <c r="A45" s="35" t="s">
        <v>515</v>
      </c>
      <c r="B45" s="28">
        <v>62.851702000000003</v>
      </c>
      <c r="C45" s="38">
        <v>8.6564999999999994</v>
      </c>
      <c r="D45" s="38">
        <v>544.07575836299998</v>
      </c>
    </row>
    <row r="46" spans="1:4" x14ac:dyDescent="0.25">
      <c r="A46" s="9" t="s">
        <v>1440</v>
      </c>
      <c r="B46" s="28">
        <v>900.74177199999997</v>
      </c>
      <c r="C46" s="38">
        <v>176.64860000000002</v>
      </c>
      <c r="D46" s="38">
        <v>2713.3108038036999</v>
      </c>
    </row>
    <row r="47" spans="1:4" x14ac:dyDescent="0.25">
      <c r="A47" s="9"/>
      <c r="B47" s="28"/>
      <c r="C47" s="38"/>
      <c r="D47" s="38"/>
    </row>
    <row r="48" spans="1:4" x14ac:dyDescent="0.25">
      <c r="A48" s="9" t="s">
        <v>1432</v>
      </c>
      <c r="B48" s="28">
        <v>3881.5755840000002</v>
      </c>
      <c r="C48" s="38">
        <v>2050.1445680000002</v>
      </c>
      <c r="D48" s="38">
        <v>13148.376449937503</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2026-09-24T10:04:55Z</dcterms:modified>
</cp:coreProperties>
</file>