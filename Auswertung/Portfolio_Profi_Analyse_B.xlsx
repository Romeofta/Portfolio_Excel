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EBE44254-7135-4665-8641-6C1B873D0BB3}" xr6:coauthVersionLast="47" xr6:coauthVersionMax="47" xr10:uidLastSave="{00000000-0000-0000-0000-000000000000}"/>
  <bookViews>
    <workbookView xWindow="-1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 name="Berechnungen" sheetId="9" r:id="rId9"/>
  </sheets>
  <definedNames>
    <definedName name="_xlnm._FilterDatabase" localSheetId="1" hidden="1">Auswertung!$A$1:$X$63</definedName>
    <definedName name="_xlnm._FilterDatabase" localSheetId="0" hidden="1">Daten!$A$1:$W$686</definedName>
    <definedName name="Datenschnitt_Asset">#N/A</definedName>
    <definedName name="Datenschnitt_Klasse">#N/A</definedName>
  </definedNames>
  <calcPr calcId="191029"/>
  <pivotCaches>
    <pivotCache cacheId="20" r:id="rId10"/>
  </pivotCaches>
  <fileRecoveryPr repairLoad="1"/>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 i="2" l="1"/>
  <c r="U4" i="2"/>
  <c r="T3" i="2"/>
  <c r="W3" i="2" s="1"/>
  <c r="S3" i="2"/>
  <c r="R3" i="2"/>
  <c r="Q3" i="2"/>
  <c r="P3" i="2"/>
  <c r="O3" i="2"/>
  <c r="K2" i="2"/>
  <c r="B85" i="4"/>
  <c r="B86" i="4"/>
  <c r="B89" i="4"/>
  <c r="B88" i="4"/>
  <c r="B87" i="4"/>
  <c r="B84" i="4"/>
  <c r="F72" i="2"/>
  <c r="E72" i="2" a="1"/>
  <c r="E72" i="2" s="1"/>
  <c r="F73" i="2"/>
  <c r="E73" i="2" a="1"/>
  <c r="E73" i="2" s="1"/>
  <c r="U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2" i="2"/>
  <c r="D2" i="2"/>
  <c r="B7" i="9" l="1"/>
  <c r="B5" i="9"/>
  <c r="B6" i="9" s="1"/>
  <c r="V63" i="2"/>
  <c r="U63" i="2"/>
  <c r="I63" i="2"/>
  <c r="H63" i="2"/>
  <c r="G63" i="2"/>
  <c r="E63" i="2"/>
  <c r="T63" i="2" s="1"/>
  <c r="W63" i="2" s="1"/>
  <c r="D63" i="2"/>
  <c r="C46" i="4"/>
  <c r="C45" i="4"/>
  <c r="C44" i="4"/>
  <c r="C43" i="4"/>
  <c r="C42" i="4"/>
  <c r="K63" i="2" l="1"/>
  <c r="F63" i="2"/>
  <c r="P63" i="2" s="1"/>
  <c r="D46" i="4"/>
  <c r="D44" i="4"/>
  <c r="D43" i="4"/>
  <c r="D45" i="4"/>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H73" i="2" s="1"/>
  <c r="E4" i="2"/>
  <c r="E5" i="2"/>
  <c r="E6" i="2"/>
  <c r="E7" i="2"/>
  <c r="E8" i="2"/>
  <c r="E9" i="2"/>
  <c r="E10" i="2"/>
  <c r="E11" i="2"/>
  <c r="E12" i="2"/>
  <c r="E13" i="2"/>
  <c r="E14" i="2"/>
  <c r="E15" i="2"/>
  <c r="E16" i="2"/>
  <c r="E17" i="2"/>
  <c r="T17" i="2" s="1"/>
  <c r="W17" i="2" s="1"/>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G73" i="2" s="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G72" i="2" s="1"/>
  <c r="D52" i="2"/>
  <c r="D53" i="2"/>
  <c r="D54" i="2"/>
  <c r="D55" i="2"/>
  <c r="D56" i="2"/>
  <c r="D57" i="2"/>
  <c r="D58" i="2"/>
  <c r="D59" i="2"/>
  <c r="D60" i="2"/>
  <c r="D61" i="2"/>
  <c r="D62" i="2"/>
  <c r="V17" i="2"/>
  <c r="U17" i="2"/>
  <c r="J6" i="7"/>
  <c r="G6" i="7"/>
  <c r="L6" i="7"/>
  <c r="E6" i="7"/>
  <c r="K55" i="2" l="1"/>
  <c r="K39" i="2"/>
  <c r="K23" i="2"/>
  <c r="K7" i="2"/>
  <c r="K53" i="2"/>
  <c r="K37" i="2"/>
  <c r="K21" i="2"/>
  <c r="K5" i="2"/>
  <c r="K51" i="2"/>
  <c r="K35" i="2"/>
  <c r="K19" i="2"/>
  <c r="K47" i="2"/>
  <c r="K58" i="2"/>
  <c r="K56" i="2"/>
  <c r="K54" i="2"/>
  <c r="K38" i="2"/>
  <c r="K22" i="2"/>
  <c r="K6" i="2"/>
  <c r="K52" i="2"/>
  <c r="K36" i="2"/>
  <c r="K20" i="2"/>
  <c r="K4" i="2"/>
  <c r="K3" i="2"/>
  <c r="K50" i="2"/>
  <c r="K34" i="2"/>
  <c r="K18" i="2"/>
  <c r="K49" i="2"/>
  <c r="K33" i="2"/>
  <c r="K17" i="2"/>
  <c r="K48" i="2"/>
  <c r="K32" i="2"/>
  <c r="K16" i="2"/>
  <c r="K31" i="2"/>
  <c r="K15" i="2"/>
  <c r="K62" i="2"/>
  <c r="K46" i="2"/>
  <c r="K30" i="2"/>
  <c r="K14" i="2"/>
  <c r="K61" i="2"/>
  <c r="K45" i="2"/>
  <c r="K29" i="2"/>
  <c r="K13" i="2"/>
  <c r="K60" i="2"/>
  <c r="K44" i="2"/>
  <c r="K28" i="2"/>
  <c r="K12" i="2"/>
  <c r="K59" i="2"/>
  <c r="K43" i="2"/>
  <c r="K27" i="2"/>
  <c r="K11" i="2"/>
  <c r="K10" i="2"/>
  <c r="K42" i="2"/>
  <c r="K26" i="2"/>
  <c r="K57" i="2"/>
  <c r="K41" i="2"/>
  <c r="K25" i="2"/>
  <c r="K9" i="2"/>
  <c r="K40" i="2"/>
  <c r="K24" i="2"/>
  <c r="K8" i="2"/>
  <c r="Q63" i="2"/>
  <c r="L63" i="2"/>
  <c r="I6" i="7"/>
  <c r="F17" i="2"/>
  <c r="Q17" i="2" s="1"/>
  <c r="B55" i="4"/>
  <c r="V36" i="2"/>
  <c r="V37" i="2"/>
  <c r="V38" i="2"/>
  <c r="V39" i="2"/>
  <c r="V40" i="2"/>
  <c r="V41" i="2"/>
  <c r="V42" i="2"/>
  <c r="V45" i="2"/>
  <c r="V46" i="2"/>
  <c r="V43" i="2"/>
  <c r="V44" i="2"/>
  <c r="V47" i="2"/>
  <c r="V48" i="2"/>
  <c r="V49" i="2"/>
  <c r="V50" i="2"/>
  <c r="V51" i="2"/>
  <c r="V52" i="2"/>
  <c r="V53" i="2"/>
  <c r="V54" i="2"/>
  <c r="V55" i="2"/>
  <c r="V56" i="2"/>
  <c r="V57" i="2"/>
  <c r="V58" i="2"/>
  <c r="V59" i="2"/>
  <c r="V60" i="2"/>
  <c r="V61" i="2"/>
  <c r="V62" i="2"/>
  <c r="V30" i="2"/>
  <c r="V27" i="2"/>
  <c r="V34" i="2"/>
  <c r="V31" i="2"/>
  <c r="V32" i="2"/>
  <c r="V33" i="2"/>
  <c r="V35" i="2"/>
  <c r="V4" i="2"/>
  <c r="V5" i="2"/>
  <c r="V6" i="2"/>
  <c r="V3" i="2"/>
  <c r="V7" i="2"/>
  <c r="V8" i="2"/>
  <c r="V9" i="2"/>
  <c r="V10" i="2"/>
  <c r="V11" i="2"/>
  <c r="V12" i="2"/>
  <c r="V13" i="2"/>
  <c r="V21" i="2"/>
  <c r="V14" i="2"/>
  <c r="V15" i="2"/>
  <c r="V16" i="2"/>
  <c r="V18" i="2"/>
  <c r="V19" i="2"/>
  <c r="V20" i="2"/>
  <c r="V22" i="2"/>
  <c r="V23" i="2"/>
  <c r="V24" i="2"/>
  <c r="V25" i="2"/>
  <c r="V26" i="2"/>
  <c r="V28" i="2"/>
  <c r="V29" i="2"/>
  <c r="V2" i="2"/>
  <c r="U5" i="2"/>
  <c r="U6" i="2"/>
  <c r="U3" i="2"/>
  <c r="U7" i="2"/>
  <c r="U8" i="2"/>
  <c r="U9" i="2"/>
  <c r="U10" i="2"/>
  <c r="U11" i="2"/>
  <c r="U12" i="2"/>
  <c r="U13" i="2"/>
  <c r="U21" i="2"/>
  <c r="U14" i="2"/>
  <c r="U15" i="2"/>
  <c r="U16" i="2"/>
  <c r="U18" i="2"/>
  <c r="U19" i="2"/>
  <c r="U20" i="2"/>
  <c r="U22" i="2"/>
  <c r="U23" i="2"/>
  <c r="U24" i="2"/>
  <c r="U25" i="2"/>
  <c r="U26" i="2"/>
  <c r="U28" i="2"/>
  <c r="U29" i="2"/>
  <c r="U30" i="2"/>
  <c r="U27" i="2"/>
  <c r="U34" i="2"/>
  <c r="U31" i="2"/>
  <c r="U32" i="2"/>
  <c r="U33" i="2"/>
  <c r="U35" i="2"/>
  <c r="U36" i="2"/>
  <c r="U37" i="2"/>
  <c r="U38" i="2"/>
  <c r="U39" i="2"/>
  <c r="U40" i="2"/>
  <c r="U41" i="2"/>
  <c r="U42" i="2"/>
  <c r="U45" i="2"/>
  <c r="U46" i="2"/>
  <c r="U43" i="2"/>
  <c r="U44" i="2"/>
  <c r="U47" i="2"/>
  <c r="U48" i="2"/>
  <c r="U49" i="2"/>
  <c r="U50" i="2"/>
  <c r="U51" i="2"/>
  <c r="U52" i="2"/>
  <c r="U53" i="2"/>
  <c r="U54" i="2"/>
  <c r="U55" i="2"/>
  <c r="U56" i="2"/>
  <c r="U57" i="2"/>
  <c r="U58" i="2"/>
  <c r="U59" i="2"/>
  <c r="U60" i="2"/>
  <c r="U61" i="2"/>
  <c r="U62" i="2"/>
  <c r="D40" i="4"/>
  <c r="D34" i="4"/>
  <c r="D39" i="4"/>
  <c r="D33" i="4"/>
  <c r="D38" i="4"/>
  <c r="D32" i="4"/>
  <c r="D37" i="4"/>
  <c r="D31" i="4"/>
  <c r="B57" i="4"/>
  <c r="B56" i="4"/>
  <c r="D28" i="4"/>
  <c r="D22" i="4"/>
  <c r="D27" i="4"/>
  <c r="D21" i="4"/>
  <c r="D26" i="4"/>
  <c r="D20" i="4"/>
  <c r="D25" i="4"/>
  <c r="D19" i="4"/>
  <c r="B49" i="4"/>
  <c r="B51" i="4"/>
  <c r="B50" i="4"/>
  <c r="S63" i="2" l="1"/>
  <c r="X63" i="2"/>
  <c r="O63" i="2"/>
  <c r="R63" i="2" s="1"/>
  <c r="P17" i="2"/>
  <c r="L17" i="2"/>
  <c r="B70" i="4"/>
  <c r="B69" i="4"/>
  <c r="B68" i="4"/>
  <c r="B66" i="4"/>
  <c r="B67" i="4"/>
  <c r="B63" i="4"/>
  <c r="B62" i="4"/>
  <c r="B64" i="4"/>
  <c r="B60" i="4"/>
  <c r="B61" i="4"/>
  <c r="B58" i="4"/>
  <c r="B52" i="4"/>
  <c r="B108" i="4"/>
  <c r="B107" i="4"/>
  <c r="B106" i="4"/>
  <c r="B103" i="4"/>
  <c r="B102" i="4"/>
  <c r="B101" i="4"/>
  <c r="T19" i="2"/>
  <c r="W19" i="2" s="1"/>
  <c r="B6" i="4"/>
  <c r="B5" i="4"/>
  <c r="B4" i="4"/>
  <c r="B3" i="4"/>
  <c r="O17" i="2" l="1"/>
  <c r="R17" i="2" s="1"/>
  <c r="S17" i="2"/>
  <c r="X17" i="2"/>
  <c r="C6" i="4"/>
  <c r="C5" i="4"/>
  <c r="C3" i="4"/>
  <c r="C4" i="4"/>
  <c r="C70" i="4"/>
  <c r="C69" i="4"/>
  <c r="C68" i="4"/>
  <c r="C67" i="4"/>
  <c r="C64" i="4"/>
  <c r="C63" i="4"/>
  <c r="C62" i="4"/>
  <c r="C61" i="4"/>
  <c r="T62" i="2"/>
  <c r="W62" i="2" s="1"/>
  <c r="T55" i="2"/>
  <c r="W55" i="2" s="1"/>
  <c r="T51" i="2"/>
  <c r="W51" i="2" s="1"/>
  <c r="T44" i="2"/>
  <c r="W44" i="2" s="1"/>
  <c r="T41" i="2"/>
  <c r="W41" i="2" s="1"/>
  <c r="T40" i="2"/>
  <c r="W40" i="2" s="1"/>
  <c r="T39" i="2"/>
  <c r="W39" i="2" s="1"/>
  <c r="T33" i="2"/>
  <c r="W33" i="2" s="1"/>
  <c r="T32" i="2"/>
  <c r="W32" i="2" s="1"/>
  <c r="T31" i="2"/>
  <c r="W31" i="2" s="1"/>
  <c r="T30" i="2"/>
  <c r="W30" i="2" s="1"/>
  <c r="T29" i="2"/>
  <c r="W29" i="2" s="1"/>
  <c r="T16" i="2"/>
  <c r="W16" i="2" s="1"/>
  <c r="T15" i="2"/>
  <c r="W15" i="2" s="1"/>
  <c r="T13" i="2"/>
  <c r="W13" i="2" s="1"/>
  <c r="T10" i="2"/>
  <c r="W10" i="2" s="1"/>
  <c r="T9" i="2"/>
  <c r="W9" i="2" s="1"/>
  <c r="T7" i="2"/>
  <c r="W7" i="2" s="1"/>
  <c r="T2" i="2"/>
  <c r="W2" i="2" s="1"/>
  <c r="B43" i="4" l="1"/>
  <c r="B42" i="4"/>
  <c r="B24" i="4"/>
  <c r="B28" i="4"/>
  <c r="B22" i="4"/>
  <c r="B37" i="4"/>
  <c r="B32" i="4"/>
  <c r="B38" i="4"/>
  <c r="B31" i="4"/>
  <c r="B44" i="4"/>
  <c r="B21" i="4"/>
  <c r="B27" i="4"/>
  <c r="B39" i="4"/>
  <c r="B33" i="4"/>
  <c r="B34" i="4"/>
  <c r="B40" i="4"/>
  <c r="B26" i="4"/>
  <c r="B20" i="4"/>
  <c r="B25" i="4"/>
  <c r="B19" i="4"/>
  <c r="B45" i="4"/>
  <c r="B46" i="4"/>
  <c r="F2" i="2"/>
  <c r="F54" i="2"/>
  <c r="Q54" i="2" s="1"/>
  <c r="F4" i="2"/>
  <c r="Q4" i="2" s="1"/>
  <c r="F11" i="2"/>
  <c r="F56" i="2"/>
  <c r="Q56" i="2" s="1"/>
  <c r="F21" i="2"/>
  <c r="F20" i="2"/>
  <c r="F33" i="2"/>
  <c r="Q33" i="2" s="1"/>
  <c r="F50" i="2"/>
  <c r="Q50" i="2" s="1"/>
  <c r="F43" i="2"/>
  <c r="Q43" i="2" s="1"/>
  <c r="F44" i="2"/>
  <c r="Q44" i="2" s="1"/>
  <c r="F8" i="2"/>
  <c r="Q8" i="2" s="1"/>
  <c r="F31" i="2"/>
  <c r="Q31" i="2" s="1"/>
  <c r="F48" i="2"/>
  <c r="Q48" i="2" s="1"/>
  <c r="F27" i="2"/>
  <c r="Q27" i="2" s="1"/>
  <c r="F62" i="2"/>
  <c r="Q62" i="2" s="1"/>
  <c r="F16" i="2"/>
  <c r="Q16" i="2" s="1"/>
  <c r="F47" i="2"/>
  <c r="F12" i="2"/>
  <c r="F29" i="2"/>
  <c r="Q29" i="2" s="1"/>
  <c r="F60" i="2"/>
  <c r="Q60" i="2" s="1"/>
  <c r="F25" i="2"/>
  <c r="Q25" i="2" s="1"/>
  <c r="F18" i="2"/>
  <c r="Q18" i="2" s="1"/>
  <c r="F35" i="2"/>
  <c r="Q35" i="2" s="1"/>
  <c r="F10" i="2"/>
  <c r="Q10" i="2" s="1"/>
  <c r="F26" i="2"/>
  <c r="Q26" i="2" s="1"/>
  <c r="F7" i="2"/>
  <c r="Q7" i="2" s="1"/>
  <c r="F23" i="2"/>
  <c r="Q23" i="2" s="1"/>
  <c r="F39" i="2"/>
  <c r="Q39" i="2" s="1"/>
  <c r="F55" i="2"/>
  <c r="Q55" i="2" s="1"/>
  <c r="F15" i="2"/>
  <c r="Q15" i="2" s="1"/>
  <c r="F32" i="2"/>
  <c r="Q32" i="2" s="1"/>
  <c r="F49" i="2"/>
  <c r="Q49" i="2" s="1"/>
  <c r="F24" i="2"/>
  <c r="Q24" i="2" s="1"/>
  <c r="F40" i="2"/>
  <c r="Q40" i="2" s="1"/>
  <c r="F5" i="2"/>
  <c r="Q5" i="2" s="1"/>
  <c r="F19" i="2"/>
  <c r="Q19" i="2" s="1"/>
  <c r="F36" i="2"/>
  <c r="F51" i="2"/>
  <c r="Q51" i="2" s="1"/>
  <c r="F61" i="2"/>
  <c r="Q61" i="2" s="1"/>
  <c r="F28" i="2"/>
  <c r="F45" i="2"/>
  <c r="Q45" i="2" s="1"/>
  <c r="F58" i="2"/>
  <c r="Q58" i="2" s="1"/>
  <c r="F6" i="2"/>
  <c r="Q6" i="2" s="1"/>
  <c r="F37" i="2"/>
  <c r="F52" i="2"/>
  <c r="Q52" i="2" s="1"/>
  <c r="F14" i="2"/>
  <c r="Q14" i="2" s="1"/>
  <c r="F34" i="2"/>
  <c r="Q34" i="2" s="1"/>
  <c r="F59" i="2"/>
  <c r="Q59" i="2" s="1"/>
  <c r="F9" i="2"/>
  <c r="Q9" i="2" s="1"/>
  <c r="F41" i="2"/>
  <c r="Q41" i="2" s="1"/>
  <c r="F3" i="2"/>
  <c r="F22" i="2"/>
  <c r="Q22" i="2" s="1"/>
  <c r="F38" i="2"/>
  <c r="Q38" i="2" s="1"/>
  <c r="F53" i="2"/>
  <c r="Q53" i="2" s="1"/>
  <c r="F13" i="2"/>
  <c r="Q13" i="2" s="1"/>
  <c r="F30" i="2"/>
  <c r="Q30" i="2" s="1"/>
  <c r="F46" i="2"/>
  <c r="Q46" i="2" s="1"/>
  <c r="F42" i="2"/>
  <c r="Q42" i="2" s="1"/>
  <c r="F57" i="2"/>
  <c r="Q57" i="2" s="1"/>
  <c r="H75" i="2" l="1"/>
  <c r="B36" i="4" s="1"/>
  <c r="C39" i="4" s="1"/>
  <c r="Q47" i="2"/>
  <c r="T47" i="2"/>
  <c r="Q11" i="2"/>
  <c r="T11" i="2"/>
  <c r="Q12" i="2"/>
  <c r="T12" i="2"/>
  <c r="Q28" i="2"/>
  <c r="T28" i="2"/>
  <c r="C38" i="4"/>
  <c r="Q20" i="2"/>
  <c r="P20" i="2"/>
  <c r="C26" i="4"/>
  <c r="C25" i="4"/>
  <c r="C27" i="4"/>
  <c r="C28" i="4"/>
  <c r="C40" i="4"/>
  <c r="L2" i="2"/>
  <c r="Q2" i="2"/>
  <c r="B72" i="4"/>
  <c r="B73" i="4"/>
  <c r="P2" i="2"/>
  <c r="Q21" i="2"/>
  <c r="P21" i="2"/>
  <c r="Q37" i="2"/>
  <c r="L37" i="2"/>
  <c r="Q36" i="2"/>
  <c r="L36" i="2"/>
  <c r="T4" i="2"/>
  <c r="T48" i="2"/>
  <c r="T38" i="2"/>
  <c r="T43" i="2"/>
  <c r="T35" i="2"/>
  <c r="T22" i="2"/>
  <c r="T58" i="2"/>
  <c r="T8" i="2"/>
  <c r="T50" i="2"/>
  <c r="T37" i="2"/>
  <c r="T18" i="2"/>
  <c r="T57" i="2"/>
  <c r="T60" i="2"/>
  <c r="T20" i="2"/>
  <c r="T21" i="2"/>
  <c r="T53" i="2"/>
  <c r="T52" i="2"/>
  <c r="T25" i="2"/>
  <c r="T45" i="2"/>
  <c r="T5" i="2"/>
  <c r="T27" i="2"/>
  <c r="T24" i="2"/>
  <c r="T26" i="2"/>
  <c r="T56" i="2"/>
  <c r="T54" i="2"/>
  <c r="T14" i="2"/>
  <c r="T23" i="2"/>
  <c r="T61" i="2"/>
  <c r="T6" i="2"/>
  <c r="T59" i="2"/>
  <c r="T46" i="2"/>
  <c r="T49" i="2"/>
  <c r="T42" i="2"/>
  <c r="T34" i="2"/>
  <c r="T36" i="2"/>
  <c r="P15" i="2"/>
  <c r="P30" i="2"/>
  <c r="P60" i="2"/>
  <c r="P58" i="2"/>
  <c r="P55" i="2"/>
  <c r="P39" i="2"/>
  <c r="P32" i="2"/>
  <c r="P46" i="2"/>
  <c r="P9" i="2"/>
  <c r="P25" i="2"/>
  <c r="P59" i="2"/>
  <c r="P18" i="2"/>
  <c r="P6" i="2"/>
  <c r="P13" i="2"/>
  <c r="P29" i="2"/>
  <c r="P34" i="2"/>
  <c r="P28" i="2"/>
  <c r="P12" i="2"/>
  <c r="P23" i="2"/>
  <c r="P56" i="2"/>
  <c r="P61" i="2"/>
  <c r="P5" i="2"/>
  <c r="P33" i="2"/>
  <c r="P44" i="2"/>
  <c r="P19" i="2"/>
  <c r="P43" i="2"/>
  <c r="P50" i="2"/>
  <c r="P53" i="2"/>
  <c r="P14" i="2"/>
  <c r="P40" i="2"/>
  <c r="P7" i="2"/>
  <c r="P47" i="2"/>
  <c r="P11" i="2"/>
  <c r="P26" i="2"/>
  <c r="P4" i="2"/>
  <c r="P24" i="2"/>
  <c r="P62" i="2"/>
  <c r="P10" i="2"/>
  <c r="P27" i="2"/>
  <c r="P22" i="2"/>
  <c r="P52" i="2"/>
  <c r="P48" i="2"/>
  <c r="P45" i="2"/>
  <c r="P36" i="2"/>
  <c r="P16" i="2"/>
  <c r="P38" i="2"/>
  <c r="P57" i="2"/>
  <c r="P42" i="2"/>
  <c r="P51" i="2"/>
  <c r="P49" i="2"/>
  <c r="P35" i="2"/>
  <c r="P31" i="2"/>
  <c r="P41" i="2"/>
  <c r="P37" i="2"/>
  <c r="P8" i="2"/>
  <c r="B75" i="4"/>
  <c r="B74" i="4"/>
  <c r="B76" i="4"/>
  <c r="P54" i="2"/>
  <c r="L28" i="2"/>
  <c r="L33" i="2"/>
  <c r="L58" i="2"/>
  <c r="L55" i="2"/>
  <c r="L45" i="2"/>
  <c r="L53" i="2"/>
  <c r="L39" i="2"/>
  <c r="L7" i="2"/>
  <c r="L29" i="2"/>
  <c r="L34" i="2"/>
  <c r="L20" i="2"/>
  <c r="L60" i="2"/>
  <c r="L5" i="2"/>
  <c r="L12" i="2"/>
  <c r="L57" i="2"/>
  <c r="L11" i="2"/>
  <c r="L52" i="2"/>
  <c r="L10" i="2"/>
  <c r="L27" i="2"/>
  <c r="L49" i="2"/>
  <c r="L31" i="2"/>
  <c r="L43" i="2"/>
  <c r="L38" i="2"/>
  <c r="L23" i="2"/>
  <c r="L61" i="2"/>
  <c r="L22" i="2"/>
  <c r="L47" i="2"/>
  <c r="L62" i="2"/>
  <c r="L46" i="2"/>
  <c r="L35" i="2"/>
  <c r="L18" i="2"/>
  <c r="L8" i="2"/>
  <c r="L50" i="2"/>
  <c r="L14" i="2"/>
  <c r="L26" i="2"/>
  <c r="L21" i="2"/>
  <c r="L40" i="2"/>
  <c r="L42" i="2"/>
  <c r="L56" i="2"/>
  <c r="L3" i="2"/>
  <c r="L24" i="2"/>
  <c r="L16" i="2"/>
  <c r="L4" i="2"/>
  <c r="L41" i="2"/>
  <c r="L54" i="2"/>
  <c r="L51" i="2"/>
  <c r="L48" i="2"/>
  <c r="L30" i="2"/>
  <c r="L9" i="2"/>
  <c r="L32" i="2"/>
  <c r="L13" i="2"/>
  <c r="L6" i="2"/>
  <c r="L59" i="2"/>
  <c r="L19" i="2"/>
  <c r="L15" i="2"/>
  <c r="L25" i="2"/>
  <c r="L44" i="2"/>
  <c r="C37" i="4" l="1"/>
  <c r="S37" i="2"/>
  <c r="W37" i="2" s="1"/>
  <c r="X37" i="2"/>
  <c r="X41" i="2"/>
  <c r="S41" i="2"/>
  <c r="S52" i="2"/>
  <c r="X52" i="2"/>
  <c r="S11" i="2"/>
  <c r="W11" i="2" s="1"/>
  <c r="X11" i="2"/>
  <c r="X57" i="2"/>
  <c r="S57" i="2"/>
  <c r="W57" i="2" s="1"/>
  <c r="S5" i="2"/>
  <c r="W5" i="2" s="1"/>
  <c r="X5" i="2"/>
  <c r="S62" i="2"/>
  <c r="X62" i="2"/>
  <c r="S47" i="2"/>
  <c r="W47" i="2" s="1"/>
  <c r="X47" i="2"/>
  <c r="S22" i="2"/>
  <c r="W22" i="2" s="1"/>
  <c r="X22" i="2"/>
  <c r="X34" i="2"/>
  <c r="S34" i="2"/>
  <c r="S28" i="2"/>
  <c r="X28" i="2"/>
  <c r="S36" i="2"/>
  <c r="W36" i="2" s="1"/>
  <c r="X36" i="2"/>
  <c r="S24" i="2"/>
  <c r="X24" i="2"/>
  <c r="S54" i="2"/>
  <c r="W54" i="2" s="1"/>
  <c r="X54" i="2"/>
  <c r="X9" i="2"/>
  <c r="S9" i="2"/>
  <c r="S61" i="2"/>
  <c r="W61" i="2" s="1"/>
  <c r="X61" i="2"/>
  <c r="S7" i="2"/>
  <c r="X7" i="2"/>
  <c r="S15" i="2"/>
  <c r="X15" i="2"/>
  <c r="S56" i="2"/>
  <c r="W56" i="2" s="1"/>
  <c r="X56" i="2"/>
  <c r="S38" i="2"/>
  <c r="W38" i="2" s="1"/>
  <c r="X38" i="2"/>
  <c r="S39" i="2"/>
  <c r="X39" i="2"/>
  <c r="S53" i="2"/>
  <c r="W53" i="2" s="1"/>
  <c r="X53" i="2"/>
  <c r="X2" i="2"/>
  <c r="S2" i="2"/>
  <c r="X50" i="2"/>
  <c r="S50" i="2"/>
  <c r="S30" i="2"/>
  <c r="X30" i="2"/>
  <c r="S35" i="2"/>
  <c r="X35" i="2"/>
  <c r="S16" i="2"/>
  <c r="X16" i="2"/>
  <c r="S23" i="2"/>
  <c r="W23" i="2" s="1"/>
  <c r="X23" i="2"/>
  <c r="S19" i="2"/>
  <c r="X19" i="2"/>
  <c r="S31" i="2"/>
  <c r="X31" i="2"/>
  <c r="S45" i="2"/>
  <c r="W45" i="2" s="1"/>
  <c r="X45" i="2"/>
  <c r="S48" i="2"/>
  <c r="W48" i="2" s="1"/>
  <c r="X48" i="2"/>
  <c r="S12" i="2"/>
  <c r="W12" i="2" s="1"/>
  <c r="X12" i="2"/>
  <c r="S4" i="2"/>
  <c r="W4" i="2" s="1"/>
  <c r="S29" i="2"/>
  <c r="X29" i="2"/>
  <c r="S55" i="2"/>
  <c r="X55" i="2"/>
  <c r="S8" i="2"/>
  <c r="X8" i="2"/>
  <c r="X18" i="2"/>
  <c r="S18" i="2"/>
  <c r="W18" i="2" s="1"/>
  <c r="S51" i="2"/>
  <c r="X51" i="2"/>
  <c r="S20" i="2"/>
  <c r="W20" i="2" s="1"/>
  <c r="X20" i="2"/>
  <c r="S44" i="2"/>
  <c r="X44" i="2"/>
  <c r="X3" i="2"/>
  <c r="X42" i="2"/>
  <c r="S42" i="2"/>
  <c r="W42" i="2" s="1"/>
  <c r="S40" i="2"/>
  <c r="X40" i="2"/>
  <c r="S6" i="2"/>
  <c r="W6" i="2" s="1"/>
  <c r="X6" i="2"/>
  <c r="S13" i="2"/>
  <c r="X13" i="2"/>
  <c r="S27" i="2"/>
  <c r="W27" i="2" s="1"/>
  <c r="X27" i="2"/>
  <c r="X58" i="2"/>
  <c r="S58" i="2"/>
  <c r="W58" i="2" s="1"/>
  <c r="S46" i="2"/>
  <c r="W46" i="2" s="1"/>
  <c r="X46" i="2"/>
  <c r="S60" i="2"/>
  <c r="W60" i="2" s="1"/>
  <c r="X60" i="2"/>
  <c r="X25" i="2"/>
  <c r="S25" i="2"/>
  <c r="W25" i="2" s="1"/>
  <c r="S43" i="2"/>
  <c r="W43" i="2" s="1"/>
  <c r="X43" i="2"/>
  <c r="S59" i="2"/>
  <c r="W59" i="2" s="1"/>
  <c r="X59" i="2"/>
  <c r="S21" i="2"/>
  <c r="W21" i="2" s="1"/>
  <c r="X21" i="2"/>
  <c r="S49" i="2"/>
  <c r="W49" i="2" s="1"/>
  <c r="X49" i="2"/>
  <c r="X26" i="2"/>
  <c r="S26" i="2"/>
  <c r="W26" i="2" s="1"/>
  <c r="S32" i="2"/>
  <c r="X32" i="2"/>
  <c r="S14" i="2"/>
  <c r="W14" i="2" s="1"/>
  <c r="X14" i="2"/>
  <c r="X10" i="2"/>
  <c r="S10" i="2"/>
  <c r="S33" i="2"/>
  <c r="X33" i="2"/>
  <c r="W35" i="2"/>
  <c r="W34" i="2"/>
  <c r="W24" i="2"/>
  <c r="W52" i="2"/>
  <c r="W28" i="2"/>
  <c r="C75" i="4"/>
  <c r="C73" i="4"/>
  <c r="C76" i="4"/>
  <c r="C74" i="4"/>
  <c r="W8" i="2"/>
  <c r="O2" i="2"/>
  <c r="B110" i="4"/>
  <c r="B91" i="4"/>
  <c r="B8" i="4"/>
  <c r="O20" i="2"/>
  <c r="R20" i="2" s="1"/>
  <c r="B92" i="4"/>
  <c r="O12" i="2"/>
  <c r="R12" i="2" s="1"/>
  <c r="O4" i="2"/>
  <c r="O21" i="2"/>
  <c r="R21" i="2" s="1"/>
  <c r="O42" i="2"/>
  <c r="O7" i="2"/>
  <c r="R7" i="2" s="1"/>
  <c r="O38" i="2"/>
  <c r="O6" i="2"/>
  <c r="O26" i="2"/>
  <c r="R26" i="2" s="1"/>
  <c r="O55" i="2"/>
  <c r="R55" i="2" s="1"/>
  <c r="O50" i="2"/>
  <c r="R50" i="2" s="1"/>
  <c r="O30" i="2"/>
  <c r="R30" i="2" s="1"/>
  <c r="O33" i="2"/>
  <c r="R33" i="2" s="1"/>
  <c r="O48" i="2"/>
  <c r="O18" i="2"/>
  <c r="O52" i="2"/>
  <c r="O28" i="2"/>
  <c r="R28" i="2" s="1"/>
  <c r="O16" i="2"/>
  <c r="R16" i="2" s="1"/>
  <c r="O62" i="2"/>
  <c r="R62" i="2" s="1"/>
  <c r="O60" i="2"/>
  <c r="O44" i="2"/>
  <c r="R44" i="2" s="1"/>
  <c r="O15" i="2"/>
  <c r="R15" i="2" s="1"/>
  <c r="O53" i="2"/>
  <c r="O31" i="2"/>
  <c r="R31" i="2" s="1"/>
  <c r="O49" i="2"/>
  <c r="O9" i="2"/>
  <c r="R9" i="2" s="1"/>
  <c r="O58" i="2"/>
  <c r="O10" i="2"/>
  <c r="R10" i="2" s="1"/>
  <c r="O51" i="2"/>
  <c r="R51" i="2" s="1"/>
  <c r="O36" i="2"/>
  <c r="O11" i="2"/>
  <c r="R11" i="2" s="1"/>
  <c r="O54" i="2"/>
  <c r="O35" i="2"/>
  <c r="O57" i="2"/>
  <c r="O24" i="2"/>
  <c r="O47" i="2"/>
  <c r="R47" i="2" s="1"/>
  <c r="O25" i="2"/>
  <c r="O22" i="2"/>
  <c r="O34" i="2"/>
  <c r="O61" i="2"/>
  <c r="O19" i="2"/>
  <c r="R19" i="2" s="1"/>
  <c r="O59" i="2"/>
  <c r="O32" i="2"/>
  <c r="R32" i="2" s="1"/>
  <c r="O56" i="2"/>
  <c r="O29" i="2"/>
  <c r="R29" i="2" s="1"/>
  <c r="O23" i="2"/>
  <c r="O40" i="2"/>
  <c r="R40" i="2" s="1"/>
  <c r="O39" i="2"/>
  <c r="R39" i="2" s="1"/>
  <c r="O43" i="2"/>
  <c r="O13" i="2"/>
  <c r="R13" i="2" s="1"/>
  <c r="O45" i="2"/>
  <c r="O14" i="2"/>
  <c r="O27" i="2"/>
  <c r="O8" i="2"/>
  <c r="O41" i="2"/>
  <c r="R41" i="2" s="1"/>
  <c r="O37" i="2"/>
  <c r="O46" i="2"/>
  <c r="O5" i="2"/>
  <c r="B111" i="4"/>
  <c r="B114" i="4"/>
  <c r="B95" i="4"/>
  <c r="B113" i="4"/>
  <c r="B94" i="4"/>
  <c r="B112" i="4"/>
  <c r="B93" i="4"/>
  <c r="R56" i="2"/>
  <c r="R4" i="2"/>
  <c r="R42" i="2"/>
  <c r="R49" i="2"/>
  <c r="R61" i="2"/>
  <c r="R59" i="2"/>
  <c r="R38" i="2"/>
  <c r="R43" i="2"/>
  <c r="R14" i="2"/>
  <c r="R18" i="2"/>
  <c r="R34" i="2"/>
  <c r="R53" i="2"/>
  <c r="R37" i="2"/>
  <c r="R5" i="2"/>
  <c r="R60" i="2"/>
  <c r="R25" i="2"/>
  <c r="R22" i="2"/>
  <c r="R23" i="2"/>
  <c r="R6" i="2"/>
  <c r="R45" i="2"/>
  <c r="R27" i="2"/>
  <c r="R58" i="2"/>
  <c r="R8" i="2"/>
  <c r="R48" i="2"/>
  <c r="R52" i="2"/>
  <c r="R36" i="2"/>
  <c r="R54" i="2"/>
  <c r="R35" i="2"/>
  <c r="R57" i="2"/>
  <c r="R46" i="2"/>
  <c r="R24" i="2"/>
  <c r="B15" i="4"/>
  <c r="B10" i="4"/>
  <c r="B16" i="4"/>
  <c r="B11" i="4"/>
  <c r="B13" i="4"/>
  <c r="B14" i="4"/>
  <c r="B9" i="4"/>
  <c r="B78" i="4" l="1"/>
  <c r="B128" i="4"/>
  <c r="C128" i="4"/>
  <c r="B82" i="4"/>
  <c r="B81" i="4"/>
  <c r="B80" i="4"/>
  <c r="B79" i="4"/>
  <c r="C132" i="4"/>
  <c r="C114" i="4"/>
  <c r="C113" i="4"/>
  <c r="C112" i="4"/>
  <c r="C111" i="4"/>
  <c r="C129" i="4"/>
  <c r="C130" i="4"/>
  <c r="C11" i="4"/>
  <c r="C10" i="4"/>
  <c r="C9" i="4"/>
  <c r="C8" i="4"/>
  <c r="C131" i="4"/>
  <c r="B122" i="4"/>
  <c r="C95" i="4"/>
  <c r="C94" i="4"/>
  <c r="C93" i="4"/>
  <c r="C92" i="4"/>
  <c r="B130" i="4"/>
  <c r="B129" i="4"/>
  <c r="B138" i="4"/>
  <c r="B142" i="4" s="1"/>
  <c r="B139" i="4"/>
  <c r="B143" i="4" s="1"/>
  <c r="W50" i="2"/>
  <c r="R2" i="2"/>
  <c r="B116" i="4"/>
  <c r="B117" i="4"/>
  <c r="B140" i="4"/>
  <c r="B144" i="4" s="1"/>
  <c r="B131" i="4"/>
  <c r="B132" i="4"/>
  <c r="B124" i="4"/>
  <c r="B118" i="4"/>
  <c r="B119" i="4"/>
  <c r="B125" i="4"/>
  <c r="B123" i="4"/>
  <c r="B126" i="4"/>
  <c r="B120" i="4"/>
  <c r="B134" i="4" l="1"/>
  <c r="C142" i="4" s="1"/>
  <c r="E130" i="4"/>
  <c r="E131" i="4"/>
  <c r="E132" i="4"/>
  <c r="E129" i="4"/>
  <c r="C82" i="4"/>
  <c r="C81" i="4"/>
  <c r="C80" i="4"/>
  <c r="C79" i="4"/>
  <c r="B136" i="4"/>
  <c r="C144" i="4" s="1"/>
  <c r="C118" i="4"/>
  <c r="C117" i="4"/>
  <c r="C120" i="4"/>
  <c r="C119" i="4"/>
  <c r="C124" i="4"/>
  <c r="C123" i="4"/>
  <c r="C125" i="4"/>
  <c r="C126" i="4"/>
  <c r="B135" i="4"/>
  <c r="C143" i="4" s="1"/>
  <c r="D130" i="4"/>
  <c r="D129" i="4"/>
  <c r="D131" i="4"/>
  <c r="D128" i="4"/>
  <c r="D132" i="4"/>
  <c r="B18" i="4"/>
  <c r="C22" i="4" s="1"/>
  <c r="B30" i="4"/>
  <c r="C33" i="4" s="1"/>
  <c r="B100" i="4"/>
  <c r="C103" i="4" s="1"/>
  <c r="B105" i="4"/>
  <c r="C107" i="4" s="1"/>
  <c r="B48" i="4"/>
  <c r="C52" i="4" s="1"/>
  <c r="B54" i="4"/>
  <c r="C57" i="4" s="1"/>
  <c r="B98" i="4"/>
  <c r="B97" i="4"/>
  <c r="D30" i="4"/>
  <c r="D36" i="4"/>
  <c r="D18" i="4"/>
  <c r="D24" i="4"/>
  <c r="C58" i="4" l="1"/>
  <c r="C34" i="4"/>
  <c r="C32" i="4"/>
  <c r="C31" i="4"/>
  <c r="C51" i="4"/>
  <c r="C19" i="4"/>
  <c r="C108" i="4"/>
  <c r="C20" i="4"/>
  <c r="C50" i="4"/>
  <c r="C21" i="4"/>
  <c r="C106" i="4"/>
  <c r="C49" i="4"/>
  <c r="C101" i="4"/>
  <c r="C102" i="4"/>
  <c r="C55" i="4"/>
  <c r="C5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<sst xmlns="http://schemas.openxmlformats.org/spreadsheetml/2006/main" count="10063" uniqueCount="1479">
  <si>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</si>
  <si>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</si>
  <si>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</si>
  <si>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</si>
  <si>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</si>
  <si>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</si>
  <si>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</si>
  <si>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</si>
  <si>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</si>
  <si>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</si>
  <si>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</si>
  <si>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</si>
  <si>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</si>
  <si>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</si>
  <si>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</si>
  <si>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</si>
  <si>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</si>
  <si>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</si>
  <si>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</si>
  <si>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</si>
  <si>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</si>
  <si>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</si>
  <si>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</si>
  <si>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</si>
  <si>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</si>
  <si>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</si>
  <si>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</si>
  <si>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</si>
  <si>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</si>
  <si>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</si>
  <si>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</si>
  <si>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</si>
  <si>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</si>
  <si>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</si>
  <si>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</si>
  <si>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</si>
  <si>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</si>
  <si>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</si>
  <si>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</si>
  <si>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</si>
  <si>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</si>
  <si>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</si>
  <si>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</si>
  <si>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</si>
  <si>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</si>
  <si>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</si>
  <si>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</si>
  <si>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</si>
  <si>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</si>
  <si>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</si>
  <si>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</si>
  <si>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</si>
  <si>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</si>
  <si>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</si>
  <si>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</si>
  <si>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</si>
  <si>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</si>
  <si>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</si>
  <si>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</si>
  <si>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</si>
  <si>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</si>
  <si>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</si>
  <si>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</si>
  <si>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</si>
  <si>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</si>
  <si>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</si>
  <si>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</si>
  <si>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</si>
  <si>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</si>
  <si>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</si>
  <si>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</si>
  <si>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</si>
  <si>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</si>
  <si>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</si>
  <si>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</si>
  <si>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</si>
  <si>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</si>
  <si>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</si>
  <si>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</si>
  <si>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</si>
  <si>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</si>
  <si>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</si>
  <si>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</si>
  <si>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</si>
  <si>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</si>
  <si>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</si>
  <si>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</si>
  <si>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</si>
  <si>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</si>
  <si>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</si>
  <si>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</si>
  <si>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</si>
  <si>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</si>
  <si>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</si>
  <si>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</si>
  <si>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</si>
  <si>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</si>
  <si>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</si>
  <si>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</si>
  <si>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</si>
  <si>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</si>
  <si>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</si>
  <si>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</si>
  <si>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</si>
  <si>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</si>
  <si>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</si>
  <si>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</si>
  <si>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</si>
  <si>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</si>
  <si>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</si>
  <si>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</si>
  <si>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</si>
  <si>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</si>
  <si>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</si>
  <si>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</si>
  <si>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</si>
  <si>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</si>
  <si>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</si>
  <si>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</si>
  <si>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</si>
  <si>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</si>
  <si>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</si>
  <si>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</si>
  <si>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</si>
  <si>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</si>
  <si>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</si>
  <si>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</si>
  <si>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</si>
  <si>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</si>
  <si>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</si>
  <si>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</si>
  <si>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</si>
  <si>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</si>
  <si>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</si>
  <si>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</si>
  <si>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</si>
  <si>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</si>
  <si>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</si>
  <si>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</si>
  <si>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</si>
  <si>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</si>
  <si>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</si>
  <si>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</si>
  <si>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</si>
  <si>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</si>
  <si>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</si>
  <si>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</si>
  <si>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</si>
  <si>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</si>
  <si>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</si>
  <si>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</si>
  <si>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</si>
  <si>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</si>
  <si>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</si>
  <si>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</si>
  <si>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</si>
  <si>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</si>
  <si>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</si>
  <si>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</si>
  <si>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</si>
  <si>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</si>
  <si>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</si>
  <si>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</si>
  <si>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</si>
  <si>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</si>
  <si>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</si>
  <si>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</si>
  <si>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</si>
  <si>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</si>
  <si>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</si>
  <si>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</si>
  <si>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</si>
  <si>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</si>
  <si>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</si>
  <si>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</si>
  <si>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</si>
  <si>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</si>
  <si>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</si>
  <si>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</si>
  <si>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</si>
  <si>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</si>
  <si>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</si>
  <si>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</si>
  <si>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</si>
  <si>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</si>
  <si>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</si>
  <si>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</si>
  <si>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</si>
  <si>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</si>
  <si>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</si>
  <si>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</si>
  <si>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</si>
  <si>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</si>
  <si>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</si>
  <si>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</si>
  <si>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</si>
  <si>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</si>
  <si>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</si>
  <si>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</si>
  <si>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</si>
  <si>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</si>
  <si>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</si>
  <si>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</si>
  <si>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</si>
  <si>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</si>
  <si>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</si>
  <si>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</si>
  <si>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</si>
  <si>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</si>
  <si>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</si>
  <si>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</si>
  <si>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</si>
  <si>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</si>
  <si>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</si>
  <si>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</si>
  <si>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</si>
  <si>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</si>
  <si>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</si>
  <si>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</si>
  <si>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</si>
  <si>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</si>
  <si>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</si>
  <si>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</si>
  <si>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</si>
  <si>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</si>
  <si>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</si>
  <si>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</si>
  <si>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</si>
  <si>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</si>
  <si>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</si>
  <si>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</si>
  <si>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</si>
  <si>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</si>
  <si>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</si>
  <si>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</si>
  <si>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</si>
  <si>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</si>
  <si>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</si>
  <si>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</si>
  <si>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</si>
  <si>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</si>
  <si>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</si>
  <si>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</si>
  <si>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</si>
  <si>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</si>
  <si>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</si>
  <si>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</si>
  <si>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</si>
  <si>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</si>
  <si>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</si>
  <si>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</si>
  <si>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</si>
  <si>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</si>
  <si>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</si>
  <si>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</si>
  <si>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</si>
  <si>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</si>
  <si>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</si>
  <si>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</si>
  <si>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</si>
  <si>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</si>
  <si>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</si>
  <si>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</si>
  <si>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</si>
  <si>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</si>
  <si>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</si>
  <si>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</si>
  <si>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</si>
  <si>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</si>
  <si>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</si>
  <si>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</si>
  <si>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</si>
  <si>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</si>
  <si>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</si>
  <si>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</si>
  <si>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</si>
  <si>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</si>
  <si>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</si>
  <si>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</si>
  <si>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</si>
  <si>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</si>
  <si>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</si>
  <si>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</si>
  <si>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</si>
  <si>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</si>
  <si>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</si>
  <si>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</si>
  <si>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</si>
  <si>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</si>
  <si>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</si>
  <si>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</si>
  <si>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</si>
  <si>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</si>
  <si>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</si>
  <si>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</si>
  <si>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</si>
  <si>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</si>
  <si>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</si>
  <si>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</si>
  <si>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</si>
  <si>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</si>
  <si>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</si>
  <si>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</si>
  <si>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</si>
  <si>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</si>
  <si>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</si>
  <si>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</si>
  <si>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</si>
  <si>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</si>
  <si>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</si>
  <si>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</si>
  <si>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</si>
  <si>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</si>
  <si>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</si>
  <si>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</si>
  <si>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</si>
  <si>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</si>
  <si>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</si>
  <si>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</si>
  <si>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</si>
  <si>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</si>
  <si>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</si>
  <si>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</si>
  <si>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</si>
  <si>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</si>
  <si>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</si>
  <si>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</si>
  <si>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</si>
  <si>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</si>
  <si>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</si>
  <si>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</si>
  <si>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</si>
  <si>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</si>
  <si>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</si>
  <si>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</si>
  <si>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</si>
  <si>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</si>
  <si>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</si>
  <si>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</si>
  <si>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</si>
  <si>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</si>
  <si>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</si>
  <si>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</si>
  <si>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</si>
  <si>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</si>
  <si>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</si>
  <si>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</si>
  <si>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</si>
  <si>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</si>
  <si>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</si>
  <si>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</si>
  <si>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</si>
  <si>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</si>
  <si>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</si>
  <si>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</si>
  <si>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</si>
  <si>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</si>
  <si>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</si>
  <si>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</si>
  <si>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</si>
  <si>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</si>
  <si>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</si>
  <si>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</si>
  <si>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</si>
  <si>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</si>
  <si>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</si>
  <si>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</si>
  <si>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</si>
  <si>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</si>
  <si>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</si>
  <si>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</si>
  <si>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</si>
  <si>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</si>
  <si>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</si>
  <si>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</si>
  <si>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</si>
  <si>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</si>
  <si>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</si>
  <si>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</si>
  <si>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</si>
  <si>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</si>
  <si>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</si>
  <si>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</si>
  <si>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</si>
  <si>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</si>
  <si>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</si>
  <si>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</si>
  <si>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</si>
  <si>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</si>
  <si>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</si>
  <si>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</si>
  <si>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</si>
  <si>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</si>
  <si>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</si>
  <si>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</si>
  <si>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</si>
  <si>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</si>
  <si>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</si>
  <si>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</si>
  <si>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</si>
  <si>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</si>
  <si>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</si>
  <si>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</si>
  <si>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</si>
  <si>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</si>
  <si>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</si>
  <si>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</si>
  <si>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</si>
  <si>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</si>
  <si>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</si>
  <si>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</si>
  <si>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</si>
  <si>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</si>
  <si>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</si>
  <si>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</si>
  <si>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</si>
  <si>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</si>
  <si>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</si>
  <si>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</si>
  <si>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</si>
  <si>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</si>
  <si>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</si>
  <si>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</si>
  <si>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</si>
  <si>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</si>
  <si>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</si>
  <si>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</si>
  <si>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</si>
  <si>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</si>
  <si>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</si>
  <si>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</si>
  <si>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</si>
  <si>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</si>
  <si>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</si>
  <si>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</si>
  <si>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</si>
  <si>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</si>
  <si>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</si>
  <si>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</si>
  <si>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</si>
  <si>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</si>
  <si>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</si>
  <si>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</si>
  <si>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</si>
  <si>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</si>
  <si>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</si>
  <si>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</si>
  <si>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</si>
  <si>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</si>
  <si>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</si>
  <si>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</si>
  <si>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</si>
  <si>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</si>
  <si>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</si>
  <si>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</si>
  <si>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</si>
  <si>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</si>
  <si>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</si>
  <si>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</si>
  <si>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</si>
  <si>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</si>
  <si>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</si>
  <si>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</si>
  <si>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</si>
  <si>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</si>
  <si>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</si>
  <si>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</si>
  <si>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</si>
  <si>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</si>
  <si>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</si>
  <si>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</si>
  <si>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</si>
  <si>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</si>
  <si>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</si>
  <si>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</si>
  <si>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</si>
  <si>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</si>
  <si>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</si>
  <si>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</si>
  <si>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</si>
  <si>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</si>
  <si>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</si>
  <si>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</si>
  <si>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</si>
  <si>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</si>
  <si>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</si>
  <si>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</si>
  <si>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</si>
  <si>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</si>
  <si>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</si>
  <si>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</si>
  <si>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</si>
  <si>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</si>
  <si>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</si>
  <si>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</si>
  <si>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</si>
  <si>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</si>
  <si>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</si>
  <si>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</si>
  <si>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</si>
  <si>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</si>
  <si>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</si>
  <si>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</si>
  <si>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</si>
  <si>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</si>
  <si>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</si>
  <si>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</si>
  <si>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</si>
  <si>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</si>
  <si>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</si>
  <si>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</si>
  <si>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</si>
  <si>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</si>
  <si>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</si>
  <si>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</si>
  <si>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</si>
  <si>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</si>
  <si>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</si>
  <si>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</si>
  <si>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</si>
  <si>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</si>
  <si>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</si>
  <si>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</si>
  <si>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</si>
  <si>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</si>
  <si>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</si>
  <si>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</si>
  <si>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</si>
  <si>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</si>
  <si>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</si>
  <si>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</si>
  <si>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</si>
  <si>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</si>
  <si>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</si>
  <si>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</si>
  <si>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</si>
  <si>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</si>
  <si>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</si>
  <si>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</si>
  <si>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</si>
  <si>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</si>
  <si>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</si>
  <si>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</si>
  <si>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</si>
  <si>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</si>
  <si>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</si>
  <si>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</si>
  <si>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</si>
  <si>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</si>
  <si>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</si>
  <si>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</si>
  <si>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</si>
  <si>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</si>
  <si>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</si>
  <si>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</si>
  <si>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</si>
  <si>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</si>
  <si>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</si>
  <si>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</si>
  <si>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</si>
  <si>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</si>
  <si>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</si>
  <si>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</si>
  <si>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</si>
  <si>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</si>
  <si>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</si>
  <si>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</si>
  <si>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</si>
  <si>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</si>
  <si>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</si>
  <si>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</si>
  <si>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</si>
  <si>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</si>
  <si>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</si>
  <si>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</si>
  <si>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</si>
  <si>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</si>
  <si>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</si>
  <si>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</si>
  <si>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</si>
  <si>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</si>
  <si>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</si>
  <si>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</si>
  <si>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</si>
  <si>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</si>
  <si>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</si>
  <si>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</si>
  <si>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</si>
  <si>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</si>
  <si>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</si>
  <si>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</si>
  <si>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</si>
  <si>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</si>
  <si>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</si>
  <si>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</si>
  <si>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</si>
  <si>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</si>
  <si>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</si>
  <si>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</si>
  <si>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</si>
  <si>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</si>
  <si>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</si>
  <si>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</si>
  <si>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</si>
  <si>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</si>
  <si>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</si>
  <si>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</si>
  <si>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</si>
  <si>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</si>
  <si>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</si>
  <si>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</si>
  <si>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</si>
  <si>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</si>
  <si>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</si>
  <si>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</si>
  <si>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</si>
  <si>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</si>
  <si>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</si>
  <si>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</si>
  <si>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</si>
  <si>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</si>
  <si>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</si>
  <si>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</si>
  <si>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</si>
  <si>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</si>
  <si>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</si>
  <si>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</si>
  <si>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</si>
  <si>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</si>
  <si>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</si>
  <si>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</si>
  <si>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</si>
  <si>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</si>
  <si>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</si>
  <si>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</si>
  <si>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</si>
  <si>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</si>
  <si>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</si>
  <si>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</si>
  <si>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</si>
  <si>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</si>
  <si>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</si>
  <si>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</si>
  <si>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</si>
  <si>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</si>
  <si>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</si>
  <si>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</si>
  <si>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</si>
  <si>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</si>
  <si>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</si>
  <si>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</si>
  <si>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</si>
  <si>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</si>
  <si>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</si>
  <si>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</si>
  <si>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</si>
  <si>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</si>
  <si>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</si>
  <si>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</si>
  <si>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</si>
  <si>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</si>
  <si>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</si>
  <si>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</si>
  <si>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</si>
  <si>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</si>
  <si>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</si>
  <si>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</si>
  <si>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</si>
  <si>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</si>
  <si>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</si>
  <si>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</si>
  <si>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</si>
  <si>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</si>
  <si>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</si>
  <si>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</si>
  <si>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</si>
  <si>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</si>
  <si>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</si>
  <si>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</si>
  <si>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</si>
  <si>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</si>
  <si>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</si>
  <si>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</si>
  <si>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</si>
  <si>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</si>
  <si>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</si>
  <si>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</si>
  <si>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</si>
  <si>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</si>
  <si>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</si>
  <si>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</si>
  <si>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</si>
  <si>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</si>
  <si>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</si>
  <si>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</si>
  <si>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</si>
  <si>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</si>
  <si>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</si>
  <si>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</si>
  <si>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</si>
  <si>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</si>
  <si>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</si>
  <si>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</si>
  <si>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</si>
  <si>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</si>
  <si>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</si>
  <si>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</si>
  <si>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</si>
  <si>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</si>
  <si>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</si>
  <si>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</si>
  <si>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</si>
  <si>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</si>
  <si>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</si>
  <si>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</si>
  <si>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</si>
  <si>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</si>
  <si>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</si>
  <si>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</si>
  <si>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</si>
  <si>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</si>
  <si>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</si>
  <si>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</si>
  <si>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</si>
  <si>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</si>
  <si>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</si>
  <si>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</si>
  <si>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</si>
  <si>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</si>
  <si>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</si>
  <si>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</si>
  <si>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</si>
  <si>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</si>
  <si>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</si>
  <si>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</si>
  <si>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</si>
  <si>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</si>
  <si>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</si>
  <si>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</si>
  <si>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</si>
  <si>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</si>
  <si>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</si>
  <si>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</si>
  <si>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</si>
  <si>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</si>
  <si>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</si>
  <si>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</si>
  <si>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</si>
  <si>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</si>
  <si>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</si>
  <si>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</si>
  <si>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</si>
  <si>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</si>
  <si>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</si>
  <si>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</si>
  <si>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</si>
  <si>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</si>
  <si>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</si>
  <si>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</si>
  <si>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</si>
  <si>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</si>
  <si>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</si>
  <si>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</si>
  <si>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</si>
  <si>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</si>
  <si>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</si>
  <si>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</si>
  <si>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</si>
  <si>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</si>
  <si>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</si>
  <si>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</si>
  <si>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</si>
  <si>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</si>
  <si>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</si>
  <si>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</si>
  <si>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</si>
  <si>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</si>
  <si>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</si>
  <si>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</si>
  <si>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</si>
  <si>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</si>
  <si>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</si>
  <si>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</si>
  <si>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</si>
  <si>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</si>
  <si>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</si>
  <si>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</si>
  <si>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</si>
  <si>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</si>
  <si>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</si>
  <si>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</si>
  <si>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</si>
  <si>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</si>
  <si>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</si>
  <si>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</si>
  <si>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</si>
  <si>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</si>
  <si>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</si>
  <si>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</si>
  <si>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</si>
  <si>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</si>
  <si>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</si>
  <si>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</si>
  <si>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</si>
  <si>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</si>
  <si>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</si>
  <si>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</si>
  <si>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</si>
  <si>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</si>
  <si>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</si>
  <si>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</si>
  <si>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</si>
  <si>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</si>
  <si>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</si>
  <si>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</si>
  <si>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</si>
  <si>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</si>
  <si>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</si>
  <si>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</si>
  <si>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</si>
  <si>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</si>
  <si>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</si>
  <si>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</si>
  <si>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</si>
  <si>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</si>
  <si>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</si>
  <si>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</si>
  <si>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</si>
  <si>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</si>
  <si>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</si>
  <si>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</si>
  <si>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</si>
  <si>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</si>
  <si>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</si>
  <si>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</si>
  <si>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</si>
  <si>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</si>
  <si>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</si>
  <si>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</si>
  <si>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</si>
  <si>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</si>
  <si>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</si>
  <si>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</si>
  <si>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</si>
  <si>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</si>
  <si>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</si>
  <si>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</si>
  <si>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</si>
  <si>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</si>
  <si>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</si>
  <si>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</si>
  <si>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</si>
  <si>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</si>
  <si>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</si>
  <si>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</si>
  <si>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</si>
  <si>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</si>
  <si>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</si>
  <si>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</si>
  <si>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</si>
  <si>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</si>
  <si>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</si>
  <si>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</si>
  <si>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</si>
  <si>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</si>
  <si>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</si>
  <si>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</si>
  <si>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</si>
  <si>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</si>
  <si>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</si>
  <si>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</si>
  <si>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</si>
  <si>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</si>
  <si>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</si>
  <si>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</si>
  <si>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</si>
  <si>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</si>
  <si>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</si>
  <si>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</si>
  <si>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</si>
  <si>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</si>
  <si>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</si>
  <si>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</si>
  <si>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</si>
  <si>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</si>
  <si>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</si>
  <si>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</si>
  <si>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</si>
  <si>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</si>
  <si>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</si>
  <si>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</si>
  <si>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</si>
  <si>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</si>
  <si>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</si>
  <si>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</si>
  <si>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</si>
  <si>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</si>
  <si>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</si>
  <si>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</si>
  <si>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</si>
  <si>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</si>
  <si>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</si>
  <si>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</si>
  <si>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</si>
  <si>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</si>
  <si>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</si>
  <si>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</si>
  <si>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</si>
  <si>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</si>
  <si>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</si>
  <si>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</si>
  <si>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</si>
  <si>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</si>
  <si>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</si>
  <si>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</si>
  <si>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</si>
  <si>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</si>
  <si>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</si>
  <si>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</si>
  <si>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</si>
  <si>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</si>
  <si>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</si>
  <si>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</si>
  <si>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</si>
  <si>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</si>
  <si>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</si>
  <si>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</si>
  <si>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</si>
  <si>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</si>
  <si>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</si>
  <si>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</si>
  <si>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</si>
  <si>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</si>
  <si>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</si>
  <si>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</si>
  <si>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</si>
  <si>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</si>
  <si>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</si>
  <si>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</si>
  <si>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</si>
  <si>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</si>
  <si>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</si>
  <si>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</si>
  <si>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</si>
  <si>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</si>
  <si>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</si>
  <si>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</si>
  <si>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</si>
  <si>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</si>
  <si>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</si>
  <si>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</si>
  <si>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</si>
  <si>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</si>
  <si>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</si>
  <si>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</si>
  <si>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</si>
  <si>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</si>
  <si>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</si>
  <si>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</si>
  <si>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</si>
  <si>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</si>
  <si>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</si>
  <si>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</si>
  <si>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</si>
  <si>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</si>
  <si>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</si>
  <si>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</si>
  <si>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</si>
  <si>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</si>
  <si>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</si>
  <si>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</si>
  <si>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</si>
  <si>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</si>
  <si>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</si>
  <si>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</si>
  <si>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</si>
  <si>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</si>
  <si>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</si>
  <si>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</si>
  <si>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</si>
  <si>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</si>
  <si>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</si>
  <si>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</si>
  <si>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</si>
  <si>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</si>
  <si>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</si>
  <si>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</si>
  <si>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</si>
  <si>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</si>
  <si>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</si>
  <si>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</si>
  <si>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</si>
  <si>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</si>
  <si>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</si>
  <si>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</si>
  <si>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</si>
  <si>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</si>
  <si>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</si>
  <si>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</si>
  <si>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</si>
  <si>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</si>
  <si>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</si>
  <si>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</si>
  <si>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</si>
  <si>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</si>
  <si>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</si>
  <si>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</si>
  <si>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</si>
  <si>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</si>
  <si>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</si>
  <si>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</si>
  <si>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</si>
  <si>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</si>
  <si>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</si>
  <si>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</si>
  <si>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</si>
  <si>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</si>
  <si>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</si>
  <si>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</si>
  <si>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</si>
  <si>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</si>
  <si>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</si>
  <si>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</si>
  <si>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</si>
  <si>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</si>
  <si>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</si>
  <si>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</si>
  <si>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</si>
  <si>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</si>
  <si>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</si>
  <si>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</si>
  <si>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</si>
  <si>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</si>
  <si>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</si>
  <si>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</si>
  <si>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</si>
  <si>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</si>
  <si>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</si>
  <si>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</si>
  <si>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</si>
  <si>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</si>
  <si>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</si>
  <si>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</si>
  <si>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</si>
  <si>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</si>
  <si>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</si>
  <si>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</si>
  <si>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</si>
  <si>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</si>
  <si>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</si>
  <si>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</si>
  <si>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</si>
  <si>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</si>
  <si>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</si>
  <si>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</si>
  <si>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</si>
  <si>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</si>
  <si>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</si>
  <si>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</si>
  <si>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</si>
  <si>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</si>
  <si>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</si>
  <si>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</si>
  <si>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</si>
  <si>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</si>
  <si>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</si>
  <si>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</si>
  <si>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</si>
  <si>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</si>
  <si>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</si>
  <si>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</si>
  <si>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</si>
  <si>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</si>
  <si>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</si>
  <si>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</si>
  <si>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</si>
  <si>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</si>
  <si>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</si>
  <si>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</si>
  <si>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</si>
  <si>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</si>
  <si>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</si>
  <si>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</si>
  <si>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</si>
  <si>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</si>
  <si>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</si>
  <si>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</si>
  <si>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</si>
  <si>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</si>
  <si>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</si>
  <si>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</si>
  <si>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</si>
  <si>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</si>
  <si>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</si>
  <si>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</si>
  <si>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</si>
  <si>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</si>
  <si>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</si>
  <si>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</si>
  <si>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</si>
  <si>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</si>
  <si>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</si>
  <si>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</si>
  <si>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</si>
  <si>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</si>
  <si>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</si>
  <si>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</si>
  <si>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</si>
  <si>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</si>
  <si>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</si>
  <si>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</si>
  <si>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</si>
  <si>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</si>
  <si>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</si>
  <si>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</si>
  <si>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</si>
  <si>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</si>
  <si>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</si>
  <si>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</si>
  <si>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</si>
  <si>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</si>
  <si>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</si>
  <si>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</si>
  <si>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</si>
  <si>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</si>
  <si>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</si>
  <si>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</si>
  <si>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</si>
  <si>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</si>
  <si>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</si>
  <si>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</si>
  <si>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</si>
  <si>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</si>
  <si>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</si>
  <si>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</si>
  <si>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</si>
  <si>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</si>
  <si>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</si>
  <si>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</si>
  <si>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</si>
  <si>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</si>
  <si>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</si>
  <si>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</si>
  <si>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</si>
  <si>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</si>
  <si>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</si>
  <si>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</si>
  <si>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</si>
  <si>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</si>
  <si>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</si>
  <si>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</si>
  <si>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</si>
  <si>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</si>
  <si>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</si>
  <si>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</si>
  <si>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</si>
  <si>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</si>
  <si>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</si>
  <si>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</si>
  <si>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</si>
  <si>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</si>
  <si>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</si>
  <si>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</si>
  <si>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</si>
  <si>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</si>
  <si>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</si>
  <si>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</si>
  <si>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</si>
  <si>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</si>
  <si>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</si>
  <si>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</si>
  <si>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</si>
  <si>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</si>
  <si>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</si>
  <si>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</si>
  <si>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</si>
  <si>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</si>
  <si>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</si>
  <si>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</si>
  <si>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</si>
  <si>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</si>
  <si>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</si>
  <si>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</si>
  <si>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</si>
  <si>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</si>
  <si>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</si>
  <si>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</si>
  <si>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</si>
  <si>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</si>
  <si>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</si>
  <si>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</si>
  <si>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</si>
  <si>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</si>
  <si>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</si>
  <si>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</si>
  <si>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</si>
  <si>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</si>
  <si>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</si>
  <si>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</si>
  <si>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</si>
  <si>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</si>
  <si>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</si>
  <si>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</si>
  <si>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</si>
  <si>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</si>
  <si>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</si>
  <si>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</si>
  <si>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</si>
  <si>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</si>
  <si>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</si>
  <si>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</si>
  <si>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</si>
  <si>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</si>
  <si>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</si>
  <si>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</si>
  <si>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</si>
  <si>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</si>
  <si>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</si>
  <si>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</si>
  <si>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</si>
  <si>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</si>
  <si>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</si>
  <si>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</si>
  <si>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</si>
  <si>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</si>
  <si>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</si>
  <si>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</si>
  <si>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</si>
  <si>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</si>
  <si>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</si>
  <si>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</si>
  <si>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</si>
  <si>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</si>
  <si>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</si>
  <si>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</si>
  <si>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</si>
  <si>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</si>
  <si>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</si>
  <si>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</si>
  <si>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</si>
  <si>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</si>
  <si>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</si>
  <si>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</si>
  <si>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</si>
  <si>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</si>
  <si>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</si>
  <si>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</si>
  <si>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</si>
  <si>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</si>
  <si>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</si>
  <si>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</si>
  <si>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</si>
  <si>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</si>
  <si>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</si>
  <si>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</si>
  <si>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</si>
  <si>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</si>
  <si>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</si>
  <si>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</si>
  <si>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</si>
  <si>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</si>
  <si>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</si>
  <si>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</si>
  <si>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</si>
  <si>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</si>
  <si>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</si>
  <si>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</si>
  <si>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</si>
  <si>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</si>
  <si>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</si>
  <si>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</si>
  <si>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</si>
  <si>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</si>
  <si>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</si>
  <si>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</si>
  <si>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</si>
  <si>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</si>
  <si>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</si>
  <si>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</si>
  <si>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</si>
  <si>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</si>
  <si>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</si>
  <si>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</si>
  <si>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</si>
  <si>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</si>
  <si>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</si>
  <si>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</si>
  <si>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</si>
  <si>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</si>
  <si>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</si>
  <si>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</si>
  <si>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</si>
  <si>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</si>
  <si>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</si>
  <si>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</si>
  <si>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</si>
  <si>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</si>
  <si>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</si>
  <si>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</si>
  <si>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</si>
  <si>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</si>
  <si>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</si>
  <si>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</si>
  <si>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</si>
  <si>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</si>
  <si>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</si>
  <si>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</si>
  <si>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</si>
  <si>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</si>
  <si>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</si>
  <si>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</si>
  <si>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</si>
  <si>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</si>
  <si>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</si>
  <si>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</si>
  <si>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</si>
  <si>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</si>
  <si>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</si>
  <si>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</si>
  <si>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</si>
  <si>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</si>
  <si>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</si>
  <si>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</si>
  <si>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</si>
  <si>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</si>
  <si>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</si>
  <si>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</si>
  <si>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</si>
  <si>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</si>
  <si>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</si>
  <si>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</si>
  <si>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</si>
  <si>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</si>
  <si>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</si>
  <si>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</si>
  <si>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</si>
  <si>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</si>
  <si>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</si>
  <si>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</si>
  <si>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</si>
  <si>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</si>
  <si>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</si>
  <si>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</si>
  <si>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</si>
  <si>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</si>
  <si>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</si>
  <si>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</si>
  <si>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</si>
  <si>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</si>
  <si>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</si>
  <si>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</si>
  <si>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</si>
  <si>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</si>
  <si>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</si>
  <si>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</si>
  <si>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</si>
  <si>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</si>
  <si>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</si>
  <si>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</si>
  <si>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</si>
  <si>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</si>
  <si>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</si>
  <si>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</si>
  <si>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</si>
  <si>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</si>
  <si>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</si>
  <si>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</si>
  <si>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</si>
  <si>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</si>
  <si>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</si>
  <si>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</si>
  <si>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</si>
  <si>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</si>
  <si>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</si>
  <si>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</si>
  <si>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</si>
  <si>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</si>
  <si>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</si>
  <si>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</si>
  <si>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</si>
  <si>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</si>
  <si>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</si>
  <si>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</si>
  <si>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</si>
  <si>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</si>
  <si>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</si>
  <si>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</si>
  <si>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</si>
  <si>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</si>
  <si>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</si>
  <si>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</si>
  <si>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</si>
  <si>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</si>
  <si>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</si>
  <si>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</si>
  <si>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</si>
  <si>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</si>
  <si>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</si>
  <si>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</si>
  <si>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</si>
  <si>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</si>
  <si>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</si>
  <si>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</si>
  <si>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</si>
  <si>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</si>
  <si>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</si>
  <si>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</si>
  <si>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</si>
  <si>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</si>
  <si>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</si>
  <si>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</si>
  <si>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</si>
  <si>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</si>
  <si>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</si>
  <si>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</si>
  <si>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</si>
  <si>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</si>
  <si>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</si>
  <si>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</si>
  <si>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</si>
  <si>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</si>
  <si>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</si>
  <si>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</si>
  <si>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</si>
  <si>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</si>
  <si>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</si>
  <si>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</si>
  <si>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</si>
  <si>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</si>
  <si>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</si>
  <si>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</si>
  <si>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</si>
  <si>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</si>
  <si>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</si>
  <si>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</si>
  <si>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</si>
  <si>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</si>
  <si>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</si>
  <si>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</si>
  <si>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</si>
  <si>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</si>
  <si>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</si>
  <si>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</si>
  <si>
    <t>01a0f3f9-655c-7a49-a2a3-82fe1f75bb85</t>
  </si>
  <si>
    <t>Zinzino</t>
  </si>
  <si>
    <t>SE0002480442</t>
  </si>
  <si>
    <t>Buy trade SE0002480442 ZINZINO AB B, quantity: 8.503401</t>
  </si>
  <si>
    <t>6846f03f-eaef-44a4-bca2-43e995251319</t>
  </si>
  <si>
    <t>Einstandskurs:</t>
  </si>
  <si>
    <t>Bestand:</t>
  </si>
  <si>
    <t>Zielgewinn:</t>
  </si>
  <si>
    <t>Zielkurs:</t>
  </si>
  <si>
    <t>Ermittlung des Zielkurses</t>
  </si>
  <si>
    <t>Zielrendite</t>
  </si>
  <si>
    <t>Zielbestand:</t>
  </si>
  <si>
    <t>Tax</t>
  </si>
  <si>
    <t>Cash Dividend for ISIN US6541061031</t>
  </si>
  <si>
    <t>01a0f72a-aa0e-77d9-89f2-25e65f9dcfab</t>
  </si>
  <si>
    <t>01a0fa2a-9a94-7e2f-9dd0-4c5306e2e8cb</t>
  </si>
  <si>
    <t>01a0fb37-a589-7646-b2f6-f310756f1b57</t>
  </si>
  <si>
    <t>312bed99-7ca6-4df7-a90c-571ce6727fbb</t>
  </si>
  <si>
    <t>Savings plan execution IE00BM67HK77 Xtrackers (IE) Plc - Xtrackers MSCI World Health Care UCITS ETF 1C, quantity: 0.930232</t>
  </si>
  <si>
    <t>2031261a-95fc-404b-ad38-6248acb11889</t>
  </si>
  <si>
    <t>Sell trade IE00B5BMR087 iShares VII plc - iShares Core S&amp;P 500 UCITS ETF USD (Acc), quantity: 1</t>
  </si>
  <si>
    <t>5dff4e94-4b39-494f-8b1e-ff4b0f484646</t>
  </si>
  <si>
    <t>Sell trade IE00B4L5Y983 iShares III plc - iShares Core MSCI World UCITS ETF USD (Acc), quantity: 2.064302</t>
  </si>
  <si>
    <t>ee117477-0839-459b-97b1-8a552ed67040</t>
  </si>
  <si>
    <t>Sell trade IE00BMC38736 VanEck UCITS ETFs plc - VanEck Semiconductor UCITS ETF, quantity: 3.5</t>
  </si>
  <si>
    <t>91e6e73a-554c-439b-99c5-4b35a0128898</t>
  </si>
  <si>
    <t>01a0fda0-c917-7f20-9ee2-65f529110fe2</t>
  </si>
  <si>
    <t>Sell trade LU1861132840 Amundi Index Solutions - Amundi MSCI Robotics &amp; AI UCITS ETF Acc, quantity: 2.033536</t>
  </si>
  <si>
    <t>4070bfa6-9f8b-4ca4-8fd9-923bad262e59</t>
  </si>
  <si>
    <t>01a0fe19-9c3c-7f9a-a043-50b7a3eb3dbc</t>
  </si>
  <si>
    <t>Sell trade IE00B4L5Y983 iShares III plc - iShares Core MSCI World UCITS ETF USD (Acc), quantity: 7</t>
  </si>
  <si>
    <t>da0ef8bc-e82a-4dea-b682-eafccaf6b79e</t>
  </si>
  <si>
    <t>Sell trade IE00BMC38736 VanEck UCITS ETFs plc - VanEck Semiconductor UCITS ETF, quantity: 3.737006</t>
  </si>
  <si>
    <t>b7106677-5005-432b-9a62-77f7ea6e78ee</t>
  </si>
  <si>
    <t>01a0fe5b-0053-735a-a427-3e34b81a98e7</t>
  </si>
  <si>
    <t>01a10189-4bd8-7872-aafd-5cd9b64ccc1d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</si>
</sst>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0.00\ &quot;€&quot;"/>
    <numFmt numFmtId="165" formatCode="#,##0.00000\ &quot;€&quot;"/>
    <numFmt numFmtId="166" formatCode="#,##0.000\ &quot;€&quot;"/>
    <numFmt numFmtId="167" formatCode="#,##0.00000"/>
    <numFmt numFmtId="168" formatCode="#,##0.0000\ &quot;€&quot;"/>
    <numFmt numFmtId="169" formatCode="#,##0.00000000\ &quot;€&quot;"/>
  </numFmts>
  <fonts count="9"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6">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xf numFmtId="165" fontId="8" fillId="0" borderId="0" xfId="0" applyNumberFormat="1" applyFont="1"/>
    <xf numFmtId="10" fontId="8" fillId="0" borderId="0" xfId="0" applyNumberFormat="1" applyFont="1"/>
    <xf numFmtId="167" fontId="8" fillId="0" borderId="0" xfId="0" applyNumberFormat="1" applyFont="1"/>
    <xf numFmtId="168" fontId="0" fillId="0" borderId="0" xfId="0" applyNumberFormat="1" applyAlignment="1">
      <alignment horizontal="center"/>
    </xf>
    <xf numFmtId="169" fontId="0" fillId="0" borderId="0" xfId="0" applyNumberFormat="1" applyAlignment="1">
      <alignment horizontal="center"/>
    </xf>
  </cellXfs>
  <cellStyles count="2">
    <cellStyle name="Standard" xfId="0" builtinId="0"/>
    <cellStyle name="Währung" xfId="1" builtinId="4"/>
  </cellStyles>
  <dxfs count="50">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Pivot!$A$14:$A$46</c:f>
              <c:multiLvlStrCache>
                <c:ptCount val="29"/>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S&amp;P 500 USD (Acc)</c:v>
                  </c:pt>
                  <c:pt idx="11">
                    <c:v>Core Stoxx Europe 600 EUR (Acc)</c:v>
                  </c:pt>
                  <c:pt idx="12">
                    <c:v>Defense USD (Acc)</c:v>
                  </c:pt>
                  <c:pt idx="13">
                    <c:v>Drone USD (ACC)</c:v>
                  </c:pt>
                  <c:pt idx="14">
                    <c:v>MSCI Robotics &amp; AI ESG Screened EUR (Acc)</c:v>
                  </c:pt>
                  <c:pt idx="15">
                    <c:v>MSCI World Consumer Staples USD (Acc)</c:v>
                  </c:pt>
                  <c:pt idx="16">
                    <c:v>MSCI World Health Care USD (Acc)</c:v>
                  </c:pt>
                  <c:pt idx="17">
                    <c:v>New Energy EUR (Dist)</c:v>
                  </c:pt>
                  <c:pt idx="18">
                    <c:v>Quantum Computing USD (Acc)</c:v>
                  </c:pt>
                  <c:pt idx="19">
                    <c:v>Space Innovators USD (Acc)</c:v>
                  </c:pt>
                  <c:pt idx="20">
                    <c:v>Bayer</c:v>
                  </c:pt>
                  <c:pt idx="21">
                    <c:v>Deutsche Konsum REIT</c:v>
                  </c:pt>
                  <c:pt idx="22">
                    <c:v>DroneShield</c:v>
                  </c:pt>
                  <c:pt idx="23">
                    <c:v>D-Wave Quantum</c:v>
                  </c:pt>
                  <c:pt idx="24">
                    <c:v>Lufthansa</c:v>
                  </c:pt>
                  <c:pt idx="25">
                    <c:v>Netflix</c:v>
                  </c:pt>
                  <c:pt idx="26">
                    <c:v>Nike (B)</c:v>
                  </c:pt>
                  <c:pt idx="27">
                    <c:v>Uranium Energy</c:v>
                  </c:pt>
                  <c:pt idx="28">
                    <c:v>Zinzino</c:v>
                  </c:pt>
                </c:lvl>
                <c:lvl>
                  <c:pt idx="0">
                    <c:v>CRYPTO</c:v>
                  </c:pt>
                  <c:pt idx="9">
                    <c:v>FUND</c:v>
                  </c:pt>
                  <c:pt idx="20">
                    <c:v>STOCK</c:v>
                  </c:pt>
                </c:lvl>
              </c:multiLvlStrCache>
            </c:multiLvlStrRef>
          </c:cat>
          <c:val>
            <c:numRef>
              <c:f>Pivot!$B$14:$B$46</c:f>
              <c:numCache>
                <c:formatCode>_("€"* #,##0.00_);_("€"* \(#,##0.00\);_("€"* "-"??_);_(@_)</c:formatCode>
                <c:ptCount val="29"/>
                <c:pt idx="0">
                  <c:v>18.528819300825948</c:v>
                </c:pt>
                <c:pt idx="1">
                  <c:v>171.24184024402223</c:v>
                </c:pt>
                <c:pt idx="2">
                  <c:v>297.49342008864937</c:v>
                </c:pt>
                <c:pt idx="3">
                  <c:v>114.69022786993962</c:v>
                </c:pt>
                <c:pt idx="4">
                  <c:v>85.820013968126744</c:v>
                </c:pt>
                <c:pt idx="5">
                  <c:v>21.473963184993803</c:v>
                </c:pt>
                <c:pt idx="6">
                  <c:v>43.923112283645963</c:v>
                </c:pt>
                <c:pt idx="7">
                  <c:v>320.24536693808699</c:v>
                </c:pt>
                <c:pt idx="8">
                  <c:v>260.40578124603189</c:v>
                </c:pt>
                <c:pt idx="9">
                  <c:v>725.22000255</c:v>
                </c:pt>
                <c:pt idx="10">
                  <c:v>1389.4732215000001</c:v>
                </c:pt>
                <c:pt idx="11">
                  <c:v>730.03160405000006</c:v>
                </c:pt>
                <c:pt idx="12">
                  <c:v>378.06584928000001</c:v>
                </c:pt>
                <c:pt idx="13">
                  <c:v>500.22189013199994</c:v>
                </c:pt>
                <c:pt idx="14">
                  <c:v>632.64</c:v>
                </c:pt>
                <c:pt idx="15">
                  <c:v>392.08331764999997</c:v>
                </c:pt>
                <c:pt idx="16">
                  <c:v>558.91923018</c:v>
                </c:pt>
                <c:pt idx="17">
                  <c:v>362.97934574999999</c:v>
                </c:pt>
                <c:pt idx="18">
                  <c:v>385.890106</c:v>
                </c:pt>
                <c:pt idx="19">
                  <c:v>419.25027151999996</c:v>
                </c:pt>
                <c:pt idx="20">
                  <c:v>25.680621308199974</c:v>
                </c:pt>
                <c:pt idx="21">
                  <c:v>45.3</c:v>
                </c:pt>
                <c:pt idx="22">
                  <c:v>802.65576200319981</c:v>
                </c:pt>
                <c:pt idx="23">
                  <c:v>452.85972004309997</c:v>
                </c:pt>
                <c:pt idx="24">
                  <c:v>223.38166970600003</c:v>
                </c:pt>
                <c:pt idx="25">
                  <c:v>429.39986739800003</c:v>
                </c:pt>
                <c:pt idx="26">
                  <c:v>227.31988664000002</c:v>
                </c:pt>
                <c:pt idx="27">
                  <c:v>535.81075955000006</c:v>
                </c:pt>
                <c:pt idx="28">
                  <c:v>95.073125220600005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6575.1186478599984</c:v>
                </c:pt>
                <c:pt idx="2">
                  <c:v>3764.3060693300004</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1333.8225451243225</c:v>
                </c:pt>
                <c:pt idx="1">
                  <c:v>6474.7748386120002</c:v>
                </c:pt>
                <c:pt idx="2">
                  <c:v>2837.4814118690997</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1333.8225451243225</c:v>
                </c:pt>
                <c:pt idx="1">
                  <c:v>6474.7748386120002</c:v>
                </c:pt>
                <c:pt idx="2">
                  <c:v>2837.4814118690997</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11.628,16 €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10.646,08 €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-982,09 €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1.524,59 €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449,72 €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322,91 €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110,34 €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10.646,08 €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300.73399641204" missingItemsLimit="0" createdVersion="8" refreshedVersion="8" minRefreshableVersion="3" recordCount="78" xr:uid="{AECC3722-4F33-446B-9A76-E2824C46E9CC}">
  <cacheSource type="worksheet">
    <worksheetSource ref="A1:X1048576" sheet="Auswertung"/>
  </cacheSource>
  <cacheFields count="24">
    <cacheField name="Asset" numFmtId="0">
      <sharedItems containsBlank="1" count="63">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s v="Zinzino"/>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0">
      <sharedItems containsString="0" containsBlank="1" containsNumber="1" minValue="3.7758621485973274" maxValue="2590.2499999999995"/>
    </cacheField>
    <cacheField name="Verkauft €" numFmtId="0">
      <sharedItems containsString="0" containsBlank="1" containsNumber="1" minValue="0" maxValue="2118.5699999999997"/>
    </cacheField>
    <cacheField name="Gebühren €" numFmtId="164">
      <sharedItems containsString="0" containsBlank="1" containsNumber="1" containsInteger="1" minValue="1" maxValue="34"/>
    </cacheField>
    <cacheField name="Tax" numFmtId="164">
      <sharedItems containsString="0" containsBlank="1" containsNumber="1" minValue="0" maxValue="40.070000000000007"/>
    </cacheField>
    <cacheField name="Netto P&amp;L €" numFmtId="164">
      <sharedItems containsString="0" containsBlank="1" containsNumber="1" minValue="-1107.8800000000001" maxValue="104.41000000000008"/>
    </cacheField>
    <cacheField name="Status" numFmtId="0">
      <sharedItems containsBlank="1"/>
    </cacheField>
    <cacheField name="Einstandskurs €" numFmtId="0">
      <sharedItems containsString="0" containsBlank="1" containsNumber="1" minValue="0" maxValue="656.86"/>
    </cacheField>
    <cacheField name="Aktueller Kurs €" numFmtId="0">
      <sharedItems containsString="0" containsBlank="1" containsNumber="1" minValue="0" maxValue="746.1"/>
    </cacheField>
    <cacheField name="Aktuell nicht realisierte P&amp;L €" numFmtId="166">
      <sharedItems containsString="0" containsBlank="1" containsNumber="1" minValue="-334.48865300680006" maxValue="166.19299060000003"/>
    </cacheField>
    <cacheField name="Aktuelle Position €" numFmtId="164">
      <sharedItems containsString="0" containsBlank="1" containsNumber="1" minValue="0" maxValue="1389.4732215000001"/>
    </cacheField>
    <cacheField name="Aktuell Investiert €" numFmtId="164">
      <sharedItems containsString="0" containsBlank="1" containsNumber="1" minValue="0" maxValue="1223.2802309000001"/>
    </cacheField>
    <cacheField name="Aktuelle Rendite" numFmtId="10">
      <sharedItems containsString="0" containsBlank="1" containsNumber="1" minValue="-0.31230731467844869" maxValue="0.31109031491384453"/>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1298491564176928"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x v="0"/>
    <x v="0"/>
    <s v="ALGO"/>
    <n v="160.77442500000001"/>
    <n v="0"/>
    <n v="160.77442500000001"/>
    <n v="19"/>
    <n v="0"/>
    <n v="1"/>
    <n v="0"/>
    <n v="-20"/>
    <s v="OFFEN"/>
    <n v="0.1244"/>
    <n v="0.11524730566336"/>
    <n v="-1.4715191691740515"/>
    <n v="18.528819300825948"/>
    <n v="20.000338469999999"/>
    <n v="-7.3574713317041754E-2"/>
    <n v="0"/>
    <n v="0"/>
    <n v="1"/>
    <n v="0"/>
    <n v="0"/>
    <n v="-7.7430563114423812E-2"/>
  </r>
  <r>
    <x v="1"/>
    <x v="1"/>
    <s v="DE000BAY0017"/>
    <n v="15.014427"/>
    <n v="14.432513"/>
    <n v="0.58191399999999938"/>
    <n v="555.97"/>
    <n v="660.92"/>
    <n v="8"/>
    <n v="0"/>
    <n v="96.949999999999932"/>
    <s v="OFFEN"/>
    <n v="33.659999999999997"/>
    <n v="44.131300000000003"/>
    <n v="6.093396068199997"/>
    <n v="25.680621308199974"/>
    <n v="19.587225239999977"/>
    <n v="0.31109031491384453"/>
    <n v="117.1472252399999"/>
    <n v="544.38277476000007"/>
    <n v="5"/>
    <n v="3"/>
    <n v="0.21519274795505083"/>
    <n v="0.22057057270752004"/>
  </r>
  <r>
    <x v="2"/>
    <x v="1"/>
    <s v="GB0007980591"/>
    <n v="107.18673200000001"/>
    <n v="107.18673200000001"/>
    <n v="0"/>
    <n v="650"/>
    <n v="684.86"/>
    <n v="7"/>
    <n v="0"/>
    <n v="27.860000000000014"/>
    <s v="GESCHLOSSEN"/>
    <n v="0"/>
    <n v="0"/>
    <n v="0"/>
    <n v="0"/>
    <n v="0"/>
    <n v="0"/>
    <n v="31.260000000000012"/>
    <n v="657"/>
    <n v="4"/>
    <n v="3"/>
    <n v="4.7579908675799108E-2"/>
    <n v="4.2404870624048727E-2"/>
  </r>
  <r>
    <x v="3"/>
    <x v="1"/>
    <s v="CA0558691014"/>
    <n v="147.77105400000002"/>
    <n v="147.77105399999999"/>
    <n v="0"/>
    <n v="626"/>
    <n v="727.03"/>
    <n v="13"/>
    <n v="0"/>
    <n v="88.029999999999973"/>
    <s v="GESCHLOSSEN"/>
    <n v="0"/>
    <n v="0"/>
    <n v="0"/>
    <n v="0"/>
    <n v="0"/>
    <n v="0"/>
    <n v="88.029999999999973"/>
    <n v="639"/>
    <n v="12"/>
    <n v="1"/>
    <n v="0.13776212832550858"/>
    <n v="0.13776212832550858"/>
  </r>
  <r>
    <x v="4"/>
    <x v="1"/>
    <s v="CNE100000296"/>
    <n v="22.577082999999998"/>
    <n v="22.577083000000002"/>
    <n v="0"/>
    <n v="244"/>
    <n v="242.45999999999998"/>
    <n v="5"/>
    <n v="0"/>
    <n v="-6.5400000000000205"/>
    <s v="GESCHLOSSEN"/>
    <n v="0"/>
    <n v="0"/>
    <n v="0"/>
    <n v="0"/>
    <n v="0"/>
    <n v="0"/>
    <n v="-6.5400000000000205"/>
    <n v="249"/>
    <n v="3"/>
    <n v="2"/>
    <n v="-2.6265060240963936E-2"/>
    <n v="-2.6265060240963936E-2"/>
  </r>
  <r>
    <x v="5"/>
    <x v="0"/>
    <s v="ADA"/>
    <n v="714.061285"/>
    <n v="0"/>
    <n v="714.061285"/>
    <n v="178.99"/>
    <n v="0"/>
    <n v="5"/>
    <n v="0"/>
    <n v="-183.99"/>
    <s v="OFFEN"/>
    <n v="0.25800000000000001"/>
    <n v="0.23981392611703101"/>
    <n v="-12.985971285977769"/>
    <n v="171.24184024402223"/>
    <n v="184.22781153"/>
    <n v="-7.0488658461120068E-2"/>
    <n v="0"/>
    <n v="0"/>
    <n v="5"/>
    <n v="0"/>
    <n v="0"/>
    <n v="-7.1222748510965869E-2"/>
  </r>
  <r>
    <x v="6"/>
    <x v="1"/>
    <s v="DE000A1TNMM9"/>
    <n v="23.832335"/>
    <n v="23.832335"/>
    <n v="0"/>
    <n v="199"/>
    <n v="252.62"/>
    <n v="3"/>
    <n v="0"/>
    <n v="50.620000000000005"/>
    <s v="GESCHLOSSEN"/>
    <n v="0"/>
    <n v="0"/>
    <n v="0"/>
    <n v="0"/>
    <n v="0"/>
    <n v="0"/>
    <n v="50.620000000000005"/>
    <n v="202"/>
    <n v="1"/>
    <n v="2"/>
    <n v="0.25059405940594059"/>
    <n v="0.25059405940594059"/>
  </r>
  <r>
    <x v="7"/>
    <x v="0"/>
    <s v="LINK"/>
    <n v="24.110118"/>
    <n v="0"/>
    <n v="24.110118"/>
    <n v="243"/>
    <n v="0"/>
    <n v="5"/>
    <n v="0"/>
    <n v="-248"/>
    <s v="OFFEN"/>
    <n v="10.29"/>
    <n v="12.3389450059369"/>
    <n v="49.400305868649383"/>
    <n v="297.49342008864937"/>
    <n v="248.09311421999999"/>
    <n v="0.19912002001330428"/>
    <n v="0"/>
    <n v="0"/>
    <n v="5"/>
    <n v="0"/>
    <n v="0"/>
    <n v="0.20367662587921553"/>
  </r>
  <r>
    <x v="8"/>
    <x v="2"/>
    <s v="IE00BKM4GZ66"/>
    <n v="14.461017"/>
    <n v="0"/>
    <n v="14.461017"/>
    <n v="698.08"/>
    <n v="0"/>
    <n v="1"/>
    <n v="0"/>
    <n v="-699.08"/>
    <s v="OFFEN"/>
    <n v="48.34"/>
    <n v="50.15"/>
    <n v="26.174440769999933"/>
    <n v="725.22000255"/>
    <n v="699.04556178000007"/>
    <n v="3.7443111294993697E-2"/>
    <n v="0"/>
    <n v="0"/>
    <n v="1"/>
    <n v="0"/>
    <n v="0"/>
    <n v="3.7445568631102398E-2"/>
  </r>
  <r>
    <x v="9"/>
    <x v="2"/>
    <s v="IE00B4L5Y983"/>
    <n v="9.0643020000000014"/>
    <n v="9.0643019999999996"/>
    <n v="0"/>
    <n v="1049.99"/>
    <n v="1179.9000000000001"/>
    <n v="9"/>
    <n v="16.5"/>
    <n v="104.41000000000008"/>
    <s v="GESCHLOSSEN"/>
    <n v="0"/>
    <n v="0"/>
    <n v="0"/>
    <n v="0"/>
    <n v="0"/>
    <n v="0"/>
    <n v="120.91000000000008"/>
    <n v="1058.99"/>
    <n v="7"/>
    <n v="2"/>
    <n v="0.11417482695776171"/>
    <n v="9.8593943285583505E-2"/>
  </r>
  <r>
    <x v="10"/>
    <x v="2"/>
    <s v="IE00B5BMR087"/>
    <n v="2.8623150000000002"/>
    <n v="1"/>
    <n v="1.8623150000000002"/>
    <n v="1837.88"/>
    <n v="739"/>
    <n v="9"/>
    <n v="0"/>
    <n v="-1107.8800000000001"/>
    <s v="OFFEN"/>
    <n v="656.86"/>
    <n v="746.1"/>
    <n v="166.19299060000003"/>
    <n v="1389.4732215000001"/>
    <n v="1223.2802309000001"/>
    <n v="0.13585847821453584"/>
    <n v="115.4002309"/>
    <n v="623.5997691"/>
    <n v="8"/>
    <n v="1"/>
    <n v="0.18505496091916368"/>
    <n v="0.15321632614751793"/>
  </r>
  <r>
    <x v="11"/>
    <x v="2"/>
    <s v="LU0908500753"/>
    <n v="2.3372229999999998"/>
    <n v="0"/>
    <n v="2.3372229999999998"/>
    <n v="703.81"/>
    <n v="0"/>
    <n v="3"/>
    <n v="0"/>
    <n v="-706.81"/>
    <s v="OFFEN"/>
    <n v="302.41000000000003"/>
    <n v="312.35000000000002"/>
    <n v="23.231996620000018"/>
    <n v="730.03160405000006"/>
    <n v="706.79960743000004"/>
    <n v="3.286928342316725E-2"/>
    <n v="0"/>
    <n v="0"/>
    <n v="3"/>
    <n v="0"/>
    <n v="0"/>
    <n v="3.2994137693411731E-2"/>
  </r>
  <r>
    <x v="12"/>
    <x v="2"/>
    <s v="LU0274211480"/>
    <n v="2.2190669999999999"/>
    <n v="2.2190669999999999"/>
    <n v="0"/>
    <n v="500"/>
    <n v="506.61"/>
    <n v="3"/>
    <n v="0"/>
    <n v="3.6100000000000136"/>
    <s v="GESCHLOSSEN"/>
    <n v="0"/>
    <n v="0"/>
    <n v="0"/>
    <n v="0"/>
    <n v="0"/>
    <n v="0"/>
    <n v="3.6100000000000136"/>
    <n v="503"/>
    <n v="2"/>
    <n v="1"/>
    <n v="7.1769383697813391E-3"/>
    <n v="7.1769383697813391E-3"/>
  </r>
  <r>
    <x v="13"/>
    <x v="2"/>
    <s v="IE000YYE6WK5"/>
    <n v="7.1821020000000004"/>
    <n v="0"/>
    <n v="7.1821020000000004"/>
    <n v="399.98999999999995"/>
    <n v="0"/>
    <n v="3"/>
    <n v="0"/>
    <n v="-402.98999999999995"/>
    <s v="OFFEN"/>
    <n v="56.11"/>
    <n v="52.64"/>
    <n v="-24.921893940000018"/>
    <n v="378.06584928000001"/>
    <n v="402.98774322000003"/>
    <n v="-6.1842808768490506E-2"/>
    <n v="0"/>
    <n v="0"/>
    <n v="3"/>
    <n v="0"/>
    <n v="0"/>
    <n v="-6.2311934598364822E-2"/>
  </r>
  <r>
    <x v="14"/>
    <x v="1"/>
    <s v="DE000A14KRD3"/>
    <n v="30"/>
    <n v="0"/>
    <n v="30"/>
    <n v="56.55"/>
    <n v="0"/>
    <n v="1"/>
    <n v="0"/>
    <n v="-57.55"/>
    <s v="OFFEN"/>
    <n v="1.9179999999999999"/>
    <n v="1.51"/>
    <n v="-12.240000000000002"/>
    <n v="45.3"/>
    <n v="57.54"/>
    <n v="-0.21272158498435875"/>
    <n v="0"/>
    <n v="0"/>
    <n v="1"/>
    <n v="0"/>
    <n v="0"/>
    <n v="-0.21662245800176835"/>
  </r>
  <r>
    <x v="15"/>
    <x v="0"/>
    <s v="DOGE"/>
    <n v="1356.0241370000001"/>
    <n v="0"/>
    <n v="1356.0241370000001"/>
    <n v="100"/>
    <n v="0"/>
    <n v="1"/>
    <n v="0"/>
    <n v="-101"/>
    <s v="OFFEN"/>
    <n v="7.4499999999999997E-2"/>
    <n v="8.4578308557010304E-2"/>
    <n v="13.666429663439615"/>
    <n v="114.69022786993962"/>
    <n v="101.0237982065"/>
    <n v="0.13527930949007122"/>
    <n v="0"/>
    <n v="0"/>
    <n v="1"/>
    <n v="0"/>
    <n v="0"/>
    <n v="0.1369022786993962"/>
  </r>
  <r>
    <x v="16"/>
    <x v="1"/>
    <s v="CA26142Q3044"/>
    <n v="14.905659999999999"/>
    <n v="14.905659999999999"/>
    <n v="0"/>
    <n v="79"/>
    <n v="122.97"/>
    <n v="2"/>
    <n v="0"/>
    <n v="41.97"/>
    <s v="GESCHLOSSEN"/>
    <n v="0"/>
    <n v="0"/>
    <n v="0"/>
    <n v="0"/>
    <n v="0"/>
    <n v="0"/>
    <n v="41.97"/>
    <n v="81"/>
    <n v="1"/>
    <n v="1"/>
    <n v="0.51814814814814814"/>
    <n v="0.51814814814814814"/>
  </r>
  <r>
    <x v="17"/>
    <x v="2"/>
    <s v="IE0003XW12I8"/>
    <n v="102.799402"/>
    <n v="0"/>
    <n v="102.799402"/>
    <n v="649.91"/>
    <n v="0"/>
    <n v="8"/>
    <n v="0"/>
    <n v="-657.91"/>
    <s v="OFFEN"/>
    <n v="6.4"/>
    <n v="4.8659999999999997"/>
    <n v="-157.69428266800008"/>
    <n v="500.22189013199994"/>
    <n v="657.91617280000003"/>
    <n v="-0.23968750000000011"/>
    <n v="0"/>
    <n v="0"/>
    <n v="8"/>
    <n v="0"/>
    <n v="0"/>
    <n v="-0.24263068712283245"/>
  </r>
  <r>
    <x v="18"/>
    <x v="1"/>
    <s v="AU000000DRO2"/>
    <n v="1360.3733259999999"/>
    <n v="629.09074399999997"/>
    <n v="731.28258199999993"/>
    <n v="2590.2499999999995"/>
    <n v="1716.62"/>
    <n v="34"/>
    <n v="40.070000000000007"/>
    <n v="-947.6999999999997"/>
    <s v="OFFEN"/>
    <n v="1.5549999999999999"/>
    <n v="1.0975999999999999"/>
    <n v="-334.48865300680006"/>
    <n v="802.65576200319981"/>
    <n v="1137.1444150099999"/>
    <n v="-0.29414790996784573"/>
    <n v="229.51441501000022"/>
    <n v="1487.1055849899997"/>
    <n v="28"/>
    <n v="6"/>
    <n v="0.15433632778101875"/>
    <n v="-4.0526681979268314E-2"/>
  </r>
  <r>
    <x v="19"/>
    <x v="1"/>
    <s v="US26740W1099"/>
    <n v="132.787488"/>
    <n v="100.459531"/>
    <n v="32.327956999999998"/>
    <n v="2521.36"/>
    <n v="2118.5699999999997"/>
    <n v="27"/>
    <n v="15.58"/>
    <n v="-445.3700000000004"/>
    <s v="OFFEN"/>
    <n v="20.37"/>
    <n v="14.0083"/>
    <n v="-205.6607640469"/>
    <n v="452.85972004309997"/>
    <n v="658.52048408999997"/>
    <n v="-0.31230731467844869"/>
    <n v="228.73048408999966"/>
    <n v="1889.83951591"/>
    <n v="20"/>
    <n v="7"/>
    <n v="0.12103169722316914"/>
    <n v="9.1497128704744867E-3"/>
  </r>
  <r>
    <x v="20"/>
    <x v="1"/>
    <s v="CA27887W1005"/>
    <n v="531.45139600000005"/>
    <n v="531.45139600000005"/>
    <n v="0"/>
    <n v="349"/>
    <n v="371.71000000000004"/>
    <n v="5"/>
    <n v="0"/>
    <n v="17.710000000000036"/>
    <s v="GESCHLOSSEN"/>
    <n v="0"/>
    <n v="0"/>
    <n v="0"/>
    <n v="0"/>
    <n v="0"/>
    <n v="0"/>
    <n v="17.710000000000036"/>
    <n v="354"/>
    <n v="3"/>
    <n v="2"/>
    <n v="5.0028248587570726E-2"/>
    <n v="5.0028248587570726E-2"/>
  </r>
  <r>
    <x v="21"/>
    <x v="1"/>
    <s v="DE0005664809"/>
    <n v="18.553222999999999"/>
    <n v="18.553222999999999"/>
    <n v="0"/>
    <n v="99"/>
    <n v="119.14999999999999"/>
    <n v="2"/>
    <n v="0"/>
    <n v="18.149999999999991"/>
    <s v="GESCHLOSSEN"/>
    <n v="0"/>
    <n v="0"/>
    <n v="0"/>
    <n v="0"/>
    <n v="0"/>
    <n v="0"/>
    <n v="18.149999999999991"/>
    <n v="101"/>
    <n v="1"/>
    <n v="1"/>
    <n v="0.17970297029702961"/>
    <n v="0.17970297029702961"/>
  </r>
  <r>
    <x v="22"/>
    <x v="1"/>
    <s v="DE000HAG0005"/>
    <n v="1.009325"/>
    <n v="1.009325"/>
    <n v="0"/>
    <n v="92"/>
    <n v="103.7"/>
    <n v="3"/>
    <n v="2.29"/>
    <n v="6.4100000000000028"/>
    <s v="GESCHLOSSEN"/>
    <n v="0"/>
    <n v="0"/>
    <n v="0"/>
    <n v="0"/>
    <n v="0"/>
    <n v="0"/>
    <n v="8.7000000000000028"/>
    <n v="95"/>
    <n v="1"/>
    <n v="2"/>
    <n v="9.1578947368421079E-2"/>
    <n v="6.7473684210526338E-2"/>
  </r>
  <r>
    <x v="23"/>
    <x v="1"/>
    <s v="DE0006231004"/>
    <n v="1.8711989999999998"/>
    <n v="1.8711989999999998"/>
    <n v="0"/>
    <n v="60"/>
    <n v="64.16"/>
    <n v="2"/>
    <n v="0.57000000000000006"/>
    <n v="1.5899999999999965"/>
    <s v="GESCHLOSSEN"/>
    <n v="0"/>
    <n v="0"/>
    <n v="0"/>
    <n v="0"/>
    <n v="0"/>
    <n v="0"/>
    <n v="2.1599999999999966"/>
    <n v="62"/>
    <n v="1"/>
    <n v="1"/>
    <n v="3.4838709677419297E-2"/>
    <n v="2.5645161290322526E-2"/>
  </r>
  <r>
    <x v="24"/>
    <x v="1"/>
    <s v="DE0008232125"/>
    <n v="56.051445000000001"/>
    <n v="26.322716"/>
    <n v="29.728729000000001"/>
    <n v="450"/>
    <n v="210.27"/>
    <n v="5"/>
    <n v="0"/>
    <n v="-244.73"/>
    <s v="OFFEN"/>
    <n v="8.51"/>
    <n v="7.5140000000000002"/>
    <n v="-29.609814083999993"/>
    <n v="223.38166970600003"/>
    <n v="252.99148379000002"/>
    <n v="-0.11703877790834309"/>
    <n v="8.2614837900000282"/>
    <n v="202.00851620999998"/>
    <n v="4"/>
    <n v="1"/>
    <n v="4.0896710420919677E-2"/>
    <n v="-4.744073398666665E-2"/>
  </r>
  <r>
    <x v="25"/>
    <x v="1"/>
    <s v="JP3481200008"/>
    <n v="39.442231"/>
    <n v="39.442231"/>
    <n v="0"/>
    <n v="99"/>
    <n v="116.35"/>
    <n v="2"/>
    <n v="0"/>
    <n v="15.349999999999994"/>
    <s v="GESCHLOSSEN"/>
    <n v="0"/>
    <n v="0"/>
    <n v="0"/>
    <n v="0"/>
    <n v="0"/>
    <n v="0"/>
    <n v="15.349999999999994"/>
    <n v="101"/>
    <n v="1"/>
    <n v="1"/>
    <n v="0.15198019801980192"/>
    <n v="0.15198019801980192"/>
  </r>
  <r>
    <x v="26"/>
    <x v="2"/>
    <s v="LU1861132840"/>
    <n v="6.0335359999999998"/>
    <n v="2.0335359999999998"/>
    <n v="4"/>
    <n v="766.99"/>
    <n v="316.42"/>
    <n v="4"/>
    <n v="12.07"/>
    <n v="-466.64"/>
    <s v="OFFEN"/>
    <n v="130"/>
    <n v="158.16"/>
    <n v="112.63999999999999"/>
    <n v="632.64"/>
    <n v="520"/>
    <n v="0.2166153846153846"/>
    <n v="65.430000000000007"/>
    <n v="250.99"/>
    <n v="3"/>
    <n v="1"/>
    <n v="0.26068767679987254"/>
    <n v="0.23216730335467206"/>
  </r>
  <r>
    <x v="27"/>
    <x v="2"/>
    <s v="IE00BM67HN09"/>
    <n v="8.3333329999999997"/>
    <n v="0"/>
    <n v="8.3333329999999997"/>
    <n v="399.96"/>
    <n v="0"/>
    <n v="1"/>
    <n v="0"/>
    <n v="-400.96"/>
    <s v="OFFEN"/>
    <n v="48.12"/>
    <n v="47.05"/>
    <n v="-8.9166663099999823"/>
    <n v="392.08331764999997"/>
    <n v="400.99998395999995"/>
    <n v="-2.2236076475477932E-2"/>
    <n v="0"/>
    <n v="0"/>
    <n v="1"/>
    <n v="0"/>
    <n v="0"/>
    <n v="-2.2193925267526778E-2"/>
  </r>
  <r>
    <x v="28"/>
    <x v="2"/>
    <s v="IE00BM67HK77"/>
    <n v="10.354191"/>
    <n v="0"/>
    <n v="10.354191"/>
    <n v="550"/>
    <n v="0"/>
    <n v="1"/>
    <n v="0"/>
    <n v="-551"/>
    <s v="OFFEN"/>
    <n v="53.22"/>
    <n v="53.98"/>
    <n v="7.8691851600000291"/>
    <n v="558.91923018"/>
    <n v="551.05004501999997"/>
    <n v="1.4280345734686261E-2"/>
    <n v="0"/>
    <n v="0"/>
    <n v="1"/>
    <n v="0"/>
    <n v="0"/>
    <n v="1.4398600327272727E-2"/>
  </r>
  <r>
    <x v="29"/>
    <x v="1"/>
    <s v="US64110L1061"/>
    <n v="7.1999240000000002"/>
    <n v="0"/>
    <n v="7.1999240000000002"/>
    <n v="527.53"/>
    <n v="0"/>
    <n v="6"/>
    <n v="0"/>
    <n v="-533.53"/>
    <s v="OFFEN"/>
    <n v="74.099999999999994"/>
    <n v="59.639499999999998"/>
    <n v="-104.11450100199994"/>
    <n v="429.39986739800003"/>
    <n v="533.51436839999997"/>
    <n v="-0.19514844804318479"/>
    <n v="0"/>
    <n v="0"/>
    <n v="6"/>
    <n v="0"/>
    <n v="0"/>
    <n v="-0.19739186890224245"/>
  </r>
  <r>
    <x v="30"/>
    <x v="2"/>
    <s v="FR0010524777"/>
    <n v="8.7359650000000002"/>
    <n v="0"/>
    <n v="8.7359650000000002"/>
    <n v="400.01"/>
    <n v="0"/>
    <n v="3"/>
    <n v="0"/>
    <n v="-403.01"/>
    <s v="OFFEN"/>
    <n v="46.13"/>
    <n v="41.55"/>
    <n v="-40.010719700000038"/>
    <n v="362.97934574999999"/>
    <n v="402.99006545000003"/>
    <n v="-9.9284630392369483E-2"/>
    <n v="0"/>
    <n v="0"/>
    <n v="3"/>
    <n v="0"/>
    <n v="0"/>
    <n v="-0.10007413377165571"/>
  </r>
  <r>
    <x v="31"/>
    <x v="1"/>
    <s v="US6541061031"/>
    <n v="7.7689640000000004"/>
    <n v="0"/>
    <n v="7.7689640000000004"/>
    <n v="268.15999999999997"/>
    <n v="0"/>
    <n v="3"/>
    <n v="0"/>
    <n v="-271.15999999999997"/>
    <s v="OFFEN"/>
    <n v="34.9"/>
    <n v="29.26"/>
    <n v="-43.816956959999999"/>
    <n v="227.31988664000002"/>
    <n v="271.13684360000002"/>
    <n v="-0.16160458452722062"/>
    <n v="0"/>
    <n v="0"/>
    <n v="3"/>
    <n v="0"/>
    <n v="0"/>
    <n v="-0.16348490960620507"/>
  </r>
  <r>
    <x v="32"/>
    <x v="1"/>
    <s v="US67066G1040"/>
    <n v="1.3543989999999999"/>
    <n v="1.3543989999999999"/>
    <n v="0"/>
    <n v="196"/>
    <n v="205.19"/>
    <n v="4"/>
    <n v="1.6"/>
    <n v="3.5899999999999976"/>
    <s v="GESCHLOSSEN"/>
    <n v="0"/>
    <n v="0"/>
    <n v="0"/>
    <n v="0"/>
    <n v="0"/>
    <n v="0"/>
    <n v="5.1999999999999975"/>
    <n v="200"/>
    <n v="2"/>
    <n v="2"/>
    <n v="2.5999999999999988E-2"/>
    <n v="1.7949999999999987E-2"/>
  </r>
  <r>
    <x v="33"/>
    <x v="1"/>
    <s v="US69608A1088"/>
    <n v="1.052408"/>
    <n v="1.052408"/>
    <n v="0"/>
    <n v="149"/>
    <n v="161.5"/>
    <n v="2"/>
    <n v="2.7600000000000002"/>
    <n v="7.74"/>
    <s v="GESCHLOSSEN"/>
    <n v="0"/>
    <n v="0"/>
    <n v="0"/>
    <n v="0"/>
    <n v="0"/>
    <n v="0"/>
    <n v="10.5"/>
    <n v="151"/>
    <n v="1"/>
    <n v="1"/>
    <n v="6.9536423841059597E-2"/>
    <n v="5.1258278145695363E-2"/>
  </r>
  <r>
    <x v="34"/>
    <x v="1"/>
    <s v="US7034811015"/>
    <n v="63.615581999999996"/>
    <n v="63.615581999999996"/>
    <n v="0"/>
    <n v="600"/>
    <n v="633.09999999999991"/>
    <n v="5"/>
    <n v="0"/>
    <n v="28.099999999999909"/>
    <s v="GESCHLOSSEN"/>
    <n v="0"/>
    <n v="0"/>
    <n v="0"/>
    <n v="0"/>
    <n v="0"/>
    <n v="0"/>
    <n v="28.099999999999909"/>
    <n v="605"/>
    <n v="3"/>
    <n v="2"/>
    <n v="4.6446280991735388E-2"/>
    <n v="4.6446280991735388E-2"/>
  </r>
  <r>
    <x v="35"/>
    <x v="1"/>
    <s v="US7170811035"/>
    <n v="9.0826519999999995"/>
    <n v="9.0826519999999995"/>
    <n v="0"/>
    <n v="200"/>
    <n v="202.27"/>
    <n v="2"/>
    <n v="0"/>
    <n v="0.27000000000001023"/>
    <s v="GESCHLOSSEN"/>
    <n v="0"/>
    <n v="0"/>
    <n v="0"/>
    <n v="0"/>
    <n v="0"/>
    <n v="0"/>
    <n v="0.27000000000001023"/>
    <n v="202"/>
    <n v="1"/>
    <n v="1"/>
    <n v="1.3366336633663873E-3"/>
    <n v="1.3366336633663873E-3"/>
  </r>
  <r>
    <x v="36"/>
    <x v="1"/>
    <s v="US72919P2020"/>
    <n v="99.269513000000003"/>
    <n v="99.269513000000003"/>
    <n v="0"/>
    <n v="268"/>
    <n v="279.45"/>
    <n v="5"/>
    <n v="0"/>
    <n v="6.4499999999999886"/>
    <s v="GESCHLOSSEN"/>
    <n v="0"/>
    <n v="0"/>
    <n v="0"/>
    <n v="0"/>
    <n v="0"/>
    <n v="0"/>
    <n v="6.4499999999999886"/>
    <n v="273"/>
    <n v="4"/>
    <n v="1"/>
    <n v="2.3626373626373584E-2"/>
    <n v="2.3626373626373584E-2"/>
  </r>
  <r>
    <x v="37"/>
    <x v="0"/>
    <s v="DOT"/>
    <n v="80.193626999999992"/>
    <n v="0"/>
    <n v="80.193626999999992"/>
    <n v="112.99"/>
    <n v="0"/>
    <n v="5"/>
    <n v="0"/>
    <n v="-117.99"/>
    <s v="OFFEN"/>
    <n v="1.4710000000000001"/>
    <n v="1.0701600261592701"/>
    <n v="-32.144811348873247"/>
    <n v="85.820013968126744"/>
    <n v="117.96482531699999"/>
    <n v="-0.27249488364427593"/>
    <n v="0"/>
    <n v="0"/>
    <n v="5"/>
    <n v="0"/>
    <n v="0"/>
    <n v="-0.2847153379225883"/>
  </r>
  <r>
    <x v="38"/>
    <x v="0"/>
    <s v="MATIC"/>
    <n v="223.93145699999999"/>
    <n v="0"/>
    <n v="223.93145699999999"/>
    <n v="23"/>
    <n v="0"/>
    <n v="1"/>
    <n v="0"/>
    <n v="-24"/>
    <s v="OFFEN"/>
    <n v="0.1072"/>
    <n v="9.5895250594443301E-2"/>
    <n v="-2.5314890054061969"/>
    <n v="21.473963184993803"/>
    <n v="24.0054521904"/>
    <n v="-0.10545475191750658"/>
    <n v="0"/>
    <n v="0"/>
    <n v="1"/>
    <n v="0"/>
    <n v="0"/>
    <n v="-0.10982768760896509"/>
  </r>
  <r>
    <x v="39"/>
    <x v="2"/>
    <s v="IE0007Y8Y157"/>
    <n v="14.728630000000001"/>
    <n v="0"/>
    <n v="14.728630000000001"/>
    <n v="399.95"/>
    <n v="0"/>
    <n v="3"/>
    <n v="0"/>
    <n v="-402.95"/>
    <s v="OFFEN"/>
    <n v="27.36"/>
    <n v="26.2"/>
    <n v="-17.085210800000027"/>
    <n v="385.890106"/>
    <n v="402.97531680000003"/>
    <n v="-4.2397660818713517E-2"/>
    <n v="0"/>
    <n v="0"/>
    <n v="3"/>
    <n v="0"/>
    <n v="0"/>
    <n v="-4.2655066883360383E-2"/>
  </r>
  <r>
    <x v="40"/>
    <x v="1"/>
    <s v="CA74767K1030"/>
    <n v="28.343948999999999"/>
    <n v="28.343948999999999"/>
    <n v="0"/>
    <n v="89"/>
    <n v="108.83999999999999"/>
    <n v="2"/>
    <n v="0"/>
    <n v="17.839999999999989"/>
    <s v="GESCHLOSSEN"/>
    <n v="0"/>
    <n v="0"/>
    <n v="0"/>
    <n v="0"/>
    <n v="0"/>
    <n v="0"/>
    <n v="17.839999999999989"/>
    <n v="91"/>
    <n v="1"/>
    <n v="1"/>
    <n v="0.19604395604395591"/>
    <n v="0.19604395604395591"/>
  </r>
  <r>
    <x v="41"/>
    <x v="1"/>
    <s v="US75644T1007"/>
    <n v="14.265129"/>
    <n v="14.265129"/>
    <n v="0"/>
    <n v="98.71"/>
    <n v="145.5"/>
    <n v="2"/>
    <n v="0"/>
    <n v="44.790000000000006"/>
    <s v="GESCHLOSSEN"/>
    <n v="0"/>
    <n v="0"/>
    <n v="0"/>
    <n v="0"/>
    <n v="0"/>
    <n v="0"/>
    <n v="44.790000000000006"/>
    <n v="100.71"/>
    <n v="1"/>
    <n v="1"/>
    <n v="0.4447423294608282"/>
    <n v="0.4447423294608282"/>
  </r>
  <r>
    <x v="42"/>
    <x v="0"/>
    <s v="XF0RENDER015"/>
    <n v="24.9"/>
    <n v="0"/>
    <n v="24.9"/>
    <n v="55.97"/>
    <n v="0"/>
    <n v="3"/>
    <n v="0"/>
    <n v="-58.97"/>
    <s v="OFFEN"/>
    <n v="2.37"/>
    <n v="1.76398041299783"/>
    <n v="-15.089887716354035"/>
    <n v="43.923112283645963"/>
    <n v="59.012999999999998"/>
    <n v="-0.25570446708952327"/>
    <n v="0"/>
    <n v="0"/>
    <n v="3"/>
    <n v="0"/>
    <n v="0"/>
    <n v="-0.26883844410137636"/>
  </r>
  <r>
    <x v="43"/>
    <x v="1"/>
    <s v="DE000RENK730"/>
    <n v="1.1348940000000001"/>
    <n v="1.1348940000000001"/>
    <n v="0"/>
    <n v="79"/>
    <n v="88.28"/>
    <n v="2"/>
    <n v="1.92"/>
    <n v="5.3600000000000012"/>
    <s v="GESCHLOSSEN"/>
    <n v="0"/>
    <n v="0"/>
    <n v="0"/>
    <n v="0"/>
    <n v="0"/>
    <n v="0"/>
    <n v="7.2800000000000011"/>
    <n v="81"/>
    <n v="1"/>
    <n v="1"/>
    <n v="8.9876543209876564E-2"/>
    <n v="6.6172839506172851E-2"/>
  </r>
  <r>
    <x v="44"/>
    <x v="1"/>
    <s v="DE0007037129"/>
    <n v="1.3683320000000001"/>
    <n v="1.3683320000000001"/>
    <n v="0"/>
    <n v="49"/>
    <n v="53.47"/>
    <n v="2"/>
    <n v="0.64"/>
    <n v="1.8299999999999987"/>
    <s v="GESCHLOSSEN"/>
    <n v="0"/>
    <n v="0"/>
    <n v="0"/>
    <n v="0"/>
    <n v="0"/>
    <n v="0"/>
    <n v="2.4699999999999989"/>
    <n v="51"/>
    <n v="1"/>
    <n v="1"/>
    <n v="4.8431372549019587E-2"/>
    <n v="3.5882352941176449E-2"/>
  </r>
  <r>
    <x v="45"/>
    <x v="2"/>
    <s v="IE00BMC38736"/>
    <n v="7.237006"/>
    <n v="7.237006"/>
    <n v="0"/>
    <n v="693.54"/>
    <n v="756.62"/>
    <n v="4"/>
    <n v="10.210000000000001"/>
    <n v="48.87000000000004"/>
    <s v="GESCHLOSSEN"/>
    <n v="0"/>
    <n v="0"/>
    <n v="0"/>
    <n v="0"/>
    <n v="0"/>
    <n v="0"/>
    <n v="59.080000000000041"/>
    <n v="697.54"/>
    <n v="2"/>
    <n v="2"/>
    <n v="8.4697651747570102E-2"/>
    <n v="7.0060498322676898E-2"/>
  </r>
  <r>
    <x v="46"/>
    <x v="1"/>
    <s v="DE000ENER6Y0"/>
    <n v="1.0174080000000001"/>
    <n v="1.0174080000000001"/>
    <n v="0"/>
    <n v="90"/>
    <n v="100.19"/>
    <n v="2"/>
    <n v="2.16"/>
    <n v="6.0299999999999976"/>
    <s v="GESCHLOSSEN"/>
    <n v="0"/>
    <n v="0"/>
    <n v="0"/>
    <n v="0"/>
    <n v="0"/>
    <n v="0"/>
    <n v="8.1899999999999977"/>
    <n v="92"/>
    <n v="1"/>
    <n v="1"/>
    <n v="8.9021739130434763E-2"/>
    <n v="6.5543478260869537E-2"/>
  </r>
  <r>
    <x v="47"/>
    <x v="1"/>
    <s v="DE000WAF3001"/>
    <n v="2"/>
    <n v="2"/>
    <n v="0"/>
    <n v="80"/>
    <n v="92.300000000000011"/>
    <n v="3"/>
    <n v="2.2000000000000002"/>
    <n v="7.1000000000000112"/>
    <s v="GESCHLOSSEN"/>
    <n v="0"/>
    <n v="0"/>
    <n v="0"/>
    <n v="0"/>
    <n v="0"/>
    <n v="0"/>
    <n v="9.3000000000000114"/>
    <n v="83"/>
    <n v="1"/>
    <n v="2"/>
    <n v="0.11204819277108448"/>
    <n v="8.5542168674698923E-2"/>
  </r>
  <r>
    <x v="48"/>
    <x v="0"/>
    <s v="SOL"/>
    <n v="12.108418"/>
    <n v="9.1084180000000003"/>
    <n v="3"/>
    <n v="1062.25"/>
    <n v="860.56000000000006"/>
    <n v="11"/>
    <n v="0"/>
    <n v="-212.68999999999994"/>
    <s v="OFFEN"/>
    <n v="92.65"/>
    <n v="106.748455646029"/>
    <n v="42.295366938086943"/>
    <n v="320.24536693808699"/>
    <n v="277.95000000000005"/>
    <n v="0.15216897621186162"/>
    <n v="65.260000000000105"/>
    <n v="795.3"/>
    <n v="9"/>
    <n v="2"/>
    <n v="8.2057085376587582E-2"/>
    <n v="0.1012524047428449"/>
  </r>
  <r>
    <x v="49"/>
    <x v="2"/>
    <s v="IE000YU9K6K2"/>
    <n v="5.9082619999999997"/>
    <n v="0"/>
    <n v="5.9082619999999997"/>
    <n v="600.06000000000006"/>
    <n v="0"/>
    <n v="7"/>
    <n v="0"/>
    <n v="-607.06000000000006"/>
    <s v="OFFEN"/>
    <n v="102.75"/>
    <n v="70.959999999999994"/>
    <n v="-187.82364898000003"/>
    <n v="419.25027151999996"/>
    <n v="607.07392049999999"/>
    <n v="-0.30939172749391736"/>
    <n v="0"/>
    <n v="0"/>
    <n v="7"/>
    <n v="0"/>
    <n v="0"/>
    <n v="-0.31298491564176928"/>
  </r>
  <r>
    <x v="50"/>
    <x v="1"/>
    <s v="DE000A2YN900"/>
    <n v="16.737109"/>
    <n v="16.737109"/>
    <n v="0"/>
    <n v="99"/>
    <n v="108.5"/>
    <n v="3"/>
    <n v="0"/>
    <n v="6.5"/>
    <s v="GESCHLOSSEN"/>
    <n v="0"/>
    <n v="0"/>
    <n v="0"/>
    <n v="0"/>
    <n v="0"/>
    <n v="0"/>
    <n v="6.5"/>
    <n v="102"/>
    <n v="1"/>
    <n v="2"/>
    <n v="6.3725490196078427E-2"/>
    <n v="6.3725490196078427E-2"/>
  </r>
  <r>
    <x v="51"/>
    <x v="1"/>
    <s v="DE0007500001"/>
    <n v="2.1868780000000001"/>
    <n v="2.1868780000000001"/>
    <n v="0"/>
    <n v="21.99"/>
    <n v="25.43"/>
    <n v="2"/>
    <n v="0.37"/>
    <n v="1.0700000000000012"/>
    <s v="GESCHLOSSEN"/>
    <n v="0"/>
    <n v="0"/>
    <n v="0"/>
    <n v="0"/>
    <n v="0"/>
    <n v="0"/>
    <n v="1.4400000000000013"/>
    <n v="23.99"/>
    <n v="1"/>
    <n v="1"/>
    <n v="6.0025010421008808E-2"/>
    <n v="4.4601917465610721E-2"/>
  </r>
  <r>
    <x v="52"/>
    <x v="1"/>
    <s v="US90364P1057"/>
    <n v="7.211239"/>
    <n v="7.211239"/>
    <n v="0"/>
    <n v="115.99000000000001"/>
    <n v="101.14"/>
    <n v="3"/>
    <n v="0"/>
    <n v="-17.850000000000009"/>
    <s v="GESCHLOSSEN"/>
    <n v="0"/>
    <n v="0"/>
    <n v="0"/>
    <n v="0"/>
    <n v="0"/>
    <n v="0"/>
    <n v="-17.850000000000009"/>
    <n v="118.99000000000001"/>
    <n v="1"/>
    <n v="2"/>
    <n v="-0.15001260610135311"/>
    <n v="-0.15001260610135311"/>
  </r>
  <r>
    <x v="53"/>
    <x v="1"/>
    <s v="US9168961038"/>
    <n v="62.851702000000003"/>
    <n v="0"/>
    <n v="62.851702000000003"/>
    <n v="725.98000000000013"/>
    <n v="0"/>
    <n v="7"/>
    <n v="0"/>
    <n v="-732.98000000000013"/>
    <s v="OFFEN"/>
    <n v="11.66"/>
    <n v="8.5250000000000004"/>
    <n v="-197.04008577000002"/>
    <n v="535.81075955000006"/>
    <n v="732.85084532000008"/>
    <n v="-0.26886792452830188"/>
    <n v="0"/>
    <n v="0"/>
    <n v="7"/>
    <n v="0"/>
    <n v="0"/>
    <n v="-0.27159045765723577"/>
  </r>
  <r>
    <x v="54"/>
    <x v="1"/>
    <s v="US92766K4031"/>
    <n v="63.734862"/>
    <n v="63.734862"/>
    <n v="0"/>
    <n v="200"/>
    <n v="281.63"/>
    <n v="3"/>
    <n v="0"/>
    <n v="78.63"/>
    <s v="GESCHLOSSEN"/>
    <n v="0"/>
    <n v="0"/>
    <n v="0"/>
    <n v="0"/>
    <n v="0"/>
    <n v="0"/>
    <n v="78.63"/>
    <n v="203"/>
    <n v="1"/>
    <n v="2"/>
    <n v="0.38733990147783248"/>
    <n v="0.38733990147783248"/>
  </r>
  <r>
    <x v="55"/>
    <x v="1"/>
    <s v="CA92865M1023"/>
    <n v="50"/>
    <n v="50"/>
    <n v="0"/>
    <n v="17.8"/>
    <n v="21.1"/>
    <n v="2"/>
    <n v="0"/>
    <n v="1.3000000000000007"/>
    <s v="GESCHLOSSEN"/>
    <n v="0"/>
    <n v="0"/>
    <n v="0"/>
    <n v="0"/>
    <n v="0"/>
    <n v="0"/>
    <n v="1.3000000000000007"/>
    <n v="19.8"/>
    <n v="1"/>
    <n v="1"/>
    <n v="6.5656565656565691E-2"/>
    <n v="6.5656565656565691E-2"/>
  </r>
  <r>
    <x v="56"/>
    <x v="1"/>
    <s v="DE000A2E4LE9"/>
    <n v="15.401785"/>
    <n v="15.401785"/>
    <n v="0"/>
    <n v="69"/>
    <n v="81.63"/>
    <n v="2"/>
    <n v="0"/>
    <n v="10.629999999999995"/>
    <s v="GESCHLOSSEN"/>
    <n v="0"/>
    <n v="0"/>
    <n v="0"/>
    <n v="0"/>
    <n v="0"/>
    <n v="0"/>
    <n v="10.629999999999995"/>
    <n v="71"/>
    <n v="1"/>
    <n v="1"/>
    <n v="0.14971830985915485"/>
    <n v="0.14971830985915485"/>
  </r>
  <r>
    <x v="57"/>
    <x v="1"/>
    <s v="AU0000066086"/>
    <n v="12.345679000000001"/>
    <n v="12.345679000000001"/>
    <n v="0"/>
    <n v="28"/>
    <n v="33.159999999999997"/>
    <n v="2"/>
    <n v="0"/>
    <n v="3.1599999999999966"/>
    <s v="GESCHLOSSEN"/>
    <n v="0"/>
    <n v="0"/>
    <n v="0"/>
    <n v="0"/>
    <n v="0"/>
    <n v="0"/>
    <n v="3.1599999999999966"/>
    <n v="30"/>
    <n v="1"/>
    <n v="1"/>
    <n v="0.10533333333333322"/>
    <n v="0.10533333333333322"/>
  </r>
  <r>
    <x v="58"/>
    <x v="1"/>
    <s v="JE00BN574F90"/>
    <n v="19.212295000000001"/>
    <n v="19.212295000000001"/>
    <n v="0"/>
    <n v="200"/>
    <n v="221.32999999999998"/>
    <n v="2"/>
    <n v="0"/>
    <n v="19.329999999999984"/>
    <s v="GESCHLOSSEN"/>
    <n v="0"/>
    <n v="0"/>
    <n v="0"/>
    <n v="0"/>
    <n v="0"/>
    <n v="0"/>
    <n v="19.329999999999984"/>
    <n v="202"/>
    <n v="1"/>
    <n v="1"/>
    <n v="9.5693069306930612E-2"/>
    <n v="9.5693069306930612E-2"/>
  </r>
  <r>
    <x v="59"/>
    <x v="1"/>
    <s v="KYG970081173"/>
    <n v="7.0017500000000004"/>
    <n v="7.0017500000000004"/>
    <n v="0"/>
    <n v="28"/>
    <n v="30.310000000000002"/>
    <n v="2"/>
    <n v="0"/>
    <n v="0.31000000000000227"/>
    <s v="GESCHLOSSEN"/>
    <n v="0"/>
    <n v="0"/>
    <n v="0"/>
    <n v="0"/>
    <n v="0"/>
    <n v="0"/>
    <n v="0.31000000000000227"/>
    <n v="30"/>
    <n v="1"/>
    <n v="1"/>
    <n v="1.033333333333341E-2"/>
    <n v="1.033333333333341E-2"/>
  </r>
  <r>
    <x v="60"/>
    <x v="0"/>
    <s v="XRP"/>
    <n v="194.73171099999999"/>
    <n v="0"/>
    <n v="194.73171099999999"/>
    <n v="247.45"/>
    <n v="0"/>
    <n v="9"/>
    <n v="0"/>
    <n v="-256.45"/>
    <s v="OFFEN"/>
    <n v="1.3169999999999999"/>
    <n v="1.33725411186898"/>
    <n v="3.9441178590319055"/>
    <n v="260.40578124603189"/>
    <n v="256.46166338699999"/>
    <n v="1.5378976362171689E-2"/>
    <n v="0"/>
    <n v="0"/>
    <n v="9"/>
    <n v="0"/>
    <n v="0"/>
    <n v="1.5986184061555483E-2"/>
  </r>
  <r>
    <x v="61"/>
    <x v="1"/>
    <s v="SE0002480442"/>
    <n v="8.5034010000000002"/>
    <n v="0"/>
    <n v="8.5034010000000002"/>
    <n v="100"/>
    <n v="0"/>
    <n v="1"/>
    <n v="0"/>
    <n v="-101"/>
    <s v="OFFEN"/>
    <n v="11.88"/>
    <n v="11.1806"/>
    <n v="-5.9472786593999984"/>
    <n v="95.073125220600005"/>
    <n v="101.02040388"/>
    <n v="-5.8872053872053853E-2"/>
    <n v="0"/>
    <n v="0"/>
    <n v="1"/>
    <n v="0"/>
    <n v="0"/>
    <n v="-5.9268747793999953E-2"/>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m/>
    <m/>
    <m/>
    <m/>
    <m/>
    <m/>
    <m/>
    <m/>
    <m/>
    <m/>
    <m/>
    <m/>
    <m/>
    <m/>
    <m/>
    <m/>
    <m/>
    <m/>
    <m/>
    <m/>
  </r>
  <r>
    <x v="62"/>
    <x v="3"/>
    <m/>
    <m/>
    <n v="600.06206581999993"/>
    <n v="7"/>
    <n v="102.74799354192484"/>
    <m/>
    <m/>
    <m/>
    <m/>
    <m/>
    <m/>
    <m/>
    <m/>
    <m/>
    <m/>
    <m/>
    <m/>
    <m/>
    <m/>
    <m/>
    <m/>
    <m/>
  </r>
  <r>
    <x v="62"/>
    <x v="3"/>
    <m/>
    <m/>
    <n v="0"/>
    <n v="0"/>
    <n v="3.7758621485973274"/>
    <n v="0"/>
    <m/>
    <m/>
    <m/>
    <m/>
    <m/>
    <m/>
    <m/>
    <m/>
    <m/>
    <m/>
    <m/>
    <m/>
    <m/>
    <m/>
    <m/>
    <m/>
  </r>
  <r>
    <x v="62"/>
    <x v="3"/>
    <m/>
    <m/>
    <m/>
    <m/>
    <m/>
    <m/>
    <m/>
    <m/>
    <m/>
    <m/>
    <m/>
    <m/>
    <m/>
    <m/>
    <m/>
    <m/>
    <m/>
    <m/>
    <m/>
    <m/>
    <m/>
    <m/>
  </r>
  <r>
    <x v="62"/>
    <x v="3"/>
    <m/>
    <m/>
    <m/>
    <m/>
    <m/>
    <n v="868.48849283571201"/>
    <m/>
    <m/>
    <m/>
    <m/>
    <m/>
    <m/>
    <m/>
    <m/>
    <m/>
    <m/>
    <m/>
    <m/>
    <m/>
    <m/>
    <m/>
    <m/>
  </r>
  <r>
    <x v="62"/>
    <x v="3"/>
    <m/>
    <m/>
    <m/>
    <m/>
    <m/>
    <m/>
    <m/>
    <m/>
    <m/>
    <m/>
    <m/>
    <m/>
    <m/>
    <m/>
    <m/>
    <m/>
    <m/>
    <m/>
    <m/>
    <m/>
    <m/>
    <m/>
  </r>
  <r>
    <x v="62"/>
    <x v="3"/>
    <m/>
    <m/>
    <m/>
    <m/>
    <m/>
    <m/>
    <m/>
    <m/>
    <m/>
    <m/>
    <m/>
    <m/>
    <m/>
    <m/>
    <m/>
    <m/>
    <m/>
    <m/>
    <m/>
    <m/>
    <m/>
    <m/>
  </r>
  <r>
    <x v="62"/>
    <x v="3"/>
    <m/>
    <m/>
    <m/>
    <m/>
    <m/>
    <m/>
    <m/>
    <m/>
    <m/>
    <m/>
    <m/>
    <m/>
    <m/>
    <m/>
    <m/>
    <m/>
    <m/>
    <m/>
    <m/>
    <m/>
    <m/>
    <m/>
  </r>
  <r>
    <x v="62"/>
    <x v="3"/>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6" baseField="0" baseItem="0"/>
  </dataFields>
  <formats count="1">
    <format dxfId="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6" baseField="0" baseItem="0"/>
    <dataField name="Aktueller Wert" fld="15" baseField="0" baseItem="0"/>
  </dataFields>
  <formats count="1">
    <format dxfId="38">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20"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6" firstHeaderRow="1" firstDataRow="1" firstDataCol="1"/>
  <pivotFields count="24">
    <pivotField axis="axisRow" showAll="0"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3">
    <i>
      <x/>
    </i>
    <i r="1">
      <x/>
    </i>
    <i r="1">
      <x v="5"/>
    </i>
    <i r="1">
      <x v="7"/>
    </i>
    <i r="1">
      <x v="15"/>
    </i>
    <i r="1">
      <x v="37"/>
    </i>
    <i r="1">
      <x v="38"/>
    </i>
    <i r="1">
      <x v="42"/>
    </i>
    <i r="1">
      <x v="48"/>
    </i>
    <i r="1">
      <x v="60"/>
    </i>
    <i>
      <x v="1"/>
    </i>
    <i r="1">
      <x v="8"/>
    </i>
    <i r="1">
      <x v="10"/>
    </i>
    <i r="1">
      <x v="11"/>
    </i>
    <i r="1">
      <x v="13"/>
    </i>
    <i r="1">
      <x v="17"/>
    </i>
    <i r="1">
      <x v="26"/>
    </i>
    <i r="1">
      <x v="27"/>
    </i>
    <i r="1">
      <x v="28"/>
    </i>
    <i r="1">
      <x v="30"/>
    </i>
    <i r="1">
      <x v="39"/>
    </i>
    <i r="1">
      <x v="49"/>
    </i>
    <i>
      <x v="2"/>
    </i>
    <i r="1">
      <x v="1"/>
    </i>
    <i r="1">
      <x v="14"/>
    </i>
    <i r="1">
      <x v="18"/>
    </i>
    <i r="1">
      <x v="19"/>
    </i>
    <i r="1">
      <x v="24"/>
    </i>
    <i r="1">
      <x v="29"/>
    </i>
    <i r="1">
      <x v="31"/>
    </i>
    <i r="1">
      <x v="53"/>
    </i>
    <i r="1">
      <x v="62"/>
    </i>
    <i t="grand">
      <x/>
    </i>
  </rowItems>
  <colItems count="1">
    <i/>
  </colItems>
  <dataFields count="1">
    <dataField name="Aktueller Wert" fld="15" baseField="0" baseItem="0" numFmtId="44"/>
  </dataFields>
  <chartFormats count="64">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 chart="5" format="128">
      <pivotArea type="data" outline="0" fieldPosition="0">
        <references count="3">
          <reference field="4294967294" count="1" selected="0">
            <x v="0"/>
          </reference>
          <reference field="0" count="1" selected="0">
            <x v="62"/>
          </reference>
          <reference field="1" count="1" selected="0">
            <x v="2"/>
          </reference>
        </references>
      </pivotArea>
    </chartFormat>
  </chartFormats>
  <pivotTableStyleInfo name="PivotStyleLight16" showRowHeaders="1" showColHeaders="1" showRowStripes="0" showColStripes="0" showLastColumn="1"/>
  <filters count="3">
    <filter fld="15"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4">
    <pivotField showAll="0">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5" baseField="0" baseItem="0"/>
  </dataFields>
  <formats count="1">
    <format dxfId="39">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4">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5" baseField="0" baseItem="0" numFmtId="44"/>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2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4">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8" baseField="0" baseItem="0"/>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2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7" firstHeaderRow="0" firstDataRow="1" firstDataCol="1"/>
  <pivotFields count="24">
    <pivotField axis="axisRow" subtotalTop="0" showAll="0" insertBlankRow="1" measureFilter="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39">
    <i>
      <x/>
    </i>
    <i r="1">
      <x/>
    </i>
    <i r="1">
      <x v="5"/>
    </i>
    <i r="1">
      <x v="7"/>
    </i>
    <i r="1">
      <x v="15"/>
    </i>
    <i r="1">
      <x v="37"/>
    </i>
    <i r="1">
      <x v="38"/>
    </i>
    <i r="1">
      <x v="42"/>
    </i>
    <i r="1">
      <x v="48"/>
    </i>
    <i r="1">
      <x v="60"/>
    </i>
    <i t="default">
      <x/>
    </i>
    <i t="blank">
      <x/>
    </i>
    <i>
      <x v="1"/>
    </i>
    <i r="1">
      <x v="8"/>
    </i>
    <i r="1">
      <x v="10"/>
    </i>
    <i r="1">
      <x v="11"/>
    </i>
    <i r="1">
      <x v="13"/>
    </i>
    <i r="1">
      <x v="17"/>
    </i>
    <i r="1">
      <x v="26"/>
    </i>
    <i r="1">
      <x v="27"/>
    </i>
    <i r="1">
      <x v="28"/>
    </i>
    <i r="1">
      <x v="30"/>
    </i>
    <i r="1">
      <x v="39"/>
    </i>
    <i r="1">
      <x v="49"/>
    </i>
    <i t="default">
      <x v="1"/>
    </i>
    <i t="blank">
      <x v="1"/>
    </i>
    <i>
      <x v="2"/>
    </i>
    <i r="1">
      <x v="1"/>
    </i>
    <i r="1">
      <x v="14"/>
    </i>
    <i r="1">
      <x v="18"/>
    </i>
    <i r="1">
      <x v="19"/>
    </i>
    <i r="1">
      <x v="24"/>
    </i>
    <i r="1">
      <x v="29"/>
    </i>
    <i r="1">
      <x v="31"/>
    </i>
    <i r="1">
      <x v="53"/>
    </i>
    <i r="1">
      <x v="62"/>
    </i>
    <i t="default">
      <x v="2"/>
    </i>
    <i t="blank">
      <x v="2"/>
    </i>
    <i t="grand">
      <x/>
    </i>
  </rowItems>
  <colFields count="1">
    <field x="-2"/>
  </colFields>
  <colItems count="3">
    <i>
      <x/>
    </i>
    <i i="1">
      <x v="1"/>
    </i>
    <i i="2">
      <x v="2"/>
    </i>
  </colItems>
  <dataFields count="3">
    <dataField name="Bestand " fld="5" baseField="0" baseItem="0" numFmtId="2"/>
    <dataField name="Kurswert" fld="13" baseField="0" baseItem="0"/>
    <dataField name="Aktueller Wert" fld="15" baseField="0" baseItem="0"/>
  </dataFields>
  <formats count="7">
    <format dxfId="49">
      <pivotArea outline="0" collapsedLevelsAreSubtotals="1" fieldPosition="0"/>
    </format>
    <format dxfId="48">
      <pivotArea outline="0" collapsedLevelsAreSubtotals="1" fieldPosition="0">
        <references count="1">
          <reference field="4294967294" count="1" selected="0">
            <x v="1"/>
          </reference>
        </references>
      </pivotArea>
    </format>
    <format dxfId="47">
      <pivotArea dataOnly="0" labelOnly="1" outline="0" fieldPosition="0">
        <references count="1">
          <reference field="4294967294" count="1">
            <x v="1"/>
          </reference>
        </references>
      </pivotArea>
    </format>
    <format dxfId="46">
      <pivotArea outline="0" collapsedLevelsAreSubtotals="1" fieldPosition="0">
        <references count="1">
          <reference field="4294967294" count="1" selected="0">
            <x v="2"/>
          </reference>
        </references>
      </pivotArea>
    </format>
    <format dxfId="45">
      <pivotArea dataOnly="0" labelOnly="1" outline="0" fieldPosition="0">
        <references count="1">
          <reference field="4294967294" count="1">
            <x v="2"/>
          </reference>
        </references>
      </pivotArea>
    </format>
    <format dxfId="44">
      <pivotArea outline="0" collapsedLevelsAreSubtotals="1" fieldPosition="0">
        <references count="1">
          <reference field="4294967294" count="1" selected="0">
            <x v="0"/>
          </reference>
        </references>
      </pivotArea>
    </format>
    <format dxfId="4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W686"/>
  <sheetViews>
    <sheetView workbookViewId="0">
      <pane ySplit="1" topLeftCell="A42" activePane="bottomLeft" state="frozen"/>
      <selection pane="bottomLeft" activeCell="M165" sqref="M165:M214"/>
    </sheetView>
  </sheetViews>
  <sheetFormatPr baseColWidth="10" defaultColWidth="9.1796875" defaultRowHeight="14.5" x14ac:dyDescent="0.35"/>
  <cols>
    <col min="1" max="1" width="21.81640625" style="32" bestFit="1" customWidth="1"/>
    <col min="2" max="2" width="18.179687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26562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3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hidden="1" x14ac:dyDescent="0.3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hidden="1" x14ac:dyDescent="0.3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hidden="1" x14ac:dyDescent="0.3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hidden="1" x14ac:dyDescent="0.3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hidden="1" x14ac:dyDescent="0.3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hidden="1" x14ac:dyDescent="0.3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hidden="1" x14ac:dyDescent="0.3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hidden="1" x14ac:dyDescent="0.3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hidden="1" x14ac:dyDescent="0.3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hidden="1" x14ac:dyDescent="0.3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hidden="1" x14ac:dyDescent="0.3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hidden="1" x14ac:dyDescent="0.3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hidden="1" x14ac:dyDescent="0.3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hidden="1" x14ac:dyDescent="0.3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hidden="1" x14ac:dyDescent="0.3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hidden="1" x14ac:dyDescent="0.3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hidden="1" x14ac:dyDescent="0.3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hidden="1" x14ac:dyDescent="0.3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hidden="1" x14ac:dyDescent="0.3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hidden="1" x14ac:dyDescent="0.3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hidden="1" x14ac:dyDescent="0.3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hidden="1" x14ac:dyDescent="0.3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hidden="1" x14ac:dyDescent="0.3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hidden="1" x14ac:dyDescent="0.3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hidden="1" x14ac:dyDescent="0.3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hidden="1" x14ac:dyDescent="0.3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hidden="1" x14ac:dyDescent="0.3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hidden="1" x14ac:dyDescent="0.3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hidden="1" x14ac:dyDescent="0.3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hidden="1" x14ac:dyDescent="0.3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hidden="1" x14ac:dyDescent="0.3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hidden="1" x14ac:dyDescent="0.3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hidden="1" x14ac:dyDescent="0.3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hidden="1" x14ac:dyDescent="0.3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hidden="1" x14ac:dyDescent="0.3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hidden="1" x14ac:dyDescent="0.3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hidden="1" x14ac:dyDescent="0.3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hidden="1" x14ac:dyDescent="0.3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hidden="1" x14ac:dyDescent="0.3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hidden="1" x14ac:dyDescent="0.3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3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3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3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3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3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3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3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3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3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3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3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3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3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3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hidden="1" x14ac:dyDescent="0.3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hidden="1" x14ac:dyDescent="0.3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hidden="1" x14ac:dyDescent="0.3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hidden="1" x14ac:dyDescent="0.3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hidden="1" x14ac:dyDescent="0.3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hidden="1" x14ac:dyDescent="0.3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hidden="1" x14ac:dyDescent="0.3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hidden="1" x14ac:dyDescent="0.3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hidden="1" x14ac:dyDescent="0.3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hidden="1" x14ac:dyDescent="0.3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hidden="1" x14ac:dyDescent="0.3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hidden="1" x14ac:dyDescent="0.3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hidden="1" x14ac:dyDescent="0.3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hidden="1" x14ac:dyDescent="0.3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3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3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3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3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hidden="1" x14ac:dyDescent="0.3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hidden="1" x14ac:dyDescent="0.3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hidden="1" x14ac:dyDescent="0.3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hidden="1" x14ac:dyDescent="0.3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hidden="1" x14ac:dyDescent="0.3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hidden="1" x14ac:dyDescent="0.3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hidden="1" x14ac:dyDescent="0.3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hidden="1" x14ac:dyDescent="0.3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hidden="1" x14ac:dyDescent="0.3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hidden="1" x14ac:dyDescent="0.3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hidden="1" x14ac:dyDescent="0.3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3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3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3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3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hidden="1" x14ac:dyDescent="0.3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hidden="1" x14ac:dyDescent="0.3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hidden="1" x14ac:dyDescent="0.3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hidden="1" x14ac:dyDescent="0.3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hidden="1" x14ac:dyDescent="0.3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hidden="1" x14ac:dyDescent="0.3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hidden="1" x14ac:dyDescent="0.3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hidden="1" x14ac:dyDescent="0.3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hidden="1" x14ac:dyDescent="0.3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hidden="1" x14ac:dyDescent="0.3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hidden="1" x14ac:dyDescent="0.3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hidden="1" x14ac:dyDescent="0.3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hidden="1" x14ac:dyDescent="0.3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hidden="1" x14ac:dyDescent="0.3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hidden="1" x14ac:dyDescent="0.3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hidden="1" x14ac:dyDescent="0.3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hidden="1" x14ac:dyDescent="0.3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hidden="1" x14ac:dyDescent="0.3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hidden="1" x14ac:dyDescent="0.3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hidden="1" x14ac:dyDescent="0.3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hidden="1" x14ac:dyDescent="0.3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hidden="1" x14ac:dyDescent="0.3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hidden="1" x14ac:dyDescent="0.3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hidden="1" x14ac:dyDescent="0.3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hidden="1" x14ac:dyDescent="0.3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hidden="1" x14ac:dyDescent="0.3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hidden="1" x14ac:dyDescent="0.3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hidden="1" x14ac:dyDescent="0.3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hidden="1" x14ac:dyDescent="0.3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hidden="1" x14ac:dyDescent="0.3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hidden="1" x14ac:dyDescent="0.3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hidden="1" x14ac:dyDescent="0.3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hidden="1" x14ac:dyDescent="0.3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hidden="1" x14ac:dyDescent="0.3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hidden="1" x14ac:dyDescent="0.3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hidden="1" x14ac:dyDescent="0.3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hidden="1" x14ac:dyDescent="0.3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hidden="1" x14ac:dyDescent="0.3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hidden="1" x14ac:dyDescent="0.3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hidden="1" x14ac:dyDescent="0.3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hidden="1" x14ac:dyDescent="0.3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hidden="1" x14ac:dyDescent="0.3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hidden="1" x14ac:dyDescent="0.3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hidden="1" x14ac:dyDescent="0.3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hidden="1" x14ac:dyDescent="0.3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hidden="1" x14ac:dyDescent="0.3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hidden="1" x14ac:dyDescent="0.3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hidden="1" x14ac:dyDescent="0.3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hidden="1" x14ac:dyDescent="0.3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hidden="1" x14ac:dyDescent="0.3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hidden="1" x14ac:dyDescent="0.3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hidden="1" x14ac:dyDescent="0.3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hidden="1" x14ac:dyDescent="0.3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hidden="1" x14ac:dyDescent="0.3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hidden="1" x14ac:dyDescent="0.3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hidden="1" x14ac:dyDescent="0.3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hidden="1" x14ac:dyDescent="0.3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hidden="1" x14ac:dyDescent="0.3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hidden="1" x14ac:dyDescent="0.3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hidden="1" x14ac:dyDescent="0.3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hidden="1" x14ac:dyDescent="0.3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hidden="1" x14ac:dyDescent="0.3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hidden="1" x14ac:dyDescent="0.3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hidden="1" x14ac:dyDescent="0.3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hidden="1" x14ac:dyDescent="0.3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hidden="1" x14ac:dyDescent="0.3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hidden="1" x14ac:dyDescent="0.3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hidden="1" x14ac:dyDescent="0.3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hidden="1" x14ac:dyDescent="0.3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hidden="1" x14ac:dyDescent="0.3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hidden="1" x14ac:dyDescent="0.3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hidden="1" x14ac:dyDescent="0.3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hidden="1" x14ac:dyDescent="0.3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hidden="1" x14ac:dyDescent="0.3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3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3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3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hidden="1" x14ac:dyDescent="0.3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hidden="1" x14ac:dyDescent="0.3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hidden="1" x14ac:dyDescent="0.3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hidden="1" x14ac:dyDescent="0.3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hidden="1" x14ac:dyDescent="0.3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hidden="1" x14ac:dyDescent="0.3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hidden="1" x14ac:dyDescent="0.3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hidden="1" x14ac:dyDescent="0.3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hidden="1" x14ac:dyDescent="0.3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hidden="1" x14ac:dyDescent="0.3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hidden="1" x14ac:dyDescent="0.3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hidden="1" x14ac:dyDescent="0.3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hidden="1" x14ac:dyDescent="0.3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hidden="1" x14ac:dyDescent="0.3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hidden="1" x14ac:dyDescent="0.3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hidden="1" x14ac:dyDescent="0.3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hidden="1" x14ac:dyDescent="0.3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hidden="1" x14ac:dyDescent="0.3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hidden="1" x14ac:dyDescent="0.3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hidden="1" x14ac:dyDescent="0.3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hidden="1" x14ac:dyDescent="0.3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hidden="1" x14ac:dyDescent="0.3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hidden="1" x14ac:dyDescent="0.3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hidden="1" x14ac:dyDescent="0.3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hidden="1" x14ac:dyDescent="0.3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hidden="1" x14ac:dyDescent="0.3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hidden="1" x14ac:dyDescent="0.3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hidden="1" x14ac:dyDescent="0.3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hidden="1" x14ac:dyDescent="0.3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hidden="1" x14ac:dyDescent="0.3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hidden="1" x14ac:dyDescent="0.3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hidden="1" x14ac:dyDescent="0.3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hidden="1" x14ac:dyDescent="0.3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hidden="1" x14ac:dyDescent="0.3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hidden="1" x14ac:dyDescent="0.3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hidden="1" x14ac:dyDescent="0.3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hidden="1" x14ac:dyDescent="0.3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hidden="1" x14ac:dyDescent="0.3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hidden="1" x14ac:dyDescent="0.3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hidden="1" x14ac:dyDescent="0.3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hidden="1" x14ac:dyDescent="0.3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hidden="1" x14ac:dyDescent="0.3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hidden="1" x14ac:dyDescent="0.3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3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3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hidden="1" x14ac:dyDescent="0.3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hidden="1" x14ac:dyDescent="0.3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hidden="1" x14ac:dyDescent="0.3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3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hidden="1" x14ac:dyDescent="0.3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hidden="1" x14ac:dyDescent="0.3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hidden="1" x14ac:dyDescent="0.3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hidden="1" x14ac:dyDescent="0.3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hidden="1" x14ac:dyDescent="0.3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hidden="1" x14ac:dyDescent="0.3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hidden="1" x14ac:dyDescent="0.3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hidden="1" x14ac:dyDescent="0.3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hidden="1" x14ac:dyDescent="0.3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hidden="1" x14ac:dyDescent="0.3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hidden="1" x14ac:dyDescent="0.3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hidden="1" x14ac:dyDescent="0.3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hidden="1" x14ac:dyDescent="0.3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hidden="1" x14ac:dyDescent="0.3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hidden="1" x14ac:dyDescent="0.3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hidden="1" x14ac:dyDescent="0.3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hidden="1" x14ac:dyDescent="0.3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hidden="1" x14ac:dyDescent="0.3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hidden="1" x14ac:dyDescent="0.3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hidden="1" x14ac:dyDescent="0.3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hidden="1" x14ac:dyDescent="0.3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hidden="1" x14ac:dyDescent="0.3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hidden="1" x14ac:dyDescent="0.3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hidden="1" x14ac:dyDescent="0.3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hidden="1" x14ac:dyDescent="0.3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hidden="1" x14ac:dyDescent="0.3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hidden="1" x14ac:dyDescent="0.3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hidden="1" x14ac:dyDescent="0.3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hidden="1" x14ac:dyDescent="0.3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hidden="1" x14ac:dyDescent="0.3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hidden="1" x14ac:dyDescent="0.3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hidden="1" x14ac:dyDescent="0.3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hidden="1" x14ac:dyDescent="0.3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hidden="1" x14ac:dyDescent="0.3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hidden="1" x14ac:dyDescent="0.3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hidden="1" x14ac:dyDescent="0.3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hidden="1" x14ac:dyDescent="0.3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hidden="1" x14ac:dyDescent="0.3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hidden="1" x14ac:dyDescent="0.3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hidden="1" x14ac:dyDescent="0.3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hidden="1" x14ac:dyDescent="0.3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hidden="1" x14ac:dyDescent="0.3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hidden="1" x14ac:dyDescent="0.3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hidden="1" x14ac:dyDescent="0.3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hidden="1" x14ac:dyDescent="0.3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hidden="1" x14ac:dyDescent="0.3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hidden="1" x14ac:dyDescent="0.3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hidden="1" x14ac:dyDescent="0.3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hidden="1" x14ac:dyDescent="0.3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hidden="1" x14ac:dyDescent="0.3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hidden="1" x14ac:dyDescent="0.3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hidden="1" x14ac:dyDescent="0.3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hidden="1" x14ac:dyDescent="0.3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hidden="1" x14ac:dyDescent="0.3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hidden="1" x14ac:dyDescent="0.3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hidden="1" x14ac:dyDescent="0.3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hidden="1" x14ac:dyDescent="0.3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hidden="1" x14ac:dyDescent="0.3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hidden="1" x14ac:dyDescent="0.3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hidden="1" x14ac:dyDescent="0.3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hidden="1" x14ac:dyDescent="0.3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hidden="1" x14ac:dyDescent="0.3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hidden="1" x14ac:dyDescent="0.3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hidden="1" x14ac:dyDescent="0.3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hidden="1" x14ac:dyDescent="0.3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hidden="1" x14ac:dyDescent="0.3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hidden="1" x14ac:dyDescent="0.3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hidden="1" x14ac:dyDescent="0.3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hidden="1" x14ac:dyDescent="0.3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hidden="1" x14ac:dyDescent="0.3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hidden="1" x14ac:dyDescent="0.3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hidden="1" x14ac:dyDescent="0.3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hidden="1" x14ac:dyDescent="0.3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hidden="1" x14ac:dyDescent="0.3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hidden="1" x14ac:dyDescent="0.3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hidden="1" x14ac:dyDescent="0.3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hidden="1" x14ac:dyDescent="0.3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hidden="1" x14ac:dyDescent="0.3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hidden="1" x14ac:dyDescent="0.3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hidden="1" x14ac:dyDescent="0.3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hidden="1" x14ac:dyDescent="0.3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hidden="1" x14ac:dyDescent="0.3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hidden="1" x14ac:dyDescent="0.3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hidden="1" x14ac:dyDescent="0.3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hidden="1" x14ac:dyDescent="0.3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hidden="1" x14ac:dyDescent="0.3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hidden="1" x14ac:dyDescent="0.3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hidden="1" x14ac:dyDescent="0.3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hidden="1" x14ac:dyDescent="0.3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hidden="1" x14ac:dyDescent="0.3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hidden="1" x14ac:dyDescent="0.3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hidden="1" x14ac:dyDescent="0.3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hidden="1" x14ac:dyDescent="0.3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hidden="1" x14ac:dyDescent="0.3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hidden="1" x14ac:dyDescent="0.3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hidden="1" x14ac:dyDescent="0.3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hidden="1" x14ac:dyDescent="0.3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hidden="1" x14ac:dyDescent="0.3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hidden="1" x14ac:dyDescent="0.3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hidden="1" x14ac:dyDescent="0.3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hidden="1" x14ac:dyDescent="0.3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hidden="1" x14ac:dyDescent="0.3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hidden="1" x14ac:dyDescent="0.3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hidden="1" x14ac:dyDescent="0.3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hidden="1" x14ac:dyDescent="0.3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hidden="1" x14ac:dyDescent="0.3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hidden="1" x14ac:dyDescent="0.3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hidden="1" x14ac:dyDescent="0.3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hidden="1" x14ac:dyDescent="0.3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hidden="1" x14ac:dyDescent="0.3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hidden="1" x14ac:dyDescent="0.3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hidden="1" x14ac:dyDescent="0.3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hidden="1" x14ac:dyDescent="0.3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hidden="1" x14ac:dyDescent="0.3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hidden="1" x14ac:dyDescent="0.3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hidden="1" x14ac:dyDescent="0.3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hidden="1" x14ac:dyDescent="0.3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hidden="1" x14ac:dyDescent="0.3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hidden="1" x14ac:dyDescent="0.3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hidden="1" x14ac:dyDescent="0.3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hidden="1" x14ac:dyDescent="0.3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hidden="1" x14ac:dyDescent="0.3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hidden="1" x14ac:dyDescent="0.3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hidden="1" x14ac:dyDescent="0.3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hidden="1" x14ac:dyDescent="0.3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hidden="1" x14ac:dyDescent="0.3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hidden="1" x14ac:dyDescent="0.3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hidden="1" x14ac:dyDescent="0.3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hidden="1" x14ac:dyDescent="0.3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hidden="1" x14ac:dyDescent="0.3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hidden="1" x14ac:dyDescent="0.3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hidden="1" x14ac:dyDescent="0.3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hidden="1" x14ac:dyDescent="0.3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hidden="1" x14ac:dyDescent="0.3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hidden="1" x14ac:dyDescent="0.3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hidden="1" x14ac:dyDescent="0.3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hidden="1" x14ac:dyDescent="0.3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hidden="1" x14ac:dyDescent="0.3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hidden="1" x14ac:dyDescent="0.3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hidden="1" x14ac:dyDescent="0.3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hidden="1" x14ac:dyDescent="0.3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hidden="1" x14ac:dyDescent="0.3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hidden="1" x14ac:dyDescent="0.3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hidden="1" x14ac:dyDescent="0.3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hidden="1" x14ac:dyDescent="0.3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hidden="1" x14ac:dyDescent="0.3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hidden="1" x14ac:dyDescent="0.3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hidden="1" x14ac:dyDescent="0.3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hidden="1" x14ac:dyDescent="0.3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hidden="1" x14ac:dyDescent="0.3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hidden="1" x14ac:dyDescent="0.3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hidden="1" x14ac:dyDescent="0.3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hidden="1" x14ac:dyDescent="0.3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hidden="1" x14ac:dyDescent="0.3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hidden="1" x14ac:dyDescent="0.3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hidden="1" x14ac:dyDescent="0.3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hidden="1" x14ac:dyDescent="0.3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hidden="1" x14ac:dyDescent="0.3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hidden="1" x14ac:dyDescent="0.3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hidden="1" x14ac:dyDescent="0.3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hidden="1" x14ac:dyDescent="0.3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hidden="1" x14ac:dyDescent="0.3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hidden="1" x14ac:dyDescent="0.3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hidden="1" x14ac:dyDescent="0.3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hidden="1" x14ac:dyDescent="0.3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hidden="1" x14ac:dyDescent="0.3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hidden="1" x14ac:dyDescent="0.3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hidden="1" x14ac:dyDescent="0.3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hidden="1" x14ac:dyDescent="0.3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hidden="1" x14ac:dyDescent="0.3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hidden="1" x14ac:dyDescent="0.3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hidden="1" x14ac:dyDescent="0.3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hidden="1" x14ac:dyDescent="0.3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hidden="1" x14ac:dyDescent="0.3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hidden="1" x14ac:dyDescent="0.3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hidden="1" x14ac:dyDescent="0.3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hidden="1" x14ac:dyDescent="0.3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hidden="1" x14ac:dyDescent="0.3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hidden="1" x14ac:dyDescent="0.3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hidden="1" x14ac:dyDescent="0.3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hidden="1" x14ac:dyDescent="0.3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hidden="1" x14ac:dyDescent="0.3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hidden="1" x14ac:dyDescent="0.3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hidden="1" x14ac:dyDescent="0.3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hidden="1" x14ac:dyDescent="0.3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hidden="1" x14ac:dyDescent="0.3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hidden="1" x14ac:dyDescent="0.3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hidden="1" x14ac:dyDescent="0.3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hidden="1" x14ac:dyDescent="0.3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hidden="1" x14ac:dyDescent="0.3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hidden="1" x14ac:dyDescent="0.3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hidden="1" x14ac:dyDescent="0.3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hidden="1" x14ac:dyDescent="0.3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hidden="1" x14ac:dyDescent="0.3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hidden="1" x14ac:dyDescent="0.3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hidden="1" x14ac:dyDescent="0.3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hidden="1" x14ac:dyDescent="0.35">
      <c r="A411" s="39">
        <v>46148.564931585701</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hidden="1" x14ac:dyDescent="0.3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hidden="1" x14ac:dyDescent="0.3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hidden="1" x14ac:dyDescent="0.3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hidden="1" x14ac:dyDescent="0.3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hidden="1" x14ac:dyDescent="0.3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hidden="1" x14ac:dyDescent="0.35">
      <c r="A417" s="39">
        <v>46149.4690368519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hidden="1" x14ac:dyDescent="0.3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hidden="1" x14ac:dyDescent="0.3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hidden="1" x14ac:dyDescent="0.3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hidden="1" x14ac:dyDescent="0.3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hidden="1" x14ac:dyDescent="0.3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hidden="1" x14ac:dyDescent="0.3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hidden="1" x14ac:dyDescent="0.3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hidden="1" x14ac:dyDescent="0.3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hidden="1" x14ac:dyDescent="0.3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hidden="1" x14ac:dyDescent="0.3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hidden="1" x14ac:dyDescent="0.3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hidden="1" x14ac:dyDescent="0.3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hidden="1" x14ac:dyDescent="0.3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hidden="1" x14ac:dyDescent="0.3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hidden="1" x14ac:dyDescent="0.3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hidden="1" x14ac:dyDescent="0.3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hidden="1" x14ac:dyDescent="0.3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hidden="1" x14ac:dyDescent="0.3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hidden="1" x14ac:dyDescent="0.3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hidden="1" x14ac:dyDescent="0.3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hidden="1" x14ac:dyDescent="0.3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hidden="1" x14ac:dyDescent="0.3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hidden="1" x14ac:dyDescent="0.3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hidden="1" x14ac:dyDescent="0.3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hidden="1" x14ac:dyDescent="0.3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hidden="1" x14ac:dyDescent="0.3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hidden="1" x14ac:dyDescent="0.3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hidden="1" x14ac:dyDescent="0.3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hidden="1" x14ac:dyDescent="0.3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hidden="1" x14ac:dyDescent="0.3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hidden="1" x14ac:dyDescent="0.3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hidden="1" x14ac:dyDescent="0.3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hidden="1" x14ac:dyDescent="0.3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hidden="1" x14ac:dyDescent="0.3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hidden="1" x14ac:dyDescent="0.3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hidden="1" x14ac:dyDescent="0.3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hidden="1" x14ac:dyDescent="0.3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hidden="1" x14ac:dyDescent="0.3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hidden="1" x14ac:dyDescent="0.3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hidden="1" x14ac:dyDescent="0.3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hidden="1" x14ac:dyDescent="0.3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hidden="1" x14ac:dyDescent="0.3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hidden="1" x14ac:dyDescent="0.3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hidden="1" x14ac:dyDescent="0.3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hidden="1" x14ac:dyDescent="0.3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hidden="1" x14ac:dyDescent="0.3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hidden="1" x14ac:dyDescent="0.3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hidden="1" x14ac:dyDescent="0.3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hidden="1" x14ac:dyDescent="0.3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hidden="1" x14ac:dyDescent="0.3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hidden="1" x14ac:dyDescent="0.3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hidden="1" x14ac:dyDescent="0.3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hidden="1" x14ac:dyDescent="0.3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hidden="1" x14ac:dyDescent="0.3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hidden="1" x14ac:dyDescent="0.3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hidden="1" x14ac:dyDescent="0.3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hidden="1" x14ac:dyDescent="0.3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hidden="1" x14ac:dyDescent="0.3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hidden="1" x14ac:dyDescent="0.3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hidden="1" x14ac:dyDescent="0.3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hidden="1" x14ac:dyDescent="0.3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hidden="1" x14ac:dyDescent="0.3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hidden="1" x14ac:dyDescent="0.3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hidden="1" x14ac:dyDescent="0.3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hidden="1" x14ac:dyDescent="0.3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hidden="1" x14ac:dyDescent="0.3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hidden="1" x14ac:dyDescent="0.3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hidden="1" x14ac:dyDescent="0.3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hidden="1" x14ac:dyDescent="0.3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hidden="1" x14ac:dyDescent="0.3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hidden="1" x14ac:dyDescent="0.3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hidden="1" x14ac:dyDescent="0.3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hidden="1" x14ac:dyDescent="0.3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hidden="1" x14ac:dyDescent="0.3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hidden="1" x14ac:dyDescent="0.3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hidden="1" x14ac:dyDescent="0.3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hidden="1" x14ac:dyDescent="0.3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hidden="1" x14ac:dyDescent="0.3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hidden="1" x14ac:dyDescent="0.3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hidden="1" x14ac:dyDescent="0.3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hidden="1" x14ac:dyDescent="0.3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hidden="1" x14ac:dyDescent="0.3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hidden="1" x14ac:dyDescent="0.3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hidden="1" x14ac:dyDescent="0.3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hidden="1" x14ac:dyDescent="0.3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hidden="1" x14ac:dyDescent="0.3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hidden="1" x14ac:dyDescent="0.3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hidden="1" x14ac:dyDescent="0.3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hidden="1" x14ac:dyDescent="0.3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hidden="1" x14ac:dyDescent="0.3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hidden="1" x14ac:dyDescent="0.3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hidden="1" x14ac:dyDescent="0.3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hidden="1" x14ac:dyDescent="0.3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hidden="1" x14ac:dyDescent="0.3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hidden="1" x14ac:dyDescent="0.3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hidden="1" x14ac:dyDescent="0.3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hidden="1" x14ac:dyDescent="0.3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hidden="1" x14ac:dyDescent="0.3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hidden="1" x14ac:dyDescent="0.3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hidden="1" x14ac:dyDescent="0.3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hidden="1" x14ac:dyDescent="0.3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hidden="1" x14ac:dyDescent="0.3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hidden="1" x14ac:dyDescent="0.3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hidden="1" x14ac:dyDescent="0.3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hidden="1" x14ac:dyDescent="0.3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hidden="1" x14ac:dyDescent="0.3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hidden="1" x14ac:dyDescent="0.3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hidden="1" x14ac:dyDescent="0.3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hidden="1" x14ac:dyDescent="0.3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hidden="1" x14ac:dyDescent="0.3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hidden="1" x14ac:dyDescent="0.3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hidden="1" x14ac:dyDescent="0.3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hidden="1" x14ac:dyDescent="0.3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hidden="1" x14ac:dyDescent="0.3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hidden="1" x14ac:dyDescent="0.3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hidden="1" x14ac:dyDescent="0.3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hidden="1" x14ac:dyDescent="0.3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hidden="1" x14ac:dyDescent="0.3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hidden="1" x14ac:dyDescent="0.3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hidden="1" x14ac:dyDescent="0.3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hidden="1" x14ac:dyDescent="0.3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hidden="1" x14ac:dyDescent="0.3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hidden="1" x14ac:dyDescent="0.3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hidden="1" x14ac:dyDescent="0.3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hidden="1" x14ac:dyDescent="0.3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hidden="1" x14ac:dyDescent="0.3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hidden="1" x14ac:dyDescent="0.3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hidden="1" x14ac:dyDescent="0.3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hidden="1" x14ac:dyDescent="0.3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hidden="1" x14ac:dyDescent="0.3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hidden="1" x14ac:dyDescent="0.3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hidden="1" x14ac:dyDescent="0.3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hidden="1" x14ac:dyDescent="0.3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hidden="1" x14ac:dyDescent="0.3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hidden="1" x14ac:dyDescent="0.3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hidden="1" x14ac:dyDescent="0.3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hidden="1" x14ac:dyDescent="0.3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hidden="1" x14ac:dyDescent="0.3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hidden="1" x14ac:dyDescent="0.3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hidden="1" x14ac:dyDescent="0.3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hidden="1" x14ac:dyDescent="0.3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hidden="1" x14ac:dyDescent="0.3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hidden="1" x14ac:dyDescent="0.3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hidden="1" x14ac:dyDescent="0.3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hidden="1" x14ac:dyDescent="0.3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hidden="1" x14ac:dyDescent="0.3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hidden="1" x14ac:dyDescent="0.3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hidden="1" x14ac:dyDescent="0.3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hidden="1" x14ac:dyDescent="0.3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hidden="1" x14ac:dyDescent="0.3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hidden="1" x14ac:dyDescent="0.3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hidden="1" x14ac:dyDescent="0.3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hidden="1" x14ac:dyDescent="0.3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hidden="1" x14ac:dyDescent="0.3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hidden="1" x14ac:dyDescent="0.35">
      <c r="A572" s="39">
        <v>46189.803727835701</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hidden="1" x14ac:dyDescent="0.3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hidden="1" x14ac:dyDescent="0.3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hidden="1" x14ac:dyDescent="0.3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hidden="1" x14ac:dyDescent="0.3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hidden="1" x14ac:dyDescent="0.3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hidden="1" x14ac:dyDescent="0.3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hidden="1" x14ac:dyDescent="0.3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hidden="1" x14ac:dyDescent="0.3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hidden="1" x14ac:dyDescent="0.3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hidden="1" x14ac:dyDescent="0.3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hidden="1" x14ac:dyDescent="0.3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hidden="1" x14ac:dyDescent="0.3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hidden="1" x14ac:dyDescent="0.3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hidden="1" x14ac:dyDescent="0.3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hidden="1" x14ac:dyDescent="0.3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hidden="1" x14ac:dyDescent="0.3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hidden="1" x14ac:dyDescent="0.3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hidden="1" x14ac:dyDescent="0.3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hidden="1" x14ac:dyDescent="0.3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hidden="1" x14ac:dyDescent="0.3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hidden="1" x14ac:dyDescent="0.3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hidden="1" x14ac:dyDescent="0.3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hidden="1" x14ac:dyDescent="0.3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hidden="1" x14ac:dyDescent="0.3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hidden="1" x14ac:dyDescent="0.3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hidden="1" x14ac:dyDescent="0.3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hidden="1" x14ac:dyDescent="0.3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hidden="1" x14ac:dyDescent="0.3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hidden="1" x14ac:dyDescent="0.3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hidden="1" x14ac:dyDescent="0.3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hidden="1" x14ac:dyDescent="0.3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hidden="1" x14ac:dyDescent="0.3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hidden="1" x14ac:dyDescent="0.3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hidden="1" x14ac:dyDescent="0.3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hidden="1" x14ac:dyDescent="0.3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hidden="1" x14ac:dyDescent="0.3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hidden="1" x14ac:dyDescent="0.3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hidden="1" x14ac:dyDescent="0.3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hidden="1" x14ac:dyDescent="0.3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hidden="1" x14ac:dyDescent="0.3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hidden="1" x14ac:dyDescent="0.3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hidden="1" x14ac:dyDescent="0.3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hidden="1" x14ac:dyDescent="0.3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hidden="1" x14ac:dyDescent="0.3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hidden="1" x14ac:dyDescent="0.3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hidden="1" x14ac:dyDescent="0.3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hidden="1" x14ac:dyDescent="0.3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hidden="1" x14ac:dyDescent="0.3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hidden="1" x14ac:dyDescent="0.3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hidden="1" x14ac:dyDescent="0.3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hidden="1" x14ac:dyDescent="0.3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hidden="1" x14ac:dyDescent="0.3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hidden="1" x14ac:dyDescent="0.3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hidden="1" x14ac:dyDescent="0.3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hidden="1" x14ac:dyDescent="0.3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hidden="1" x14ac:dyDescent="0.3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hidden="1" x14ac:dyDescent="0.3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hidden="1" x14ac:dyDescent="0.3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hidden="1" x14ac:dyDescent="0.3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hidden="1" x14ac:dyDescent="0.3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hidden="1" x14ac:dyDescent="0.3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hidden="1" x14ac:dyDescent="0.3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hidden="1" x14ac:dyDescent="0.3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hidden="1" x14ac:dyDescent="0.3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hidden="1" x14ac:dyDescent="0.3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hidden="1" x14ac:dyDescent="0.3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hidden="1" x14ac:dyDescent="0.3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hidden="1" x14ac:dyDescent="0.3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hidden="1" x14ac:dyDescent="0.3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hidden="1" x14ac:dyDescent="0.3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hidden="1" x14ac:dyDescent="0.3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hidden="1" x14ac:dyDescent="0.3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hidden="1" x14ac:dyDescent="0.3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hidden="1" x14ac:dyDescent="0.3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hidden="1" x14ac:dyDescent="0.3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hidden="1" x14ac:dyDescent="0.3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hidden="1" x14ac:dyDescent="0.3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hidden="1" x14ac:dyDescent="0.3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hidden="1" x14ac:dyDescent="0.3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hidden="1" x14ac:dyDescent="0.3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hidden="1" x14ac:dyDescent="0.3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hidden="1" x14ac:dyDescent="0.3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hidden="1" x14ac:dyDescent="0.3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hidden="1" x14ac:dyDescent="0.3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hidden="1" x14ac:dyDescent="0.3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hidden="1" x14ac:dyDescent="0.3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hidden="1" x14ac:dyDescent="0.3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hidden="1" x14ac:dyDescent="0.3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hidden="1" x14ac:dyDescent="0.3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hidden="1" x14ac:dyDescent="0.3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hidden="1" x14ac:dyDescent="0.3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hidden="1" x14ac:dyDescent="0.3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hidden="1" x14ac:dyDescent="0.3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hidden="1" x14ac:dyDescent="0.3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hidden="1" x14ac:dyDescent="0.3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hidden="1" x14ac:dyDescent="0.3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hidden="1" x14ac:dyDescent="0.3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row r="670" spans="1:23" hidden="1" x14ac:dyDescent="0.35">
      <c r="A670" s="39">
        <v>46295.930590694399</v>
      </c>
      <c r="B670" s="40">
        <v>46295</v>
      </c>
      <c r="C670" t="s">
        <v>23</v>
      </c>
      <c r="D670" t="s">
        <v>24</v>
      </c>
      <c r="E670" t="s">
        <v>25</v>
      </c>
      <c r="F670" t="s">
        <v>1442</v>
      </c>
      <c r="G670" t="s">
        <v>774</v>
      </c>
      <c r="H670" t="s">
        <v>1442</v>
      </c>
      <c r="I670">
        <v>0</v>
      </c>
      <c r="J670">
        <v>0</v>
      </c>
      <c r="K670">
        <v>101</v>
      </c>
      <c r="L670">
        <v>0</v>
      </c>
      <c r="M670">
        <v>0</v>
      </c>
      <c r="N670" t="s">
        <v>26</v>
      </c>
      <c r="O670">
        <v>0</v>
      </c>
      <c r="P670" t="s">
        <v>1442</v>
      </c>
      <c r="Q670">
        <v>0</v>
      </c>
      <c r="R670" t="s">
        <v>246</v>
      </c>
      <c r="S670" t="s">
        <v>1443</v>
      </c>
      <c r="T670" t="s">
        <v>774</v>
      </c>
      <c r="U670" t="s">
        <v>776</v>
      </c>
      <c r="V670" t="s">
        <v>1442</v>
      </c>
      <c r="W670" t="s">
        <v>1442</v>
      </c>
    </row>
    <row r="671" spans="1:23" hidden="1" x14ac:dyDescent="0.35">
      <c r="A671" s="39">
        <v>46295.930676736098</v>
      </c>
      <c r="B671" s="40">
        <v>46295</v>
      </c>
      <c r="C671" t="s">
        <v>23</v>
      </c>
      <c r="D671" t="s">
        <v>30</v>
      </c>
      <c r="E671" t="s">
        <v>31</v>
      </c>
      <c r="F671" t="s">
        <v>32</v>
      </c>
      <c r="G671" t="s">
        <v>1444</v>
      </c>
      <c r="H671" t="s">
        <v>1445</v>
      </c>
      <c r="I671">
        <v>8.5034010000000002</v>
      </c>
      <c r="J671">
        <v>11.76</v>
      </c>
      <c r="K671">
        <v>-100</v>
      </c>
      <c r="L671">
        <v>-1</v>
      </c>
      <c r="M671">
        <v>0</v>
      </c>
      <c r="N671" t="s">
        <v>26</v>
      </c>
      <c r="O671">
        <v>0</v>
      </c>
      <c r="P671" t="s">
        <v>1442</v>
      </c>
      <c r="Q671">
        <v>0</v>
      </c>
      <c r="R671" t="s">
        <v>1446</v>
      </c>
      <c r="S671" t="s">
        <v>1447</v>
      </c>
      <c r="T671" t="s">
        <v>1442</v>
      </c>
      <c r="U671" t="s">
        <v>1442</v>
      </c>
      <c r="V671" t="s">
        <v>1442</v>
      </c>
      <c r="W671" t="s">
        <v>1442</v>
      </c>
    </row>
    <row r="672" spans="1:23" x14ac:dyDescent="0.35">
      <c r="A672" s="39">
        <v>46296.550503865699</v>
      </c>
      <c r="B672" s="40">
        <v>46296</v>
      </c>
      <c r="C672" t="s">
        <v>23</v>
      </c>
      <c r="D672" t="s">
        <v>24</v>
      </c>
      <c r="E672" t="s">
        <v>178</v>
      </c>
      <c r="F672" t="s">
        <v>32</v>
      </c>
      <c r="G672" t="s">
        <v>1182</v>
      </c>
      <c r="H672" t="s">
        <v>1183</v>
      </c>
      <c r="I672">
        <v>5.7689640000000004</v>
      </c>
      <c r="J672">
        <v>0</v>
      </c>
      <c r="K672">
        <v>2.09</v>
      </c>
      <c r="L672">
        <v>0</v>
      </c>
      <c r="M672">
        <v>-0.32</v>
      </c>
      <c r="N672" t="s">
        <v>26</v>
      </c>
      <c r="O672">
        <v>2.37</v>
      </c>
      <c r="P672" t="s">
        <v>179</v>
      </c>
      <c r="Q672">
        <v>0.88066900000000004</v>
      </c>
      <c r="R672" t="s">
        <v>1456</v>
      </c>
      <c r="S672" t="s">
        <v>1457</v>
      </c>
      <c r="T672" t="s">
        <v>1442</v>
      </c>
      <c r="U672" t="s">
        <v>1442</v>
      </c>
      <c r="V672" t="s">
        <v>1442</v>
      </c>
      <c r="W672" t="s">
        <v>1442</v>
      </c>
    </row>
    <row r="673" spans="1:23" hidden="1" x14ac:dyDescent="0.35">
      <c r="A673" s="39">
        <v>46297.133000231501</v>
      </c>
      <c r="B673" s="40">
        <v>46297</v>
      </c>
      <c r="C673" t="s">
        <v>23</v>
      </c>
      <c r="D673" t="s">
        <v>24</v>
      </c>
      <c r="E673" t="s">
        <v>1199</v>
      </c>
      <c r="F673" t="s">
        <v>1442</v>
      </c>
      <c r="G673" t="s">
        <v>1200</v>
      </c>
      <c r="H673" t="s">
        <v>1442</v>
      </c>
      <c r="I673">
        <v>0</v>
      </c>
      <c r="J673">
        <v>0</v>
      </c>
      <c r="K673">
        <v>50</v>
      </c>
      <c r="L673">
        <v>0</v>
      </c>
      <c r="M673">
        <v>0</v>
      </c>
      <c r="N673" t="s">
        <v>26</v>
      </c>
      <c r="O673">
        <v>0</v>
      </c>
      <c r="P673" t="s">
        <v>1442</v>
      </c>
      <c r="Q673">
        <v>0</v>
      </c>
      <c r="R673" t="s">
        <v>1201</v>
      </c>
      <c r="S673" t="s">
        <v>1458</v>
      </c>
      <c r="T673" t="s">
        <v>1200</v>
      </c>
      <c r="U673" t="s">
        <v>776</v>
      </c>
      <c r="V673" t="s">
        <v>1442</v>
      </c>
      <c r="W673" t="s">
        <v>1442</v>
      </c>
    </row>
    <row r="674" spans="1:23" hidden="1" x14ac:dyDescent="0.35">
      <c r="A674" s="39">
        <v>46297.337074178198</v>
      </c>
      <c r="B674" s="40">
        <v>46297</v>
      </c>
      <c r="C674" t="s">
        <v>23</v>
      </c>
      <c r="D674" t="s">
        <v>24</v>
      </c>
      <c r="E674" t="s">
        <v>25</v>
      </c>
      <c r="F674" t="s">
        <v>1442</v>
      </c>
      <c r="G674" t="s">
        <v>774</v>
      </c>
      <c r="H674" t="s">
        <v>1442</v>
      </c>
      <c r="I674">
        <v>0</v>
      </c>
      <c r="J674">
        <v>0</v>
      </c>
      <c r="K674">
        <v>28</v>
      </c>
      <c r="L674">
        <v>0</v>
      </c>
      <c r="M674">
        <v>0</v>
      </c>
      <c r="N674" t="s">
        <v>26</v>
      </c>
      <c r="O674">
        <v>0</v>
      </c>
      <c r="P674" t="s">
        <v>1442</v>
      </c>
      <c r="Q674">
        <v>0</v>
      </c>
      <c r="R674" t="s">
        <v>246</v>
      </c>
      <c r="S674" t="s">
        <v>1459</v>
      </c>
      <c r="T674" t="s">
        <v>774</v>
      </c>
      <c r="U674" t="s">
        <v>776</v>
      </c>
      <c r="V674" t="s">
        <v>1442</v>
      </c>
      <c r="W674" t="s">
        <v>1442</v>
      </c>
    </row>
    <row r="675" spans="1:23" hidden="1" x14ac:dyDescent="0.35">
      <c r="A675" s="39">
        <v>46297.3373535301</v>
      </c>
      <c r="B675" s="40">
        <v>46297</v>
      </c>
      <c r="C675" t="s">
        <v>23</v>
      </c>
      <c r="D675" t="s">
        <v>30</v>
      </c>
      <c r="E675" t="s">
        <v>31</v>
      </c>
      <c r="F675" t="s">
        <v>32</v>
      </c>
      <c r="G675" t="s">
        <v>1182</v>
      </c>
      <c r="H675" t="s">
        <v>1183</v>
      </c>
      <c r="I675">
        <v>1</v>
      </c>
      <c r="J675">
        <v>28.645</v>
      </c>
      <c r="K675">
        <v>-28.65</v>
      </c>
      <c r="L675">
        <v>-1</v>
      </c>
      <c r="M675">
        <v>0</v>
      </c>
      <c r="N675" t="s">
        <v>26</v>
      </c>
      <c r="O675">
        <v>0</v>
      </c>
      <c r="P675" t="s">
        <v>1442</v>
      </c>
      <c r="Q675">
        <v>0</v>
      </c>
      <c r="R675" t="s">
        <v>1417</v>
      </c>
      <c r="S675" t="s">
        <v>1460</v>
      </c>
      <c r="T675" t="s">
        <v>1442</v>
      </c>
      <c r="U675" t="s">
        <v>1442</v>
      </c>
      <c r="V675" t="s">
        <v>1442</v>
      </c>
      <c r="W675" t="s">
        <v>1442</v>
      </c>
    </row>
    <row r="676" spans="1:23" hidden="1" x14ac:dyDescent="0.35">
      <c r="A676" s="39">
        <v>46297.677199953701</v>
      </c>
      <c r="B676" s="40">
        <v>46297</v>
      </c>
      <c r="C676" t="s">
        <v>23</v>
      </c>
      <c r="D676" t="s">
        <v>30</v>
      </c>
      <c r="E676" t="s">
        <v>31</v>
      </c>
      <c r="F676" t="s">
        <v>464</v>
      </c>
      <c r="G676" t="s">
        <v>1178</v>
      </c>
      <c r="H676" t="s">
        <v>1179</v>
      </c>
      <c r="I676">
        <v>0.93023199999999995</v>
      </c>
      <c r="J676">
        <v>53.75</v>
      </c>
      <c r="K676">
        <v>-50</v>
      </c>
      <c r="L676">
        <v>0</v>
      </c>
      <c r="M676">
        <v>0</v>
      </c>
      <c r="N676" t="s">
        <v>26</v>
      </c>
      <c r="O676">
        <v>0</v>
      </c>
      <c r="P676" t="s">
        <v>1442</v>
      </c>
      <c r="Q676">
        <v>0</v>
      </c>
      <c r="R676" t="s">
        <v>1461</v>
      </c>
      <c r="S676" t="s">
        <v>1462</v>
      </c>
      <c r="T676" t="s">
        <v>1442</v>
      </c>
      <c r="U676" t="s">
        <v>1442</v>
      </c>
      <c r="V676" t="s">
        <v>1442</v>
      </c>
      <c r="W676" t="s">
        <v>1442</v>
      </c>
    </row>
    <row r="677" spans="1:23" hidden="1" x14ac:dyDescent="0.35">
      <c r="A677" s="39">
        <v>46297.7631697338</v>
      </c>
      <c r="B677" s="40">
        <v>46297</v>
      </c>
      <c r="C677" t="s">
        <v>23</v>
      </c>
      <c r="D677" t="s">
        <v>30</v>
      </c>
      <c r="E677" t="s">
        <v>82</v>
      </c>
      <c r="F677" t="s">
        <v>464</v>
      </c>
      <c r="G677" t="s">
        <v>526</v>
      </c>
      <c r="H677" t="s">
        <v>527</v>
      </c>
      <c r="I677">
        <v>-1</v>
      </c>
      <c r="J677">
        <v>739</v>
      </c>
      <c r="K677">
        <v>739</v>
      </c>
      <c r="L677">
        <v>-1</v>
      </c>
      <c r="M677">
        <v>0</v>
      </c>
      <c r="N677" t="s">
        <v>26</v>
      </c>
      <c r="O677">
        <v>0</v>
      </c>
      <c r="P677" t="s">
        <v>1442</v>
      </c>
      <c r="Q677">
        <v>0</v>
      </c>
      <c r="R677" t="s">
        <v>1463</v>
      </c>
      <c r="S677" t="s">
        <v>1464</v>
      </c>
      <c r="T677" t="s">
        <v>1442</v>
      </c>
      <c r="U677" t="s">
        <v>1442</v>
      </c>
      <c r="V677" t="s">
        <v>1442</v>
      </c>
      <c r="W677" t="s">
        <v>1442</v>
      </c>
    </row>
    <row r="678" spans="1:23" hidden="1" x14ac:dyDescent="0.35">
      <c r="A678" s="39">
        <v>46297.801335613403</v>
      </c>
      <c r="B678" s="40">
        <v>46297</v>
      </c>
      <c r="C678" t="s">
        <v>23</v>
      </c>
      <c r="D678" t="s">
        <v>30</v>
      </c>
      <c r="E678" t="s">
        <v>82</v>
      </c>
      <c r="F678" t="s">
        <v>464</v>
      </c>
      <c r="G678" t="s">
        <v>465</v>
      </c>
      <c r="H678" t="s">
        <v>466</v>
      </c>
      <c r="I678">
        <v>-2.0643020000000001</v>
      </c>
      <c r="J678">
        <v>130</v>
      </c>
      <c r="K678">
        <v>268.36</v>
      </c>
      <c r="L678">
        <v>-1</v>
      </c>
      <c r="M678">
        <v>0</v>
      </c>
      <c r="N678" t="s">
        <v>26</v>
      </c>
      <c r="O678">
        <v>0</v>
      </c>
      <c r="P678" t="s">
        <v>1442</v>
      </c>
      <c r="Q678">
        <v>0</v>
      </c>
      <c r="R678" t="s">
        <v>1465</v>
      </c>
      <c r="S678" t="s">
        <v>1466</v>
      </c>
      <c r="T678" t="s">
        <v>1442</v>
      </c>
      <c r="U678" t="s">
        <v>1442</v>
      </c>
      <c r="V678" t="s">
        <v>1442</v>
      </c>
      <c r="W678" t="s">
        <v>1442</v>
      </c>
    </row>
    <row r="679" spans="1:23" x14ac:dyDescent="0.35">
      <c r="A679" s="39">
        <v>46297.802869213003</v>
      </c>
      <c r="B679" s="40">
        <v>46297</v>
      </c>
      <c r="C679" t="s">
        <v>23</v>
      </c>
      <c r="D679" t="s">
        <v>30</v>
      </c>
      <c r="E679" t="s">
        <v>82</v>
      </c>
      <c r="F679" t="s">
        <v>464</v>
      </c>
      <c r="G679" t="s">
        <v>994</v>
      </c>
      <c r="H679" t="s">
        <v>995</v>
      </c>
      <c r="I679">
        <v>-3.5</v>
      </c>
      <c r="J679">
        <v>104.9</v>
      </c>
      <c r="K679">
        <v>367.15</v>
      </c>
      <c r="L679">
        <v>-1</v>
      </c>
      <c r="M679">
        <v>-4.63</v>
      </c>
      <c r="N679" t="s">
        <v>26</v>
      </c>
      <c r="O679">
        <v>0</v>
      </c>
      <c r="P679" t="s">
        <v>1442</v>
      </c>
      <c r="Q679">
        <v>0</v>
      </c>
      <c r="R679" t="s">
        <v>1467</v>
      </c>
      <c r="S679" t="s">
        <v>1468</v>
      </c>
      <c r="T679" t="s">
        <v>1442</v>
      </c>
      <c r="U679" t="s">
        <v>1442</v>
      </c>
      <c r="V679" t="s">
        <v>1442</v>
      </c>
      <c r="W679" t="s">
        <v>1442</v>
      </c>
    </row>
    <row r="680" spans="1:23" hidden="1" x14ac:dyDescent="0.35">
      <c r="A680" s="39">
        <v>46297.805185451398</v>
      </c>
      <c r="B680" s="40">
        <v>46297</v>
      </c>
      <c r="C680" t="s">
        <v>23</v>
      </c>
      <c r="D680" t="s">
        <v>24</v>
      </c>
      <c r="E680" t="s">
        <v>161</v>
      </c>
      <c r="F680" t="s">
        <v>1442</v>
      </c>
      <c r="G680" t="s">
        <v>774</v>
      </c>
      <c r="H680" t="s">
        <v>1442</v>
      </c>
      <c r="I680">
        <v>0</v>
      </c>
      <c r="J680">
        <v>0</v>
      </c>
      <c r="K680">
        <v>-1367.54</v>
      </c>
      <c r="L680">
        <v>0</v>
      </c>
      <c r="M680">
        <v>0</v>
      </c>
      <c r="N680" t="s">
        <v>26</v>
      </c>
      <c r="O680">
        <v>0</v>
      </c>
      <c r="P680" t="s">
        <v>1442</v>
      </c>
      <c r="Q680">
        <v>0</v>
      </c>
      <c r="R680" t="s">
        <v>397</v>
      </c>
      <c r="S680" t="s">
        <v>1469</v>
      </c>
      <c r="T680" t="s">
        <v>774</v>
      </c>
      <c r="U680" t="s">
        <v>776</v>
      </c>
      <c r="V680" t="s">
        <v>1442</v>
      </c>
      <c r="W680" t="s">
        <v>1442</v>
      </c>
    </row>
    <row r="681" spans="1:23" x14ac:dyDescent="0.35">
      <c r="A681" s="39">
        <v>46297.880644317098</v>
      </c>
      <c r="B681" s="40">
        <v>46297</v>
      </c>
      <c r="C681" t="s">
        <v>23</v>
      </c>
      <c r="D681" t="s">
        <v>30</v>
      </c>
      <c r="E681" t="s">
        <v>82</v>
      </c>
      <c r="F681" t="s">
        <v>464</v>
      </c>
      <c r="G681" t="s">
        <v>799</v>
      </c>
      <c r="H681" t="s">
        <v>800</v>
      </c>
      <c r="I681">
        <v>-2.0335359999999998</v>
      </c>
      <c r="J681">
        <v>155.6</v>
      </c>
      <c r="K681">
        <v>316.42</v>
      </c>
      <c r="L681">
        <v>-1</v>
      </c>
      <c r="M681">
        <v>-12.07</v>
      </c>
      <c r="N681" t="s">
        <v>26</v>
      </c>
      <c r="O681">
        <v>0</v>
      </c>
      <c r="P681" t="s">
        <v>1442</v>
      </c>
      <c r="Q681">
        <v>0</v>
      </c>
      <c r="R681" t="s">
        <v>1470</v>
      </c>
      <c r="S681" t="s">
        <v>1471</v>
      </c>
      <c r="T681" t="s">
        <v>1442</v>
      </c>
      <c r="U681" t="s">
        <v>1442</v>
      </c>
      <c r="V681" t="s">
        <v>1442</v>
      </c>
      <c r="W681" t="s">
        <v>1442</v>
      </c>
    </row>
    <row r="682" spans="1:23" hidden="1" x14ac:dyDescent="0.35">
      <c r="A682" s="39">
        <v>46297.896833286999</v>
      </c>
      <c r="B682" s="40">
        <v>46297</v>
      </c>
      <c r="C682" t="s">
        <v>23</v>
      </c>
      <c r="D682" t="s">
        <v>24</v>
      </c>
      <c r="E682" t="s">
        <v>161</v>
      </c>
      <c r="F682" t="s">
        <v>1442</v>
      </c>
      <c r="G682" t="s">
        <v>774</v>
      </c>
      <c r="H682" t="s">
        <v>1442</v>
      </c>
      <c r="I682">
        <v>0</v>
      </c>
      <c r="J682">
        <v>0</v>
      </c>
      <c r="K682">
        <v>-303.35000000000002</v>
      </c>
      <c r="L682">
        <v>0</v>
      </c>
      <c r="M682">
        <v>0</v>
      </c>
      <c r="N682" t="s">
        <v>26</v>
      </c>
      <c r="O682">
        <v>0</v>
      </c>
      <c r="P682" t="s">
        <v>1442</v>
      </c>
      <c r="Q682">
        <v>0</v>
      </c>
      <c r="R682" t="s">
        <v>397</v>
      </c>
      <c r="S682" t="s">
        <v>1472</v>
      </c>
      <c r="T682" t="s">
        <v>774</v>
      </c>
      <c r="U682" t="s">
        <v>776</v>
      </c>
      <c r="V682" t="s">
        <v>1442</v>
      </c>
      <c r="W682" t="s">
        <v>1442</v>
      </c>
    </row>
    <row r="683" spans="1:23" x14ac:dyDescent="0.35">
      <c r="A683" s="39">
        <v>46297.945404884304</v>
      </c>
      <c r="B683" s="40">
        <v>46297</v>
      </c>
      <c r="C683" t="s">
        <v>23</v>
      </c>
      <c r="D683" t="s">
        <v>30</v>
      </c>
      <c r="E683" t="s">
        <v>82</v>
      </c>
      <c r="F683" t="s">
        <v>464</v>
      </c>
      <c r="G683" t="s">
        <v>465</v>
      </c>
      <c r="H683" t="s">
        <v>466</v>
      </c>
      <c r="I683">
        <v>-7</v>
      </c>
      <c r="J683">
        <v>130.22</v>
      </c>
      <c r="K683">
        <v>911.54</v>
      </c>
      <c r="L683">
        <v>-1</v>
      </c>
      <c r="M683">
        <v>-16.5</v>
      </c>
      <c r="N683" t="s">
        <v>26</v>
      </c>
      <c r="O683">
        <v>0</v>
      </c>
      <c r="P683" t="s">
        <v>1442</v>
      </c>
      <c r="Q683">
        <v>0</v>
      </c>
      <c r="R683" t="s">
        <v>1473</v>
      </c>
      <c r="S683" t="s">
        <v>1474</v>
      </c>
      <c r="T683" t="s">
        <v>1442</v>
      </c>
      <c r="U683" t="s">
        <v>1442</v>
      </c>
      <c r="V683" t="s">
        <v>1442</v>
      </c>
      <c r="W683" t="s">
        <v>1442</v>
      </c>
    </row>
    <row r="684" spans="1:23" x14ac:dyDescent="0.35">
      <c r="A684" s="39">
        <v>46297.946072939798</v>
      </c>
      <c r="B684" s="40">
        <v>46297</v>
      </c>
      <c r="C684" t="s">
        <v>23</v>
      </c>
      <c r="D684" t="s">
        <v>30</v>
      </c>
      <c r="E684" t="s">
        <v>82</v>
      </c>
      <c r="F684" t="s">
        <v>464</v>
      </c>
      <c r="G684" t="s">
        <v>994</v>
      </c>
      <c r="H684" t="s">
        <v>995</v>
      </c>
      <c r="I684">
        <v>-3.737006</v>
      </c>
      <c r="J684">
        <v>104.22</v>
      </c>
      <c r="K684">
        <v>389.47</v>
      </c>
      <c r="L684">
        <v>-1</v>
      </c>
      <c r="M684">
        <v>-5.58</v>
      </c>
      <c r="N684" t="s">
        <v>26</v>
      </c>
      <c r="O684">
        <v>0</v>
      </c>
      <c r="P684" t="s">
        <v>1442</v>
      </c>
      <c r="Q684">
        <v>0</v>
      </c>
      <c r="R684" t="s">
        <v>1475</v>
      </c>
      <c r="S684" t="s">
        <v>1476</v>
      </c>
      <c r="T684" t="s">
        <v>1442</v>
      </c>
      <c r="U684" t="s">
        <v>1442</v>
      </c>
      <c r="V684" t="s">
        <v>1442</v>
      </c>
      <c r="W684" t="s">
        <v>1442</v>
      </c>
    </row>
    <row r="685" spans="1:23" hidden="1" x14ac:dyDescent="0.35">
      <c r="A685" s="39">
        <v>46297.946433553203</v>
      </c>
      <c r="B685" s="40">
        <v>46297</v>
      </c>
      <c r="C685" t="s">
        <v>23</v>
      </c>
      <c r="D685" t="s">
        <v>24</v>
      </c>
      <c r="E685" t="s">
        <v>161</v>
      </c>
      <c r="F685" t="s">
        <v>1442</v>
      </c>
      <c r="G685" t="s">
        <v>774</v>
      </c>
      <c r="H685" t="s">
        <v>1442</v>
      </c>
      <c r="I685">
        <v>0</v>
      </c>
      <c r="J685">
        <v>0</v>
      </c>
      <c r="K685">
        <v>-1299.01</v>
      </c>
      <c r="L685">
        <v>0</v>
      </c>
      <c r="M685">
        <v>0</v>
      </c>
      <c r="N685" t="s">
        <v>26</v>
      </c>
      <c r="O685">
        <v>0</v>
      </c>
      <c r="P685" t="s">
        <v>1442</v>
      </c>
      <c r="Q685">
        <v>0</v>
      </c>
      <c r="R685" t="s">
        <v>397</v>
      </c>
      <c r="S685" t="s">
        <v>1477</v>
      </c>
      <c r="T685" t="s">
        <v>774</v>
      </c>
      <c r="U685" t="s">
        <v>776</v>
      </c>
      <c r="V685" t="s">
        <v>1442</v>
      </c>
      <c r="W685" t="s">
        <v>1442</v>
      </c>
    </row>
    <row r="686" spans="1:23" hidden="1" x14ac:dyDescent="0.35">
      <c r="A686" s="39">
        <v>46298.5640913889</v>
      </c>
      <c r="B686" s="40">
        <v>46298</v>
      </c>
      <c r="C686" t="s">
        <v>23</v>
      </c>
      <c r="D686" t="s">
        <v>24</v>
      </c>
      <c r="E686" t="s">
        <v>25</v>
      </c>
      <c r="F686" t="s">
        <v>1442</v>
      </c>
      <c r="G686" t="s">
        <v>774</v>
      </c>
      <c r="H686" t="s">
        <v>1442</v>
      </c>
      <c r="I686">
        <v>0</v>
      </c>
      <c r="J686">
        <v>0</v>
      </c>
      <c r="K686">
        <v>22.08</v>
      </c>
      <c r="L686">
        <v>0</v>
      </c>
      <c r="M686">
        <v>0</v>
      </c>
      <c r="N686" t="s">
        <v>26</v>
      </c>
      <c r="O686">
        <v>0</v>
      </c>
      <c r="P686" t="s">
        <v>1442</v>
      </c>
      <c r="Q686">
        <v>0</v>
      </c>
      <c r="R686" t="s">
        <v>246</v>
      </c>
      <c r="S686" t="s">
        <v>1478</v>
      </c>
      <c r="T686" t="s">
        <v>774</v>
      </c>
      <c r="U686" t="s">
        <v>776</v>
      </c>
      <c r="V686" t="s">
        <v>1442</v>
      </c>
      <c r="W686" t="s">
        <v>1442</v>
      </c>
    </row>
  </sheetData>
  <autoFilter ref="A1:W686" xr:uid="{00000000-0009-0000-0000-000000000000}">
    <filterColumn colId="12">
      <filters>
        <filter val="-0,02"/>
        <filter val="-0,04"/>
        <filter val="-0,05"/>
        <filter val="-0,07"/>
        <filter val="0,12"/>
        <filter val="-0,12"/>
        <filter val="-0,16"/>
        <filter val="-0,28"/>
        <filter val="-0,29"/>
        <filter val="-0,3"/>
        <filter val="-0,31"/>
        <filter val="-0,32"/>
        <filter val="-0,33"/>
        <filter val="-0,91"/>
        <filter val="-1,01"/>
        <filter val="-1,28"/>
        <filter val="-1,29"/>
        <filter val="-1,58"/>
        <filter val="-1,63"/>
        <filter val="-1,92"/>
        <filter val="-12,07"/>
        <filter val="-13,66"/>
        <filter val="16,35"/>
        <filter val="-16,35"/>
        <filter val="16,47"/>
        <filter val="-16,47"/>
        <filter val="-16,5"/>
        <filter val="-2,12"/>
        <filter val="-2,6"/>
        <filter val="-23,55"/>
        <filter val="-4,63"/>
        <filter val="-5,58"/>
      </filters>
    </filterColumn>
  </autoFilter>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6"/>
  <sheetViews>
    <sheetView zoomScale="90" zoomScaleNormal="90" workbookViewId="0">
      <pane xSplit="1" topLeftCell="B1" activePane="topRight" state="frozen"/>
      <selection pane="topRight" activeCell="M2" sqref="M2:N63"/>
    </sheetView>
  </sheetViews>
  <sheetFormatPr baseColWidth="10" defaultColWidth="9.1796875" defaultRowHeight="14.5" x14ac:dyDescent="0.35"/>
  <cols>
    <col min="1" max="1" width="49" style="9" bestFit="1" customWidth="1"/>
    <col min="2" max="6" width="20" style="5" customWidth="1"/>
    <col min="7" max="11" width="20" style="6" customWidth="1"/>
    <col min="12" max="12" width="20" style="5" customWidth="1"/>
    <col min="13" max="14" width="20" style="21" customWidth="1"/>
    <col min="15" max="15" width="33.7265625" style="21" bestFit="1" customWidth="1"/>
    <col min="16" max="16" width="22.453125" style="6" bestFit="1" customWidth="1"/>
    <col min="17" max="17" width="22.453125" style="6" customWidth="1"/>
    <col min="18" max="18" width="22.453125" style="7" customWidth="1"/>
    <col min="19" max="19" width="29.453125" style="6" bestFit="1" customWidth="1"/>
    <col min="20" max="20" width="34.81640625" style="6" bestFit="1" customWidth="1"/>
    <col min="21" max="22" width="34.81640625" style="26" customWidth="1"/>
    <col min="23" max="23" width="22.453125" style="7" bestFit="1" customWidth="1"/>
    <col min="24" max="24" width="22.26953125" style="7" bestFit="1" customWidth="1"/>
    <col min="28" max="28" width="17.453125" bestFit="1" customWidth="1"/>
    <col min="29" max="29" width="11.26953125" bestFit="1" customWidth="1"/>
    <col min="30" max="30" width="11" bestFit="1" customWidth="1"/>
  </cols>
  <sheetData>
    <row r="1" spans="1:24" x14ac:dyDescent="0.35">
      <c r="A1" s="8" t="s">
        <v>1244</v>
      </c>
      <c r="B1" s="4" t="s">
        <v>1245</v>
      </c>
      <c r="C1" s="4" t="s">
        <v>1396</v>
      </c>
      <c r="D1" s="4" t="s">
        <v>1246</v>
      </c>
      <c r="E1" s="4" t="s">
        <v>1247</v>
      </c>
      <c r="F1" s="4" t="s">
        <v>1248</v>
      </c>
      <c r="G1" s="16" t="s">
        <v>1249</v>
      </c>
      <c r="H1" s="16" t="s">
        <v>1250</v>
      </c>
      <c r="I1" s="16" t="s">
        <v>1251</v>
      </c>
      <c r="J1" s="16" t="s">
        <v>1455</v>
      </c>
      <c r="K1" s="16" t="s">
        <v>1252</v>
      </c>
      <c r="L1" s="4" t="s">
        <v>1253</v>
      </c>
      <c r="M1" s="20" t="s">
        <v>1280</v>
      </c>
      <c r="N1" s="20" t="s">
        <v>1257</v>
      </c>
      <c r="O1" s="20" t="s">
        <v>1348</v>
      </c>
      <c r="P1" s="16" t="s">
        <v>1258</v>
      </c>
      <c r="Q1" s="16" t="s">
        <v>1321</v>
      </c>
      <c r="R1" s="18" t="s">
        <v>1314</v>
      </c>
      <c r="S1" s="16" t="s">
        <v>1338</v>
      </c>
      <c r="T1" s="16" t="s">
        <v>1349</v>
      </c>
      <c r="U1" s="25" t="s">
        <v>1407</v>
      </c>
      <c r="V1" s="25" t="s">
        <v>1420</v>
      </c>
      <c r="W1" s="18" t="s">
        <v>1362</v>
      </c>
      <c r="X1" s="17" t="s">
        <v>1363</v>
      </c>
    </row>
    <row r="2" spans="1:24" x14ac:dyDescent="0.3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-SUMIFS(Daten!M:M,Daten!E:E,"SELL",Daten!H:H,C2)</f>
        <v>0</v>
      </c>
      <c r="K2" s="6">
        <f>H2-G2-I2-J2</f>
        <v>-20</v>
      </c>
      <c r="L2" s="5" t="str">
        <f>IF(F2&gt;0,"OFFEN","GESCHLOSSEN")</f>
        <v>OFFEN</v>
      </c>
      <c r="M2">
        <v>0.1244</v>
      </c>
      <c r="N2">
        <v>0.11524730566336</v>
      </c>
      <c r="O2" s="21">
        <f>IF(L2="GESCHLOSSEN",
0,
IF(L2="OFFEN",
((N2*F2)-(M2*F2)),
""))</f>
        <v>-1.4715191691740515</v>
      </c>
      <c r="P2" s="6">
        <f>IF(F2&gt;0,F2*N2,0)</f>
        <v>18.528819300825948</v>
      </c>
      <c r="Q2" s="6">
        <f>IF(F2&gt;0,F2*M2,0)</f>
        <v>20.000338469999999</v>
      </c>
      <c r="R2" s="7">
        <f>IF(L2="GESCHLOSSEN",
0,
IF(L2="OFFEN",
(O2/(M2*F2))))</f>
        <v>-7.3574713317041754E-2</v>
      </c>
      <c r="S2" s="6">
        <f>IF(L2="GESCHLOSSEN",
H2-G2-I2 + SUMIFS(Daten!K:K,Daten!H:H,C2,Daten!E:E,"DIVIDEND"),
IF(L2="OFFEN",
IF(E2=0,
0,
H2+SUMIFS(Daten!K:K,Daten!H:H,C2,Daten!E:E,"DIVIDEND")-(G2-(F2*M2))-I2
),
""))</f>
        <v>0</v>
      </c>
      <c r="T2" s="6">
        <f>IF(E2=0,
0,
(G2-(F2*M2))+I2
)</f>
        <v>0</v>
      </c>
      <c r="U2" s="26">
        <f>COUNTIFS(Daten!H:H,C2,Daten!E:E,"BUY",Daten!L:L,"&lt;0")</f>
        <v>1</v>
      </c>
      <c r="V2" s="26">
        <f>COUNTIFS(Daten!H:H,C2,Daten!E:E,"SELL",Daten!L:L,"&lt;0")</f>
        <v>0</v>
      </c>
      <c r="W2" s="7">
        <f>IF(T2&gt;0,S2/T2,0)</f>
        <v>0</v>
      </c>
      <c r="X2" s="7">
        <f>IF(L2="GESCHLOSSEN",
K2/(G2+I2),
IF(L2="OFFEN",
((H2+N2*F2)-G2-I2)/G2,
""))</f>
        <v>-7.7430563114423812E-2</v>
      </c>
    </row>
    <row r="3" spans="1:24" x14ac:dyDescent="0.3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-SUMIFS(Daten!M:M,Daten!E:E,"SELL",Daten!H:H,C3)</f>
        <v>0</v>
      </c>
      <c r="K3" s="6">
        <f t="shared" ref="K3:K63" si="1">H3-G3-I3-J3</f>
        <v>96.949999999999932</v>
      </c>
      <c r="L3" s="5" t="str">
        <f>IF(F3&gt;0,"OFFEN","GESCHLOSSEN")</f>
        <v>OFFEN</v>
      </c>
      <c r="M3">
        <v>33.659999999999997</v>
      </c>
      <c r="N3">
        <v>44.131300000000003</v>
      </c>
      <c r="O3" s="21">
        <f>IF(L3="GESCHLOSSEN",
0,
IF(L3="OFFEN",
((N3*F3)-(M3*F3)),
""))</f>
        <v>6.093396068199997</v>
      </c>
      <c r="P3" s="6">
        <f>IF(F3&gt;0,F3*N3,0)</f>
        <v>25.680621308199974</v>
      </c>
      <c r="Q3" s="6">
        <f>IF(F3&gt;0,F3*M3,0)</f>
        <v>19.587225239999977</v>
      </c>
      <c r="R3" s="7">
        <f>IF(L3="GESCHLOSSEN",
0,
IF(L3="OFFEN",
(O3/(M3*F3))))</f>
        <v>0.31109031491384453</v>
      </c>
      <c r="S3" s="6">
        <f>IF(L3="GESCHLOSSEN",
H3-G3-I3 + SUMIFS(Daten!K:K,Daten!H:H,C3,Daten!E:E,"DIVIDEND"),
IF(L3="OFFEN",
IF(E3=0,
0,
H3+SUMIFS(Daten!K:K,Daten!H:H,C3,Daten!E:E,"DIVIDEND")-(G3-(F3*M3))-I3
),
""))</f>
        <v>117.1472252399999</v>
      </c>
      <c r="T3" s="6">
        <f>IF(E3=0,
0,
(G3-(F3*M3))+I3
)</f>
        <v>544.38277476000007</v>
      </c>
      <c r="U3" s="26">
        <f>COUNTIFS(Daten!H:H,C3,Daten!E:E,"BUY",Daten!L:L,"&lt;0")</f>
        <v>5</v>
      </c>
      <c r="V3" s="26">
        <f>COUNTIFS(Daten!H:H,C3,Daten!E:E,"SELL",Daten!L:L,"&lt;0")</f>
        <v>3</v>
      </c>
      <c r="W3" s="7">
        <f>IF(T3&gt;0,S3/T3,0)</f>
        <v>0.21519274795505083</v>
      </c>
      <c r="X3" s="7">
        <f t="shared" ref="X3:X63" si="2">IF(L3="GESCHLOSSEN",
K3/(G3+I3),
IF(L3="OFFEN",
((H3+N3*F3)-G3-I3)/G3,
""))</f>
        <v>0.22057057270752004</v>
      </c>
    </row>
    <row r="4" spans="1:24" x14ac:dyDescent="0.3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-SUMIFS(Daten!M:M,Daten!E:E,"SELL",Daten!H:H,C4)</f>
        <v>0</v>
      </c>
      <c r="K4" s="6">
        <f t="shared" si="1"/>
        <v>27.860000000000014</v>
      </c>
      <c r="L4" s="5" t="str">
        <f>IF(F4&gt;0,"OFFEN","GESCHLOSSEN")</f>
        <v>GESCHLOSSEN</v>
      </c>
      <c r="M4">
        <v>0</v>
      </c>
      <c r="N4">
        <v>0</v>
      </c>
      <c r="O4" s="21">
        <f>IF(L4="GESCHLOSSEN",
0,
IF(L4="OFFEN",
((N4*F4)-(M4*F4)),
""))</f>
        <v>0</v>
      </c>
      <c r="P4" s="6">
        <f>IF(F4&gt;0,F4*N4,0)</f>
        <v>0</v>
      </c>
      <c r="Q4" s="6">
        <f>IF(F4&gt;0,F4*M4,0)</f>
        <v>0</v>
      </c>
      <c r="R4" s="7">
        <f>IF(L4="GESCHLOSSEN",
0,
IF(L4="OFFEN",
(O4/(M4*F4))))</f>
        <v>0</v>
      </c>
      <c r="S4" s="6">
        <f>IF(L4="GESCHLOSSEN",
H4-G4-I4 + SUMIFS(Daten!K:K,Daten!H:H,C4,Daten!E:E,"DIVIDEND"),
IF(L4="OFFEN",
IF(E4=0,
0,
H4+SUMIFS(Daten!K:K,Daten!H:H,C4,Daten!E:E,"DIVIDEND")-(G4-(F4*M4))-I4
),
""))</f>
        <v>31.260000000000012</v>
      </c>
      <c r="T4" s="6">
        <f>IF(E4=0,
0,
(G4-(F4*M4))+I4
)</f>
        <v>657</v>
      </c>
      <c r="U4" s="26">
        <f>COUNTIFS(Daten!H:H,C4,Daten!E:E,"BUY",Daten!L:L,"&lt;0")</f>
        <v>4</v>
      </c>
      <c r="V4" s="26">
        <f>COUNTIFS(Daten!H:H,C4,Daten!E:E,"SELL",Daten!L:L,"&lt;0")</f>
        <v>3</v>
      </c>
      <c r="W4" s="7">
        <f t="shared" ref="W2:W33" si="3">IF(T4&gt;0,S4/T4,0)</f>
        <v>4.7579908675799108E-2</v>
      </c>
      <c r="X4" s="7">
        <f>IF(L4="GESCHLOSSEN",
K4/(G4+I4),
IF(L4="OFFEN",
((H4+N4*F4)-G4-I4)/G4,
""))</f>
        <v>4.2404870624048727E-2</v>
      </c>
    </row>
    <row r="5" spans="1:24" x14ac:dyDescent="0.3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-SUMIFS(Daten!M:M,Daten!E:E,"SELL",Daten!H:H,C5)</f>
        <v>0</v>
      </c>
      <c r="K5" s="6">
        <f t="shared" si="1"/>
        <v>88.029999999999973</v>
      </c>
      <c r="L5" s="5" t="str">
        <f>IF(F5&gt;0,"OFFEN","GESCHLOSSEN")</f>
        <v>GESCHLOSSEN</v>
      </c>
      <c r="M5">
        <v>0</v>
      </c>
      <c r="N5">
        <v>0</v>
      </c>
      <c r="O5" s="21">
        <f>IF(L5="GESCHLOSSEN",
0,
IF(L5="OFFEN",
((N5*F5)-(M5*F5)),
""))</f>
        <v>0</v>
      </c>
      <c r="P5" s="6">
        <f>IF(F5&gt;0,F5*N5,0)</f>
        <v>0</v>
      </c>
      <c r="Q5" s="6">
        <f>IF(F5&gt;0,F5*M5,0)</f>
        <v>0</v>
      </c>
      <c r="R5" s="7">
        <f>IF(L5="GESCHLOSSEN",
0,
IF(L5="OFFEN",
(O5/(M5*F5))))</f>
        <v>0</v>
      </c>
      <c r="S5" s="6">
        <f>IF(L5="GESCHLOSSEN",
H5-G5-I5 + SUMIFS(Daten!K:K,Daten!H:H,C5,Daten!E:E,"DIVIDEND"),
IF(L5="OFFEN",
IF(E5=0,
0,
H5+SUMIFS(Daten!K:K,Daten!H:H,C5,Daten!E:E,"DIVIDEND")-(G5-(F5*M5))-I5
),
""))</f>
        <v>88.029999999999973</v>
      </c>
      <c r="T5" s="6">
        <f>IF(E5=0,
0,
(G5-(F5*M5))+I5
)</f>
        <v>639</v>
      </c>
      <c r="U5" s="26">
        <f>COUNTIFS(Daten!H:H,C5,Daten!E:E,"BUY",Daten!L:L,"&lt;0")</f>
        <v>12</v>
      </c>
      <c r="V5" s="26">
        <f>COUNTIFS(Daten!H:H,C5,Daten!E:E,"SELL",Daten!L:L,"&lt;0")</f>
        <v>1</v>
      </c>
      <c r="W5" s="7">
        <f t="shared" si="3"/>
        <v>0.13776212832550858</v>
      </c>
      <c r="X5" s="7">
        <f t="shared" si="2"/>
        <v>0.13776212832550858</v>
      </c>
    </row>
    <row r="6" spans="1:24" x14ac:dyDescent="0.3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-SUMIFS(Daten!M:M,Daten!E:E,"SELL",Daten!H:H,C6)</f>
        <v>0</v>
      </c>
      <c r="K6" s="6">
        <f t="shared" si="1"/>
        <v>-6.5400000000000205</v>
      </c>
      <c r="L6" s="5" t="str">
        <f>IF(F6&gt;0,"OFFEN","GESCHLOSSEN")</f>
        <v>GESCHLOSSEN</v>
      </c>
      <c r="M6">
        <v>0</v>
      </c>
      <c r="N6">
        <v>0</v>
      </c>
      <c r="O6" s="21">
        <f>IF(L6="GESCHLOSSEN",
0,
IF(L6="OFFEN",
((N6*F6)-(M6*F6)),
""))</f>
        <v>0</v>
      </c>
      <c r="P6" s="6">
        <f>IF(F6&gt;0,F6*N6,0)</f>
        <v>0</v>
      </c>
      <c r="Q6" s="6">
        <f>IF(F6&gt;0,F6*M6,0)</f>
        <v>0</v>
      </c>
      <c r="R6" s="7">
        <f>IF(L6="GESCHLOSSEN",
0,
IF(L6="OFFEN",
(O6/(M6*F6))))</f>
        <v>0</v>
      </c>
      <c r="S6" s="6">
        <f>IF(L6="GESCHLOSSEN",
H6-G6-I6 + SUMIFS(Daten!K:K,Daten!H:H,C6,Daten!E:E,"DIVIDEND"),
IF(L6="OFFEN",
IF(E6=0,
0,
H6+SUMIFS(Daten!K:K,Daten!H:H,C6,Daten!E:E,"DIVIDEND")-(G6-(F6*M6))-I6
),
""))</f>
        <v>-6.5400000000000205</v>
      </c>
      <c r="T6" s="6">
        <f>IF(E6=0,
0,
(G6-(F6*M6))+I6
)</f>
        <v>249</v>
      </c>
      <c r="U6" s="26">
        <f>COUNTIFS(Daten!H:H,C6,Daten!E:E,"BUY",Daten!L:L,"&lt;0")</f>
        <v>3</v>
      </c>
      <c r="V6" s="26">
        <f>COUNTIFS(Daten!H:H,C6,Daten!E:E,"SELL",Daten!L:L,"&lt;0")</f>
        <v>2</v>
      </c>
      <c r="W6" s="7">
        <f t="shared" si="3"/>
        <v>-2.6265060240963936E-2</v>
      </c>
      <c r="X6" s="7">
        <f t="shared" si="2"/>
        <v>-2.6265060240963936E-2</v>
      </c>
    </row>
    <row r="7" spans="1:24" x14ac:dyDescent="0.3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-SUMIFS(Daten!M:M,Daten!E:E,"SELL",Daten!H:H,C7)</f>
        <v>0</v>
      </c>
      <c r="K7" s="6">
        <f t="shared" si="1"/>
        <v>-183.99</v>
      </c>
      <c r="L7" s="5" t="str">
        <f>IF(F7&gt;0,"OFFEN","GESCHLOSSEN")</f>
        <v>OFFEN</v>
      </c>
      <c r="M7">
        <v>0.25800000000000001</v>
      </c>
      <c r="N7">
        <v>0.23981392611703101</v>
      </c>
      <c r="O7" s="21">
        <f>IF(L7="GESCHLOSSEN",
0,
IF(L7="OFFEN",
((N7*F7)-(M7*F7)),
""))</f>
        <v>-12.985971285977769</v>
      </c>
      <c r="P7" s="6">
        <f>IF(F7&gt;0,F7*N7,0)</f>
        <v>171.24184024402223</v>
      </c>
      <c r="Q7" s="6">
        <f>IF(F7&gt;0,F7*M7,0)</f>
        <v>184.22781153</v>
      </c>
      <c r="R7" s="7">
        <f>IF(L7="GESCHLOSSEN",
0,
IF(L7="OFFEN",
(O7/(M7*F7))))</f>
        <v>-7.0488658461120068E-2</v>
      </c>
      <c r="S7" s="6">
        <f>IF(L7="GESCHLOSSEN",
H7-G7-I7 + SUMIFS(Daten!K:K,Daten!H:H,C7,Daten!E:E,"DIVIDEND"),
IF(L7="OFFEN",
IF(E7=0,
0,
H7+SUMIFS(Daten!K:K,Daten!H:H,C7,Daten!E:E,"DIVIDEND")-(G7-(F7*M7))-I7
),
""))</f>
        <v>0</v>
      </c>
      <c r="T7" s="6">
        <f>IF(E7=0,
0,
(G7-(F7*M7))+I7
)</f>
        <v>0</v>
      </c>
      <c r="U7" s="26">
        <f>COUNTIFS(Daten!H:H,C7,Daten!E:E,"BUY",Daten!L:L,"&lt;0")</f>
        <v>5</v>
      </c>
      <c r="V7" s="26">
        <f>COUNTIFS(Daten!H:H,C7,Daten!E:E,"SELL",Daten!L:L,"&lt;0")</f>
        <v>0</v>
      </c>
      <c r="W7" s="7">
        <f t="shared" si="3"/>
        <v>0</v>
      </c>
      <c r="X7" s="7">
        <f t="shared" si="2"/>
        <v>-7.1222748510965869E-2</v>
      </c>
    </row>
    <row r="8" spans="1:24" x14ac:dyDescent="0.3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-SUMIFS(Daten!M:M,Daten!E:E,"SELL",Daten!H:H,C8)</f>
        <v>0</v>
      </c>
      <c r="K8" s="6">
        <f t="shared" si="1"/>
        <v>50.620000000000005</v>
      </c>
      <c r="L8" s="5" t="str">
        <f>IF(F8&gt;0,"OFFEN","GESCHLOSSEN")</f>
        <v>GESCHLOSSEN</v>
      </c>
      <c r="M8">
        <v>0</v>
      </c>
      <c r="N8">
        <v>0</v>
      </c>
      <c r="O8" s="21">
        <f>IF(L8="GESCHLOSSEN",
0,
IF(L8="OFFEN",
((N8*F8)-(M8*F8)),
""))</f>
        <v>0</v>
      </c>
      <c r="P8" s="6">
        <f>IF(F8&gt;0,F8*N8,0)</f>
        <v>0</v>
      </c>
      <c r="Q8" s="6">
        <f>IF(F8&gt;0,F8*M8,0)</f>
        <v>0</v>
      </c>
      <c r="R8" s="7">
        <f>IF(L8="GESCHLOSSEN",
0,
IF(L8="OFFEN",
(O8/(M8*F8))))</f>
        <v>0</v>
      </c>
      <c r="S8" s="6">
        <f>IF(L8="GESCHLOSSEN",
H8-G8-I8 + SUMIFS(Daten!K:K,Daten!H:H,C8,Daten!E:E,"DIVIDEND"),
IF(L8="OFFEN",
IF(E8=0,
0,
H8+SUMIFS(Daten!K:K,Daten!H:H,C8,Daten!E:E,"DIVIDEND")-(G8-(F8*M8))-I8
),
""))</f>
        <v>50.620000000000005</v>
      </c>
      <c r="T8" s="6">
        <f>IF(E8=0,
0,
(G8-(F8*M8))+I8
)</f>
        <v>202</v>
      </c>
      <c r="U8" s="26">
        <f>COUNTIFS(Daten!H:H,C8,Daten!E:E,"BUY",Daten!L:L,"&lt;0")</f>
        <v>1</v>
      </c>
      <c r="V8" s="26">
        <f>COUNTIFS(Daten!H:H,C8,Daten!E:E,"SELL",Daten!L:L,"&lt;0")</f>
        <v>2</v>
      </c>
      <c r="W8" s="7">
        <f t="shared" si="3"/>
        <v>0.25059405940594059</v>
      </c>
      <c r="X8" s="7">
        <f t="shared" si="2"/>
        <v>0.25059405940594059</v>
      </c>
    </row>
    <row r="9" spans="1:24" x14ac:dyDescent="0.3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-SUMIFS(Daten!M:M,Daten!E:E,"SELL",Daten!H:H,C9)</f>
        <v>0</v>
      </c>
      <c r="K9" s="6">
        <f t="shared" si="1"/>
        <v>-248</v>
      </c>
      <c r="L9" s="5" t="str">
        <f>IF(F9&gt;0,"OFFEN","GESCHLOSSEN")</f>
        <v>OFFEN</v>
      </c>
      <c r="M9">
        <v>10.29</v>
      </c>
      <c r="N9">
        <v>12.3389450059369</v>
      </c>
      <c r="O9" s="21">
        <f>IF(L9="GESCHLOSSEN",
0,
IF(L9="OFFEN",
((N9*F9)-(M9*F9)),
""))</f>
        <v>49.400305868649383</v>
      </c>
      <c r="P9" s="6">
        <f>IF(F9&gt;0,F9*N9,0)</f>
        <v>297.49342008864937</v>
      </c>
      <c r="Q9" s="6">
        <f>IF(F9&gt;0,F9*M9,0)</f>
        <v>248.09311421999999</v>
      </c>
      <c r="R9" s="7">
        <f>IF(L9="GESCHLOSSEN",
0,
IF(L9="OFFEN",
(O9/(M9*F9))))</f>
        <v>0.19912002001330428</v>
      </c>
      <c r="S9" s="6">
        <f>IF(L9="GESCHLOSSEN",
H9-G9-I9 + SUMIFS(Daten!K:K,Daten!H:H,C9,Daten!E:E,"DIVIDEND"),
IF(L9="OFFEN",
IF(E9=0,
0,
H9+SUMIFS(Daten!K:K,Daten!H:H,C9,Daten!E:E,"DIVIDEND")-(G9-(F9*M9))-I9
),
""))</f>
        <v>0</v>
      </c>
      <c r="T9" s="6">
        <f>IF(E9=0,
0,
(G9-(F9*M9))+I9
)</f>
        <v>0</v>
      </c>
      <c r="U9" s="26">
        <f>COUNTIFS(Daten!H:H,C9,Daten!E:E,"BUY",Daten!L:L,"&lt;0")</f>
        <v>5</v>
      </c>
      <c r="V9" s="26">
        <f>COUNTIFS(Daten!H:H,C9,Daten!E:E,"SELL",Daten!L:L,"&lt;0")</f>
        <v>0</v>
      </c>
      <c r="W9" s="7">
        <f t="shared" si="3"/>
        <v>0</v>
      </c>
      <c r="X9" s="7">
        <f t="shared" si="2"/>
        <v>0.20367662587921553</v>
      </c>
    </row>
    <row r="10" spans="1:24" x14ac:dyDescent="0.3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-SUMIFS(Daten!M:M,Daten!E:E,"SELL",Daten!H:H,C10)</f>
        <v>0</v>
      </c>
      <c r="K10" s="6">
        <f t="shared" si="1"/>
        <v>-699.08</v>
      </c>
      <c r="L10" s="5" t="str">
        <f>IF(F10&gt;0,"OFFEN","GESCHLOSSEN")</f>
        <v>OFFEN</v>
      </c>
      <c r="M10">
        <v>48.34</v>
      </c>
      <c r="N10">
        <v>50.15</v>
      </c>
      <c r="O10" s="21">
        <f>IF(L10="GESCHLOSSEN",
0,
IF(L10="OFFEN",
((N10*F10)-(M10*F10)),
""))</f>
        <v>26.174440769999933</v>
      </c>
      <c r="P10" s="6">
        <f>IF(F10&gt;0,F10*N10,0)</f>
        <v>725.22000255</v>
      </c>
      <c r="Q10" s="6">
        <f>IF(F10&gt;0,F10*M10,0)</f>
        <v>699.04556178000007</v>
      </c>
      <c r="R10" s="7">
        <f>IF(L10="GESCHLOSSEN",
0,
IF(L10="OFFEN",
(O10/(M10*F10))))</f>
        <v>3.7443111294993697E-2</v>
      </c>
      <c r="S10" s="6">
        <f>IF(L10="GESCHLOSSEN",
H10-G10-I10 + SUMIFS(Daten!K:K,Daten!H:H,C10,Daten!E:E,"DIVIDEND"),
IF(L10="OFFEN",
IF(E10=0,
0,
H10+SUMIFS(Daten!K:K,Daten!H:H,C10,Daten!E:E,"DIVIDEND")-(G10-(F10*M10))-I10
),
""))</f>
        <v>0</v>
      </c>
      <c r="T10" s="6">
        <f>IF(E10=0,
0,
(G10-(F10*M10))+I10
)</f>
        <v>0</v>
      </c>
      <c r="U10" s="26">
        <f>COUNTIFS(Daten!H:H,C10,Daten!E:E,"BUY",Daten!L:L,"&lt;0")</f>
        <v>1</v>
      </c>
      <c r="V10" s="26">
        <f>COUNTIFS(Daten!H:H,C10,Daten!E:E,"SELL",Daten!L:L,"&lt;0")</f>
        <v>0</v>
      </c>
      <c r="W10" s="7">
        <f t="shared" si="3"/>
        <v>0</v>
      </c>
      <c r="X10" s="7">
        <f t="shared" si="2"/>
        <v>3.7445568631102398E-2</v>
      </c>
    </row>
    <row r="11" spans="1:24" x14ac:dyDescent="0.35">
      <c r="A11" s="9" t="s">
        <v>465</v>
      </c>
      <c r="B11" s="5" t="s">
        <v>464</v>
      </c>
      <c r="C11" s="5" t="s">
        <v>466</v>
      </c>
      <c r="D11" s="5">
        <f>SUMIFS(Daten!I:I,Daten!H:H,C11,Daten!E:E,"BUY")</f>
        <v>9.0643020000000014</v>
      </c>
      <c r="E11" s="5">
        <f>-SUMIFS(Daten!I:I,Daten!H:H,C11,Daten!E:E,"SELL")</f>
        <v>9.0643019999999996</v>
      </c>
      <c r="F11" s="5">
        <f t="shared" si="0"/>
        <v>0</v>
      </c>
      <c r="G11" s="6">
        <f>-SUMIFS(Daten!K:K,Daten!H:H,C11,Daten!E:E,"BUY")</f>
        <v>1049.99</v>
      </c>
      <c r="H11" s="6">
        <f>SUMIFS(Daten!K:K,Daten!H:H,C11,Daten!E:E,"SELL")</f>
        <v>1179.9000000000001</v>
      </c>
      <c r="I11" s="6">
        <f>SUMIFS(Daten!L:L,Daten!H:H,C11)*-1</f>
        <v>9</v>
      </c>
      <c r="J11" s="6">
        <f>-SUMIFS(Daten!M:M,Daten!E:E,"SELL",Daten!H:H,C11)</f>
        <v>16.5</v>
      </c>
      <c r="K11" s="6">
        <f t="shared" si="1"/>
        <v>104.41000000000008</v>
      </c>
      <c r="L11" s="5" t="str">
        <f>IF(F11&gt;0,"OFFEN","GESCHLOSSEN")</f>
        <v>GESCHLOSSEN</v>
      </c>
      <c r="M11">
        <v>0</v>
      </c>
      <c r="N11">
        <v>0</v>
      </c>
      <c r="O11" s="21">
        <f>IF(L11="GESCHLOSSEN",
0,
IF(L11="OFFEN",
((N11*F11)-(M11*F11)),
""))</f>
        <v>0</v>
      </c>
      <c r="P11" s="6">
        <f>IF(F11&gt;0,F11*N11,0)</f>
        <v>0</v>
      </c>
      <c r="Q11" s="6">
        <f>IF(F11&gt;0,F11*M11,0)</f>
        <v>0</v>
      </c>
      <c r="R11" s="7">
        <f>IF(L11="GESCHLOSSEN",
0,
IF(L11="OFFEN",
(O11/(M11*F11))))</f>
        <v>0</v>
      </c>
      <c r="S11" s="6">
        <f>IF(L11="GESCHLOSSEN",
H11-G11-I11 + SUMIFS(Daten!K:K,Daten!H:H,C11,Daten!E:E,"DIVIDEND"),
IF(L11="OFFEN",
IF(E11=0,
0,
H11+SUMIFS(Daten!K:K,Daten!H:H,C11,Daten!E:E,"DIVIDEND")-(G11-(F11*M11))-I11
),
""))</f>
        <v>120.91000000000008</v>
      </c>
      <c r="T11" s="6">
        <f>IF(E11=0,
0,
(G11-(F11*M11))+I11
)</f>
        <v>1058.99</v>
      </c>
      <c r="U11" s="26">
        <f>COUNTIFS(Daten!H:H,C11,Daten!E:E,"BUY",Daten!L:L,"&lt;0")</f>
        <v>7</v>
      </c>
      <c r="V11" s="26">
        <f>COUNTIFS(Daten!H:H,C11,Daten!E:E,"SELL",Daten!L:L,"&lt;0")</f>
        <v>2</v>
      </c>
      <c r="W11" s="7">
        <f t="shared" si="3"/>
        <v>0.11417482695776171</v>
      </c>
      <c r="X11" s="7">
        <f t="shared" si="2"/>
        <v>9.8593943285583505E-2</v>
      </c>
    </row>
    <row r="12" spans="1:24" x14ac:dyDescent="0.35">
      <c r="A12" s="9" t="s">
        <v>526</v>
      </c>
      <c r="B12" s="5" t="s">
        <v>464</v>
      </c>
      <c r="C12" s="5" t="s">
        <v>527</v>
      </c>
      <c r="D12" s="5">
        <f>SUMIFS(Daten!I:I,Daten!H:H,C12,Daten!E:E,"BUY")</f>
        <v>2.8623150000000002</v>
      </c>
      <c r="E12" s="5">
        <f>-SUMIFS(Daten!I:I,Daten!H:H,C12,Daten!E:E,"SELL")</f>
        <v>1</v>
      </c>
      <c r="F12" s="5">
        <f t="shared" si="0"/>
        <v>1.8623150000000002</v>
      </c>
      <c r="G12" s="6">
        <f>-SUMIFS(Daten!K:K,Daten!H:H,C12,Daten!E:E,"BUY")</f>
        <v>1837.88</v>
      </c>
      <c r="H12" s="6">
        <f>SUMIFS(Daten!K:K,Daten!H:H,C12,Daten!E:E,"SELL")</f>
        <v>739</v>
      </c>
      <c r="I12" s="6">
        <f>SUMIFS(Daten!L:L,Daten!H:H,C12)*-1</f>
        <v>9</v>
      </c>
      <c r="J12" s="6">
        <f>-SUMIFS(Daten!M:M,Daten!E:E,"SELL",Daten!H:H,C12)</f>
        <v>0</v>
      </c>
      <c r="K12" s="6">
        <f t="shared" si="1"/>
        <v>-1107.8800000000001</v>
      </c>
      <c r="L12" s="5" t="str">
        <f>IF(F12&gt;0,"OFFEN","GESCHLOSSEN")</f>
        <v>OFFEN</v>
      </c>
      <c r="M12">
        <v>656.86</v>
      </c>
      <c r="N12">
        <v>746.1</v>
      </c>
      <c r="O12" s="21">
        <f>IF(L12="GESCHLOSSEN",
0,
IF(L12="OFFEN",
((N12*F12)-(M12*F12)),
""))</f>
        <v>166.19299060000003</v>
      </c>
      <c r="P12" s="6">
        <f>IF(F12&gt;0,F12*N12,0)</f>
        <v>1389.4732215000001</v>
      </c>
      <c r="Q12" s="6">
        <f>IF(F12&gt;0,F12*M12,0)</f>
        <v>1223.2802309000001</v>
      </c>
      <c r="R12" s="7">
        <f>IF(L12="GESCHLOSSEN",
0,
IF(L12="OFFEN",
(O12/(M12*F12))))</f>
        <v>0.13585847821453584</v>
      </c>
      <c r="S12" s="6">
        <f>IF(L12="GESCHLOSSEN",
H12-G12-I12 + SUMIFS(Daten!K:K,Daten!H:H,C12,Daten!E:E,"DIVIDEND"),
IF(L12="OFFEN",
IF(E12=0,
0,
H12+SUMIFS(Daten!K:K,Daten!H:H,C12,Daten!E:E,"DIVIDEND")-(G12-(F12*M12))-I12
),
""))</f>
        <v>115.4002309</v>
      </c>
      <c r="T12" s="6">
        <f>IF(E12=0,
0,
(G12-(F12*M12))+I12
)</f>
        <v>623.5997691</v>
      </c>
      <c r="U12" s="26">
        <f>COUNTIFS(Daten!H:H,C12,Daten!E:E,"BUY",Daten!L:L,"&lt;0")</f>
        <v>8</v>
      </c>
      <c r="V12" s="26">
        <f>COUNTIFS(Daten!H:H,C12,Daten!E:E,"SELL",Daten!L:L,"&lt;0")</f>
        <v>1</v>
      </c>
      <c r="W12" s="7">
        <f t="shared" si="3"/>
        <v>0.18505496091916368</v>
      </c>
      <c r="X12" s="7">
        <f t="shared" si="2"/>
        <v>0.15321632614751793</v>
      </c>
    </row>
    <row r="13" spans="1:24" x14ac:dyDescent="0.3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-SUMIFS(Daten!M:M,Daten!E:E,"SELL",Daten!H:H,C13)</f>
        <v>0</v>
      </c>
      <c r="K13" s="6">
        <f t="shared" si="1"/>
        <v>-706.81</v>
      </c>
      <c r="L13" s="5" t="str">
        <f>IF(F13&gt;0,"OFFEN","GESCHLOSSEN")</f>
        <v>OFFEN</v>
      </c>
      <c r="M13">
        <v>302.41000000000003</v>
      </c>
      <c r="N13">
        <v>312.35000000000002</v>
      </c>
      <c r="O13" s="21">
        <f>IF(L13="GESCHLOSSEN",
0,
IF(L13="OFFEN",
((N13*F13)-(M13*F13)),
""))</f>
        <v>23.231996620000018</v>
      </c>
      <c r="P13" s="6">
        <f>IF(F13&gt;0,F13*N13,0)</f>
        <v>730.03160405000006</v>
      </c>
      <c r="Q13" s="6">
        <f>IF(F13&gt;0,F13*M13,0)</f>
        <v>706.79960743000004</v>
      </c>
      <c r="R13" s="7">
        <f>IF(L13="GESCHLOSSEN",
0,
IF(L13="OFFEN",
(O13/(M13*F13))))</f>
        <v>3.286928342316725E-2</v>
      </c>
      <c r="S13" s="6">
        <f>IF(L13="GESCHLOSSEN",
H13-G13-I13 + SUMIFS(Daten!K:K,Daten!H:H,C13,Daten!E:E,"DIVIDEND"),
IF(L13="OFFEN",
IF(E13=0,
0,
H13+SUMIFS(Daten!K:K,Daten!H:H,C13,Daten!E:E,"DIVIDEND")-(G13-(F13*M13))-I13
),
""))</f>
        <v>0</v>
      </c>
      <c r="T13" s="6">
        <f>IF(E13=0,
0,
(G13-(F13*M13))+I13
)</f>
        <v>0</v>
      </c>
      <c r="U13" s="26">
        <f>COUNTIFS(Daten!H:H,C13,Daten!E:E,"BUY",Daten!L:L,"&lt;0")</f>
        <v>3</v>
      </c>
      <c r="V13" s="26">
        <f>COUNTIFS(Daten!H:H,C13,Daten!E:E,"SELL",Daten!L:L,"&lt;0")</f>
        <v>0</v>
      </c>
      <c r="W13" s="7">
        <f t="shared" si="3"/>
        <v>0</v>
      </c>
      <c r="X13" s="7">
        <f t="shared" si="2"/>
        <v>3.2994137693411731E-2</v>
      </c>
    </row>
    <row r="14" spans="1:24" x14ac:dyDescent="0.3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-SUMIFS(Daten!M:M,Daten!E:E,"SELL",Daten!H:H,C14)</f>
        <v>0</v>
      </c>
      <c r="K14" s="6">
        <f t="shared" si="1"/>
        <v>3.6100000000000136</v>
      </c>
      <c r="L14" s="5" t="str">
        <f>IF(F14&gt;0,"OFFEN","GESCHLOSSEN")</f>
        <v>GESCHLOSSEN</v>
      </c>
      <c r="M14">
        <v>0</v>
      </c>
      <c r="N14">
        <v>0</v>
      </c>
      <c r="O14" s="21">
        <f>IF(L14="GESCHLOSSEN",
0,
IF(L14="OFFEN",
((N14*F14)-(M14*F14)),
""))</f>
        <v>0</v>
      </c>
      <c r="P14" s="6">
        <f>IF(F14&gt;0,F14*N14,0)</f>
        <v>0</v>
      </c>
      <c r="Q14" s="6">
        <f>IF(F14&gt;0,F14*M14,0)</f>
        <v>0</v>
      </c>
      <c r="R14" s="7">
        <f>IF(L14="GESCHLOSSEN",
0,
IF(L14="OFFEN",
(O14/(M14*F14))))</f>
        <v>0</v>
      </c>
      <c r="S14" s="6">
        <f>IF(L14="GESCHLOSSEN",
H14-G14-I14 + SUMIFS(Daten!K:K,Daten!H:H,C14,Daten!E:E,"DIVIDEND"),
IF(L14="OFFEN",
IF(E14=0,
0,
H14+SUMIFS(Daten!K:K,Daten!H:H,C14,Daten!E:E,"DIVIDEND")-(G14-(F14*M14))-I14
),
""))</f>
        <v>3.6100000000000136</v>
      </c>
      <c r="T14" s="6">
        <f>IF(E14=0,
0,
(G14-(F14*M14))+I14
)</f>
        <v>503</v>
      </c>
      <c r="U14" s="26">
        <f>COUNTIFS(Daten!H:H,C14,Daten!E:E,"BUY",Daten!L:L,"&lt;0")</f>
        <v>2</v>
      </c>
      <c r="V14" s="26">
        <f>COUNTIFS(Daten!H:H,C14,Daten!E:E,"SELL",Daten!L:L,"&lt;0")</f>
        <v>1</v>
      </c>
      <c r="W14" s="7">
        <f t="shared" si="3"/>
        <v>7.1769383697813391E-3</v>
      </c>
      <c r="X14" s="7">
        <f t="shared" si="2"/>
        <v>7.1769383697813391E-3</v>
      </c>
    </row>
    <row r="15" spans="1:24" x14ac:dyDescent="0.3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-SUMIFS(Daten!M:M,Daten!E:E,"SELL",Daten!H:H,C15)</f>
        <v>0</v>
      </c>
      <c r="K15" s="6">
        <f t="shared" si="1"/>
        <v>-402.98999999999995</v>
      </c>
      <c r="L15" s="5" t="str">
        <f>IF(F15&gt;0,"OFFEN","GESCHLOSSEN")</f>
        <v>OFFEN</v>
      </c>
      <c r="M15">
        <v>56.11</v>
      </c>
      <c r="N15">
        <v>52.64</v>
      </c>
      <c r="O15" s="21">
        <f>IF(L15="GESCHLOSSEN",
0,
IF(L15="OFFEN",
((N15*F15)-(M15*F15)),
""))</f>
        <v>-24.921893940000018</v>
      </c>
      <c r="P15" s="6">
        <f>IF(F15&gt;0,F15*N15,0)</f>
        <v>378.06584928000001</v>
      </c>
      <c r="Q15" s="6">
        <f>IF(F15&gt;0,F15*M15,0)</f>
        <v>402.98774322000003</v>
      </c>
      <c r="R15" s="7">
        <f>IF(L15="GESCHLOSSEN",
0,
IF(L15="OFFEN",
(O15/(M15*F15))))</f>
        <v>-6.1842808768490506E-2</v>
      </c>
      <c r="S15" s="6">
        <f>IF(L15="GESCHLOSSEN",
H15-G15-I15 + SUMIFS(Daten!K:K,Daten!H:H,C15,Daten!E:E,"DIVIDEND"),
IF(L15="OFFEN",
IF(E15=0,
0,
H15+SUMIFS(Daten!K:K,Daten!H:H,C15,Daten!E:E,"DIVIDEND")-(G15-(F15*M15))-I15
),
""))</f>
        <v>0</v>
      </c>
      <c r="T15" s="6">
        <f>IF(E15=0,
0,
(G15-(F15*M15))+I15
)</f>
        <v>0</v>
      </c>
      <c r="U15" s="26">
        <f>COUNTIFS(Daten!H:H,C15,Daten!E:E,"BUY",Daten!L:L,"&lt;0")</f>
        <v>3</v>
      </c>
      <c r="V15" s="26">
        <f>COUNTIFS(Daten!H:H,C15,Daten!E:E,"SELL",Daten!L:L,"&lt;0")</f>
        <v>0</v>
      </c>
      <c r="W15" s="7">
        <f t="shared" si="3"/>
        <v>0</v>
      </c>
      <c r="X15" s="7">
        <f t="shared" si="2"/>
        <v>-6.2311934598364822E-2</v>
      </c>
    </row>
    <row r="16" spans="1:24" x14ac:dyDescent="0.3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-SUMIFS(Daten!M:M,Daten!E:E,"SELL",Daten!H:H,C16)</f>
        <v>0</v>
      </c>
      <c r="K16" s="6">
        <f t="shared" si="1"/>
        <v>-57.55</v>
      </c>
      <c r="L16" s="5" t="str">
        <f>IF(F16&gt;0,"OFFEN","GESCHLOSSEN")</f>
        <v>OFFEN</v>
      </c>
      <c r="M16">
        <v>1.9179999999999999</v>
      </c>
      <c r="N16">
        <v>1.51</v>
      </c>
      <c r="O16" s="21">
        <f>IF(L16="GESCHLOSSEN",
0,
IF(L16="OFFEN",
((N16*F16)-(M16*F16)),
""))</f>
        <v>-12.240000000000002</v>
      </c>
      <c r="P16" s="6">
        <f>IF(F16&gt;0,F16*N16,0)</f>
        <v>45.3</v>
      </c>
      <c r="Q16" s="6">
        <f>IF(F16&gt;0,F16*M16,0)</f>
        <v>57.54</v>
      </c>
      <c r="R16" s="7">
        <f>IF(L16="GESCHLOSSEN",
0,
IF(L16="OFFEN",
(O16/(M16*F16))))</f>
        <v>-0.21272158498435875</v>
      </c>
      <c r="S16" s="6">
        <f>IF(L16="GESCHLOSSEN",
H16-G16-I16 + SUMIFS(Daten!K:K,Daten!H:H,C16,Daten!E:E,"DIVIDEND"),
IF(L16="OFFEN",
IF(E16=0,
0,
H16+SUMIFS(Daten!K:K,Daten!H:H,C16,Daten!E:E,"DIVIDEND")-(G16-(F16*M16))-I16
),
""))</f>
        <v>0</v>
      </c>
      <c r="T16" s="6">
        <f>IF(E16=0,
0,
(G16-(F16*M16))+I16
)</f>
        <v>0</v>
      </c>
      <c r="U16" s="26">
        <f>COUNTIFS(Daten!H:H,C16,Daten!E:E,"BUY",Daten!L:L,"&lt;0")</f>
        <v>1</v>
      </c>
      <c r="V16" s="26">
        <f>COUNTIFS(Daten!H:H,C16,Daten!E:E,"SELL",Daten!L:L,"&lt;0")</f>
        <v>0</v>
      </c>
      <c r="W16" s="7">
        <f t="shared" si="3"/>
        <v>0</v>
      </c>
      <c r="X16" s="7">
        <f t="shared" si="2"/>
        <v>-0.21662245800176835</v>
      </c>
    </row>
    <row r="17" spans="1:24" x14ac:dyDescent="0.3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-SUMIFS(Daten!M:M,Daten!E:E,"SELL",Daten!H:H,C17)</f>
        <v>0</v>
      </c>
      <c r="K17" s="6">
        <f t="shared" si="1"/>
        <v>-101</v>
      </c>
      <c r="L17" s="5" t="str">
        <f>IF(F17&gt;0,"OFFEN","GESCHLOSSEN")</f>
        <v>OFFEN</v>
      </c>
      <c r="M17">
        <v>7.4499999999999997E-2</v>
      </c>
      <c r="N17">
        <v>8.4578308557010304E-2</v>
      </c>
      <c r="O17" s="21">
        <f>IF(L17="GESCHLOSSEN",
0,
IF(L17="OFFEN",
((N17*F17)-(M17*F17)),
""))</f>
        <v>13.666429663439615</v>
      </c>
      <c r="P17" s="6">
        <f>IF(F17&gt;0,F17*N17,0)</f>
        <v>114.69022786993962</v>
      </c>
      <c r="Q17" s="6">
        <f>IF(F17&gt;0,F17*M17,0)</f>
        <v>101.0237982065</v>
      </c>
      <c r="R17" s="7">
        <f>IF(L17="GESCHLOSSEN",
0,
IF(L17="OFFEN",
(O17/(M17*F17))))</f>
        <v>0.13527930949007122</v>
      </c>
      <c r="S17" s="6">
        <f>IF(L17="GESCHLOSSEN",
H17-G17-I17 + SUMIFS(Daten!K:K,Daten!H:H,C17,Daten!E:E,"DIVIDEND"),
IF(L17="OFFEN",
IF(E17=0,
0,
H17+SUMIFS(Daten!K:K,Daten!H:H,C17,Daten!E:E,"DIVIDEND")-(G17-(F17*M17))-I17
),
""))</f>
        <v>0</v>
      </c>
      <c r="T17" s="6">
        <f>IF(E17=0,
0,
(G17-(F17*M17))+I17
)</f>
        <v>0</v>
      </c>
      <c r="U17" s="26">
        <f>COUNTIFS(Daten!H:H,C17,Daten!E:E,"BUY",Daten!L:L,"&lt;0")</f>
        <v>1</v>
      </c>
      <c r="V17" s="26">
        <f>COUNTIFS(Daten!H:H,C17,Daten!E:E,"SELL",Daten!L:L,"&lt;0")</f>
        <v>0</v>
      </c>
      <c r="W17" s="7">
        <f t="shared" si="3"/>
        <v>0</v>
      </c>
      <c r="X17" s="7">
        <f t="shared" si="2"/>
        <v>0.1369022786993962</v>
      </c>
    </row>
    <row r="18" spans="1:24" x14ac:dyDescent="0.3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-SUMIFS(Daten!M:M,Daten!E:E,"SELL",Daten!H:H,C18)</f>
        <v>0</v>
      </c>
      <c r="K18" s="6">
        <f t="shared" si="1"/>
        <v>41.97</v>
      </c>
      <c r="L18" s="5" t="str">
        <f>IF(F18&gt;0,"OFFEN","GESCHLOSSEN")</f>
        <v>GESCHLOSSEN</v>
      </c>
      <c r="M18">
        <v>0</v>
      </c>
      <c r="N18">
        <v>0</v>
      </c>
      <c r="O18" s="21">
        <f>IF(L18="GESCHLOSSEN",
0,
IF(L18="OFFEN",
((N18*F18)-(M18*F18)),
""))</f>
        <v>0</v>
      </c>
      <c r="P18" s="6">
        <f>IF(F18&gt;0,F18*N18,0)</f>
        <v>0</v>
      </c>
      <c r="Q18" s="6">
        <f>IF(F18&gt;0,F18*M18,0)</f>
        <v>0</v>
      </c>
      <c r="R18" s="7">
        <f>IF(L18="GESCHLOSSEN",
0,
IF(L18="OFFEN",
(O18/(M18*F18))))</f>
        <v>0</v>
      </c>
      <c r="S18" s="6">
        <f>IF(L18="GESCHLOSSEN",
H18-G18-I18 + SUMIFS(Daten!K:K,Daten!H:H,C18,Daten!E:E,"DIVIDEND"),
IF(L18="OFFEN",
IF(E18=0,
0,
H18+SUMIFS(Daten!K:K,Daten!H:H,C18,Daten!E:E,"DIVIDEND")-(G18-(F18*M18))-I18
),
""))</f>
        <v>41.97</v>
      </c>
      <c r="T18" s="6">
        <f>IF(E18=0,
0,
(G18-(F18*M18))+I18
)</f>
        <v>81</v>
      </c>
      <c r="U18" s="26">
        <f>COUNTIFS(Daten!H:H,C18,Daten!E:E,"BUY",Daten!L:L,"&lt;0")</f>
        <v>1</v>
      </c>
      <c r="V18" s="26">
        <f>COUNTIFS(Daten!H:H,C18,Daten!E:E,"SELL",Daten!L:L,"&lt;0")</f>
        <v>1</v>
      </c>
      <c r="W18" s="7">
        <f t="shared" si="3"/>
        <v>0.51814814814814814</v>
      </c>
      <c r="X18" s="7">
        <f t="shared" si="2"/>
        <v>0.51814814814814814</v>
      </c>
    </row>
    <row r="19" spans="1:24" x14ac:dyDescent="0.3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-SUMIFS(Daten!M:M,Daten!E:E,"SELL",Daten!H:H,C19)</f>
        <v>0</v>
      </c>
      <c r="K19" s="6">
        <f t="shared" si="1"/>
        <v>-657.91</v>
      </c>
      <c r="L19" s="5" t="str">
        <f>IF(F19&gt;0,"OFFEN","GESCHLOSSEN")</f>
        <v>OFFEN</v>
      </c>
      <c r="M19">
        <v>6.4</v>
      </c>
      <c r="N19">
        <v>4.8659999999999997</v>
      </c>
      <c r="O19" s="21">
        <f>IF(L19="GESCHLOSSEN",
0,
IF(L19="OFFEN",
((N19*F19)-(M19*F19)),
""))</f>
        <v>-157.69428266800008</v>
      </c>
      <c r="P19" s="6">
        <f>IF(F19&gt;0,F19*N19,0)</f>
        <v>500.22189013199994</v>
      </c>
      <c r="Q19" s="6">
        <f>IF(F19&gt;0,F19*M19,0)</f>
        <v>657.91617280000003</v>
      </c>
      <c r="R19" s="7">
        <f>IF(L19="GESCHLOSSEN",
0,
IF(L19="OFFEN",
(O19/(M19*F19))))</f>
        <v>-0.23968750000000011</v>
      </c>
      <c r="S19" s="6">
        <f>IF(L19="GESCHLOSSEN",
H19-G19-I19 + SUMIFS(Daten!K:K,Daten!H:H,C19,Daten!E:E,"DIVIDEND"),
IF(L19="OFFEN",
IF(E19=0,
0,
H19+SUMIFS(Daten!K:K,Daten!H:H,C19,Daten!E:E,"DIVIDEND")-(G19-(F19*M19))-I19
),
""))</f>
        <v>0</v>
      </c>
      <c r="T19" s="6">
        <f>IF(E19=0,
0,
(G19-(F19*M19))+I19
)</f>
        <v>0</v>
      </c>
      <c r="U19" s="26">
        <f>COUNTIFS(Daten!H:H,C19,Daten!E:E,"BUY",Daten!L:L,"&lt;0")</f>
        <v>8</v>
      </c>
      <c r="V19" s="26">
        <f>COUNTIFS(Daten!H:H,C19,Daten!E:E,"SELL",Daten!L:L,"&lt;0")</f>
        <v>0</v>
      </c>
      <c r="W19" s="7">
        <f t="shared" si="3"/>
        <v>0</v>
      </c>
      <c r="X19" s="7">
        <f t="shared" si="2"/>
        <v>-0.24263068712283245</v>
      </c>
    </row>
    <row r="20" spans="1:24" x14ac:dyDescent="0.3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-SUMIFS(Daten!M:M,Daten!E:E,"SELL",Daten!H:H,C20)</f>
        <v>40.070000000000007</v>
      </c>
      <c r="K20" s="6">
        <f t="shared" si="1"/>
        <v>-947.6999999999997</v>
      </c>
      <c r="L20" s="5" t="str">
        <f>IF(F20&gt;0,"OFFEN","GESCHLOSSEN")</f>
        <v>OFFEN</v>
      </c>
      <c r="M20">
        <v>1.5549999999999999</v>
      </c>
      <c r="N20">
        <v>1.0975999999999999</v>
      </c>
      <c r="O20" s="21">
        <f>IF(L20="GESCHLOSSEN",
0,
IF(L20="OFFEN",
((N20*F20)-(M20*F20)),
""))</f>
        <v>-334.48865300680006</v>
      </c>
      <c r="P20" s="6">
        <f>IF(F20&gt;0,F20*N20,0)</f>
        <v>802.65576200319981</v>
      </c>
      <c r="Q20" s="6">
        <f>IF(F20&gt;0,F20*M20,0)</f>
        <v>1137.1444150099999</v>
      </c>
      <c r="R20" s="7">
        <f>IF(L20="GESCHLOSSEN",
0,
IF(L20="OFFEN",
(O20/(M20*F20))))</f>
        <v>-0.29414790996784573</v>
      </c>
      <c r="S20" s="6">
        <f>IF(L20="GESCHLOSSEN",
H20-G20-I20 + SUMIFS(Daten!K:K,Daten!H:H,C20,Daten!E:E,"DIVIDEND"),
IF(L20="OFFEN",
IF(E20=0,
0,
H20+SUMIFS(Daten!K:K,Daten!H:H,C20,Daten!E:E,"DIVIDEND")-(G20-(F20*M20))-I20
),
""))</f>
        <v>229.51441501000022</v>
      </c>
      <c r="T20" s="6">
        <f>IF(E20=0,
0,
(G20-(F20*M20))+I20
)</f>
        <v>1487.1055849899997</v>
      </c>
      <c r="U20" s="26">
        <f>COUNTIFS(Daten!H:H,C20,Daten!E:E,"BUY",Daten!L:L,"&lt;0")</f>
        <v>28</v>
      </c>
      <c r="V20" s="26">
        <f>COUNTIFS(Daten!H:H,C20,Daten!E:E,"SELL",Daten!L:L,"&lt;0")</f>
        <v>6</v>
      </c>
      <c r="W20" s="7">
        <f t="shared" si="3"/>
        <v>0.15433632778101875</v>
      </c>
      <c r="X20" s="7">
        <f t="shared" si="2"/>
        <v>-4.0526681979268314E-2</v>
      </c>
    </row>
    <row r="21" spans="1:24" x14ac:dyDescent="0.3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-SUMIFS(Daten!M:M,Daten!E:E,"SELL",Daten!H:H,C21)</f>
        <v>15.58</v>
      </c>
      <c r="K21" s="6">
        <f t="shared" si="1"/>
        <v>-445.3700000000004</v>
      </c>
      <c r="L21" s="5" t="str">
        <f>IF(F21&gt;0,"OFFEN","GESCHLOSSEN")</f>
        <v>OFFEN</v>
      </c>
      <c r="M21">
        <v>20.37</v>
      </c>
      <c r="N21">
        <v>14.0083</v>
      </c>
      <c r="O21" s="21">
        <f>IF(L21="GESCHLOSSEN",
0,
IF(L21="OFFEN",
((N21*F21)-(M21*F21)),
""))</f>
        <v>-205.6607640469</v>
      </c>
      <c r="P21" s="6">
        <f>IF(F21&gt;0,F21*N21,0)</f>
        <v>452.85972004309997</v>
      </c>
      <c r="Q21" s="6">
        <f>IF(F21&gt;0,F21*M21,0)</f>
        <v>658.52048408999997</v>
      </c>
      <c r="R21" s="7">
        <f>IF(L21="GESCHLOSSEN",
0,
IF(L21="OFFEN",
(O21/(M21*F21))))</f>
        <v>-0.31230731467844869</v>
      </c>
      <c r="S21" s="6">
        <f>IF(L21="GESCHLOSSEN",
H21-G21-I21 + SUMIFS(Daten!K:K,Daten!H:H,C21,Daten!E:E,"DIVIDEND"),
IF(L21="OFFEN",
IF(E21=0,
0,
H21+SUMIFS(Daten!K:K,Daten!H:H,C21,Daten!E:E,"DIVIDEND")-(G21-(F21*M21))-I21
),
""))</f>
        <v>228.73048408999966</v>
      </c>
      <c r="T21" s="6">
        <f>IF(E21=0,
0,
(G21-(F21*M21))+I21
)</f>
        <v>1889.83951591</v>
      </c>
      <c r="U21" s="26">
        <f>COUNTIFS(Daten!H:H,C21,Daten!E:E,"BUY",Daten!L:L,"&lt;0")</f>
        <v>20</v>
      </c>
      <c r="V21" s="26">
        <f>COUNTIFS(Daten!H:H,C21,Daten!E:E,"SELL",Daten!L:L,"&lt;0")</f>
        <v>7</v>
      </c>
      <c r="W21" s="7">
        <f t="shared" si="3"/>
        <v>0.12103169722316914</v>
      </c>
      <c r="X21" s="7">
        <f t="shared" si="2"/>
        <v>9.1497128704744867E-3</v>
      </c>
    </row>
    <row r="22" spans="1:24" x14ac:dyDescent="0.3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-SUMIFS(Daten!M:M,Daten!E:E,"SELL",Daten!H:H,C22)</f>
        <v>0</v>
      </c>
      <c r="K22" s="6">
        <f t="shared" si="1"/>
        <v>17.710000000000036</v>
      </c>
      <c r="L22" s="5" t="str">
        <f>IF(F22&gt;0,"OFFEN","GESCHLOSSEN")</f>
        <v>GESCHLOSSEN</v>
      </c>
      <c r="M22">
        <v>0</v>
      </c>
      <c r="N22">
        <v>0</v>
      </c>
      <c r="O22" s="21">
        <f>IF(L22="GESCHLOSSEN",
0,
IF(L22="OFFEN",
((N22*F22)-(M22*F22)),
""))</f>
        <v>0</v>
      </c>
      <c r="P22" s="6">
        <f>IF(F22&gt;0,F22*N22,0)</f>
        <v>0</v>
      </c>
      <c r="Q22" s="6">
        <f>IF(F22&gt;0,F22*M22,0)</f>
        <v>0</v>
      </c>
      <c r="R22" s="7">
        <f>IF(L22="GESCHLOSSEN",
0,
IF(L22="OFFEN",
(O22/(M22*F22))))</f>
        <v>0</v>
      </c>
      <c r="S22" s="6">
        <f>IF(L22="GESCHLOSSEN",
H22-G22-I22 + SUMIFS(Daten!K:K,Daten!H:H,C22,Daten!E:E,"DIVIDEND"),
IF(L22="OFFEN",
IF(E22=0,
0,
H22+SUMIFS(Daten!K:K,Daten!H:H,C22,Daten!E:E,"DIVIDEND")-(G22-(F22*M22))-I22
),
""))</f>
        <v>17.710000000000036</v>
      </c>
      <c r="T22" s="6">
        <f>IF(E22=0,
0,
(G22-(F22*M22))+I22
)</f>
        <v>354</v>
      </c>
      <c r="U22" s="26">
        <f>COUNTIFS(Daten!H:H,C22,Daten!E:E,"BUY",Daten!L:L,"&lt;0")</f>
        <v>3</v>
      </c>
      <c r="V22" s="26">
        <f>COUNTIFS(Daten!H:H,C22,Daten!E:E,"SELL",Daten!L:L,"&lt;0")</f>
        <v>2</v>
      </c>
      <c r="W22" s="7">
        <f t="shared" si="3"/>
        <v>5.0028248587570726E-2</v>
      </c>
      <c r="X22" s="7">
        <f t="shared" si="2"/>
        <v>5.0028248587570726E-2</v>
      </c>
    </row>
    <row r="23" spans="1:24" x14ac:dyDescent="0.3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-SUMIFS(Daten!M:M,Daten!E:E,"SELL",Daten!H:H,C23)</f>
        <v>0</v>
      </c>
      <c r="K23" s="6">
        <f t="shared" si="1"/>
        <v>18.149999999999991</v>
      </c>
      <c r="L23" s="5" t="str">
        <f>IF(F23&gt;0,"OFFEN","GESCHLOSSEN")</f>
        <v>GESCHLOSSEN</v>
      </c>
      <c r="M23">
        <v>0</v>
      </c>
      <c r="N23">
        <v>0</v>
      </c>
      <c r="O23" s="21">
        <f>IF(L23="GESCHLOSSEN",
0,
IF(L23="OFFEN",
((N23*F23)-(M23*F23)),
""))</f>
        <v>0</v>
      </c>
      <c r="P23" s="6">
        <f>IF(F23&gt;0,F23*N23,0)</f>
        <v>0</v>
      </c>
      <c r="Q23" s="6">
        <f>IF(F23&gt;0,F23*M23,0)</f>
        <v>0</v>
      </c>
      <c r="R23" s="7">
        <f>IF(L23="GESCHLOSSEN",
0,
IF(L23="OFFEN",
(O23/(M23*F23))))</f>
        <v>0</v>
      </c>
      <c r="S23" s="6">
        <f>IF(L23="GESCHLOSSEN",
H23-G23-I23 + SUMIFS(Daten!K:K,Daten!H:H,C23,Daten!E:E,"DIVIDEND"),
IF(L23="OFFEN",
IF(E23=0,
0,
H23+SUMIFS(Daten!K:K,Daten!H:H,C23,Daten!E:E,"DIVIDEND")-(G23-(F23*M23))-I23
),
""))</f>
        <v>18.149999999999991</v>
      </c>
      <c r="T23" s="6">
        <f>IF(E23=0,
0,
(G23-(F23*M23))+I23
)</f>
        <v>101</v>
      </c>
      <c r="U23" s="26">
        <f>COUNTIFS(Daten!H:H,C23,Daten!E:E,"BUY",Daten!L:L,"&lt;0")</f>
        <v>1</v>
      </c>
      <c r="V23" s="26">
        <f>COUNTIFS(Daten!H:H,C23,Daten!E:E,"SELL",Daten!L:L,"&lt;0")</f>
        <v>1</v>
      </c>
      <c r="W23" s="7">
        <f t="shared" si="3"/>
        <v>0.17970297029702961</v>
      </c>
      <c r="X23" s="7">
        <f t="shared" si="2"/>
        <v>0.17970297029702961</v>
      </c>
    </row>
    <row r="24" spans="1:24" x14ac:dyDescent="0.3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-SUMIFS(Daten!M:M,Daten!E:E,"SELL",Daten!H:H,C24)</f>
        <v>2.29</v>
      </c>
      <c r="K24" s="6">
        <f t="shared" si="1"/>
        <v>6.4100000000000028</v>
      </c>
      <c r="L24" s="5" t="str">
        <f>IF(F24&gt;0,"OFFEN","GESCHLOSSEN")</f>
        <v>GESCHLOSSEN</v>
      </c>
      <c r="M24">
        <v>0</v>
      </c>
      <c r="N24">
        <v>0</v>
      </c>
      <c r="O24" s="21">
        <f>IF(L24="GESCHLOSSEN",
0,
IF(L24="OFFEN",
((N24*F24)-(M24*F24)),
""))</f>
        <v>0</v>
      </c>
      <c r="P24" s="6">
        <f>IF(F24&gt;0,F24*N24,0)</f>
        <v>0</v>
      </c>
      <c r="Q24" s="6">
        <f>IF(F24&gt;0,F24*M24,0)</f>
        <v>0</v>
      </c>
      <c r="R24" s="7">
        <f>IF(L24="GESCHLOSSEN",
0,
IF(L24="OFFEN",
(O24/(M24*F24))))</f>
        <v>0</v>
      </c>
      <c r="S24" s="6">
        <f>IF(L24="GESCHLOSSEN",
H24-G24-I24 + SUMIFS(Daten!K:K,Daten!H:H,C24,Daten!E:E,"DIVIDEND"),
IF(L24="OFFEN",
IF(E24=0,
0,
H24+SUMIFS(Daten!K:K,Daten!H:H,C24,Daten!E:E,"DIVIDEND")-(G24-(F24*M24))-I24
),
""))</f>
        <v>8.7000000000000028</v>
      </c>
      <c r="T24" s="6">
        <f>IF(E24=0,
0,
(G24-(F24*M24))+I24
)</f>
        <v>95</v>
      </c>
      <c r="U24" s="26">
        <f>COUNTIFS(Daten!H:H,C24,Daten!E:E,"BUY",Daten!L:L,"&lt;0")</f>
        <v>1</v>
      </c>
      <c r="V24" s="26">
        <f>COUNTIFS(Daten!H:H,C24,Daten!E:E,"SELL",Daten!L:L,"&lt;0")</f>
        <v>2</v>
      </c>
      <c r="W24" s="7">
        <f t="shared" si="3"/>
        <v>9.1578947368421079E-2</v>
      </c>
      <c r="X24" s="7">
        <f t="shared" si="2"/>
        <v>6.7473684210526338E-2</v>
      </c>
    </row>
    <row r="25" spans="1:24" x14ac:dyDescent="0.3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-SUMIFS(Daten!M:M,Daten!E:E,"SELL",Daten!H:H,C25)</f>
        <v>0.57000000000000006</v>
      </c>
      <c r="K25" s="6">
        <f t="shared" si="1"/>
        <v>1.5899999999999965</v>
      </c>
      <c r="L25" s="5" t="str">
        <f>IF(F25&gt;0,"OFFEN","GESCHLOSSEN")</f>
        <v>GESCHLOSSEN</v>
      </c>
      <c r="M25">
        <v>0</v>
      </c>
      <c r="N25">
        <v>0</v>
      </c>
      <c r="O25" s="21">
        <f>IF(L25="GESCHLOSSEN",
0,
IF(L25="OFFEN",
((N25*F25)-(M25*F25)),
""))</f>
        <v>0</v>
      </c>
      <c r="P25" s="6">
        <f>IF(F25&gt;0,F25*N25,0)</f>
        <v>0</v>
      </c>
      <c r="Q25" s="6">
        <f>IF(F25&gt;0,F25*M25,0)</f>
        <v>0</v>
      </c>
      <c r="R25" s="7">
        <f>IF(L25="GESCHLOSSEN",
0,
IF(L25="OFFEN",
(O25/(M25*F25))))</f>
        <v>0</v>
      </c>
      <c r="S25" s="6">
        <f>IF(L25="GESCHLOSSEN",
H25-G25-I25 + SUMIFS(Daten!K:K,Daten!H:H,C25,Daten!E:E,"DIVIDEND"),
IF(L25="OFFEN",
IF(E25=0,
0,
H25+SUMIFS(Daten!K:K,Daten!H:H,C25,Daten!E:E,"DIVIDEND")-(G25-(F25*M25))-I25
),
""))</f>
        <v>2.1599999999999966</v>
      </c>
      <c r="T25" s="6">
        <f>IF(E25=0,
0,
(G25-(F25*M25))+I25
)</f>
        <v>62</v>
      </c>
      <c r="U25" s="26">
        <f>COUNTIFS(Daten!H:H,C25,Daten!E:E,"BUY",Daten!L:L,"&lt;0")</f>
        <v>1</v>
      </c>
      <c r="V25" s="26">
        <f>COUNTIFS(Daten!H:H,C25,Daten!E:E,"SELL",Daten!L:L,"&lt;0")</f>
        <v>1</v>
      </c>
      <c r="W25" s="7">
        <f t="shared" si="3"/>
        <v>3.4838709677419297E-2</v>
      </c>
      <c r="X25" s="7">
        <f t="shared" si="2"/>
        <v>2.5645161290322526E-2</v>
      </c>
    </row>
    <row r="26" spans="1:24" x14ac:dyDescent="0.3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-SUMIFS(Daten!M:M,Daten!E:E,"SELL",Daten!H:H,C26)</f>
        <v>0</v>
      </c>
      <c r="K26" s="6">
        <f t="shared" si="1"/>
        <v>-244.73</v>
      </c>
      <c r="L26" s="5" t="str">
        <f>IF(F26&gt;0,"OFFEN","GESCHLOSSEN")</f>
        <v>OFFEN</v>
      </c>
      <c r="M26">
        <v>8.51</v>
      </c>
      <c r="N26">
        <v>7.5140000000000002</v>
      </c>
      <c r="O26" s="21">
        <f>IF(L26="GESCHLOSSEN",
0,
IF(L26="OFFEN",
((N26*F26)-(M26*F26)),
""))</f>
        <v>-29.609814083999993</v>
      </c>
      <c r="P26" s="6">
        <f>IF(F26&gt;0,F26*N26,0)</f>
        <v>223.38166970600003</v>
      </c>
      <c r="Q26" s="6">
        <f>IF(F26&gt;0,F26*M26,0)</f>
        <v>252.99148379000002</v>
      </c>
      <c r="R26" s="7">
        <f>IF(L26="GESCHLOSSEN",
0,
IF(L26="OFFEN",
(O26/(M26*F26))))</f>
        <v>-0.11703877790834309</v>
      </c>
      <c r="S26" s="6">
        <f>IF(L26="GESCHLOSSEN",
H26-G26-I26 + SUMIFS(Daten!K:K,Daten!H:H,C26,Daten!E:E,"DIVIDEND"),
IF(L26="OFFEN",
IF(E26=0,
0,
H26+SUMIFS(Daten!K:K,Daten!H:H,C26,Daten!E:E,"DIVIDEND")-(G26-(F26*M26))-I26
),
""))</f>
        <v>8.2614837900000282</v>
      </c>
      <c r="T26" s="6">
        <f>IF(E26=0,
0,
(G26-(F26*M26))+I26
)</f>
        <v>202.00851620999998</v>
      </c>
      <c r="U26" s="26">
        <f>COUNTIFS(Daten!H:H,C26,Daten!E:E,"BUY",Daten!L:L,"&lt;0")</f>
        <v>4</v>
      </c>
      <c r="V26" s="26">
        <f>COUNTIFS(Daten!H:H,C26,Daten!E:E,"SELL",Daten!L:L,"&lt;0")</f>
        <v>1</v>
      </c>
      <c r="W26" s="7">
        <f t="shared" si="3"/>
        <v>4.0896710420919677E-2</v>
      </c>
      <c r="X26" s="7">
        <f t="shared" si="2"/>
        <v>-4.744073398666665E-2</v>
      </c>
    </row>
    <row r="27" spans="1:24" x14ac:dyDescent="0.3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-SUMIFS(Daten!M:M,Daten!E:E,"SELL",Daten!H:H,C27)</f>
        <v>0</v>
      </c>
      <c r="K27" s="6">
        <f t="shared" si="1"/>
        <v>15.349999999999994</v>
      </c>
      <c r="L27" s="5" t="str">
        <f>IF(F27&gt;0,"OFFEN","GESCHLOSSEN")</f>
        <v>GESCHLOSSEN</v>
      </c>
      <c r="M27">
        <v>0</v>
      </c>
      <c r="N27">
        <v>0</v>
      </c>
      <c r="O27" s="21">
        <f>IF(L27="GESCHLOSSEN",
0,
IF(L27="OFFEN",
((N27*F27)-(M27*F27)),
""))</f>
        <v>0</v>
      </c>
      <c r="P27" s="6">
        <f>IF(F27&gt;0,F27*N27,0)</f>
        <v>0</v>
      </c>
      <c r="Q27" s="6">
        <f>IF(F27&gt;0,F27*M27,0)</f>
        <v>0</v>
      </c>
      <c r="R27" s="7">
        <f>IF(L27="GESCHLOSSEN",
0,
IF(L27="OFFEN",
(O27/(M27*F27))))</f>
        <v>0</v>
      </c>
      <c r="S27" s="6">
        <f>IF(L27="GESCHLOSSEN",
H27-G27-I27 + SUMIFS(Daten!K:K,Daten!H:H,C27,Daten!E:E,"DIVIDEND"),
IF(L27="OFFEN",
IF(E27=0,
0,
H27+SUMIFS(Daten!K:K,Daten!H:H,C27,Daten!E:E,"DIVIDEND")-(G27-(F27*M27))-I27
),
""))</f>
        <v>15.349999999999994</v>
      </c>
      <c r="T27" s="6">
        <f>IF(E27=0,
0,
(G27-(F27*M27))+I27
)</f>
        <v>101</v>
      </c>
      <c r="U27" s="26">
        <f>COUNTIFS(Daten!H:H,C27,Daten!E:E,"BUY",Daten!L:L,"&lt;0")</f>
        <v>1</v>
      </c>
      <c r="V27" s="26">
        <f>COUNTIFS(Daten!H:H,C27,Daten!E:E,"SELL",Daten!L:L,"&lt;0")</f>
        <v>1</v>
      </c>
      <c r="W27" s="7">
        <f t="shared" si="3"/>
        <v>0.15198019801980192</v>
      </c>
      <c r="X27" s="7">
        <f t="shared" si="2"/>
        <v>0.15198019801980192</v>
      </c>
    </row>
    <row r="28" spans="1:24" x14ac:dyDescent="0.35">
      <c r="A28" s="9" t="s">
        <v>799</v>
      </c>
      <c r="B28" s="5" t="s">
        <v>464</v>
      </c>
      <c r="C28" s="5" t="s">
        <v>800</v>
      </c>
      <c r="D28" s="5">
        <f>SUMIFS(Daten!I:I,Daten!H:H,C28,Daten!E:E,"BUY")</f>
        <v>6.0335359999999998</v>
      </c>
      <c r="E28" s="5">
        <f>-SUMIFS(Daten!I:I,Daten!H:H,C28,Daten!E:E,"SELL")</f>
        <v>2.0335359999999998</v>
      </c>
      <c r="F28" s="5">
        <f t="shared" si="0"/>
        <v>4</v>
      </c>
      <c r="G28" s="6">
        <f>-SUMIFS(Daten!K:K,Daten!H:H,C28,Daten!E:E,"BUY")</f>
        <v>766.99</v>
      </c>
      <c r="H28" s="6">
        <f>SUMIFS(Daten!K:K,Daten!H:H,C28,Daten!E:E,"SELL")</f>
        <v>316.42</v>
      </c>
      <c r="I28" s="6">
        <f>SUMIFS(Daten!L:L,Daten!H:H,C28)*-1</f>
        <v>4</v>
      </c>
      <c r="J28" s="6">
        <f>-SUMIFS(Daten!M:M,Daten!E:E,"SELL",Daten!H:H,C28)</f>
        <v>12.07</v>
      </c>
      <c r="K28" s="6">
        <f t="shared" si="1"/>
        <v>-466.64</v>
      </c>
      <c r="L28" s="5" t="str">
        <f>IF(F28&gt;0,"OFFEN","GESCHLOSSEN")</f>
        <v>OFFEN</v>
      </c>
      <c r="M28">
        <v>130</v>
      </c>
      <c r="N28">
        <v>158.16</v>
      </c>
      <c r="O28" s="21">
        <f>IF(L28="GESCHLOSSEN",
0,
IF(L28="OFFEN",
((N28*F28)-(M28*F28)),
""))</f>
        <v>112.63999999999999</v>
      </c>
      <c r="P28" s="6">
        <f>IF(F28&gt;0,F28*N28,0)</f>
        <v>632.64</v>
      </c>
      <c r="Q28" s="6">
        <f>IF(F28&gt;0,F28*M28,0)</f>
        <v>520</v>
      </c>
      <c r="R28" s="7">
        <f>IF(L28="GESCHLOSSEN",
0,
IF(L28="OFFEN",
(O28/(M28*F28))))</f>
        <v>0.2166153846153846</v>
      </c>
      <c r="S28" s="6">
        <f>IF(L28="GESCHLOSSEN",
H28-G28-I28 + SUMIFS(Daten!K:K,Daten!H:H,C28,Daten!E:E,"DIVIDEND"),
IF(L28="OFFEN",
IF(E28=0,
0,
H28+SUMIFS(Daten!K:K,Daten!H:H,C28,Daten!E:E,"DIVIDEND")-(G28-(F28*M28))-I28
),
""))</f>
        <v>65.430000000000007</v>
      </c>
      <c r="T28" s="6">
        <f>IF(E28=0,
0,
(G28-(F28*M28))+I28
)</f>
        <v>250.99</v>
      </c>
      <c r="U28" s="26">
        <f>COUNTIFS(Daten!H:H,C28,Daten!E:E,"BUY",Daten!L:L,"&lt;0")</f>
        <v>3</v>
      </c>
      <c r="V28" s="26">
        <f>COUNTIFS(Daten!H:H,C28,Daten!E:E,"SELL",Daten!L:L,"&lt;0")</f>
        <v>1</v>
      </c>
      <c r="W28" s="7">
        <f t="shared" si="3"/>
        <v>0.26068767679987254</v>
      </c>
      <c r="X28" s="7">
        <f t="shared" si="2"/>
        <v>0.23216730335467206</v>
      </c>
    </row>
    <row r="29" spans="1:24" x14ac:dyDescent="0.3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-SUMIFS(Daten!M:M,Daten!E:E,"SELL",Daten!H:H,C29)</f>
        <v>0</v>
      </c>
      <c r="K29" s="6">
        <f t="shared" si="1"/>
        <v>-400.96</v>
      </c>
      <c r="L29" s="5" t="str">
        <f>IF(F29&gt;0,"OFFEN","GESCHLOSSEN")</f>
        <v>OFFEN</v>
      </c>
      <c r="M29">
        <v>48.12</v>
      </c>
      <c r="N29">
        <v>47.05</v>
      </c>
      <c r="O29" s="21">
        <f>IF(L29="GESCHLOSSEN",
0,
IF(L29="OFFEN",
((N29*F29)-(M29*F29)),
""))</f>
        <v>-8.9166663099999823</v>
      </c>
      <c r="P29" s="6">
        <f>IF(F29&gt;0,F29*N29,0)</f>
        <v>392.08331764999997</v>
      </c>
      <c r="Q29" s="6">
        <f>IF(F29&gt;0,F29*M29,0)</f>
        <v>400.99998395999995</v>
      </c>
      <c r="R29" s="7">
        <f>IF(L29="GESCHLOSSEN",
0,
IF(L29="OFFEN",
(O29/(M29*F29))))</f>
        <v>-2.2236076475477932E-2</v>
      </c>
      <c r="S29" s="6">
        <f>IF(L29="GESCHLOSSEN",
H29-G29-I29 + SUMIFS(Daten!K:K,Daten!H:H,C29,Daten!E:E,"DIVIDEND"),
IF(L29="OFFEN",
IF(E29=0,
0,
H29+SUMIFS(Daten!K:K,Daten!H:H,C29,Daten!E:E,"DIVIDEND")-(G29-(F29*M29))-I29
),
""))</f>
        <v>0</v>
      </c>
      <c r="T29" s="6">
        <f>IF(E29=0,
0,
(G29-(F29*M29))+I29
)</f>
        <v>0</v>
      </c>
      <c r="U29" s="26">
        <f>COUNTIFS(Daten!H:H,C29,Daten!E:E,"BUY",Daten!L:L,"&lt;0")</f>
        <v>1</v>
      </c>
      <c r="V29" s="26">
        <f>COUNTIFS(Daten!H:H,C29,Daten!E:E,"SELL",Daten!L:L,"&lt;0")</f>
        <v>0</v>
      </c>
      <c r="W29" s="7">
        <f t="shared" si="3"/>
        <v>0</v>
      </c>
      <c r="X29" s="7">
        <f t="shared" si="2"/>
        <v>-2.2193925267526778E-2</v>
      </c>
    </row>
    <row r="30" spans="1:24" x14ac:dyDescent="0.35">
      <c r="A30" s="9" t="s">
        <v>1178</v>
      </c>
      <c r="B30" s="5" t="s">
        <v>464</v>
      </c>
      <c r="C30" s="5" t="s">
        <v>1179</v>
      </c>
      <c r="D30" s="5">
        <f>SUMIFS(Daten!I:I,Daten!H:H,C30,Daten!E:E,"BUY")</f>
        <v>10.354191</v>
      </c>
      <c r="E30" s="5">
        <f>-SUMIFS(Daten!I:I,Daten!H:H,C30,Daten!E:E,"SELL")</f>
        <v>0</v>
      </c>
      <c r="F30" s="5">
        <f t="shared" si="0"/>
        <v>10.354191</v>
      </c>
      <c r="G30" s="6">
        <f>-SUMIFS(Daten!K:K,Daten!H:H,C30,Daten!E:E,"BUY")</f>
        <v>550</v>
      </c>
      <c r="H30" s="6">
        <f>SUMIFS(Daten!K:K,Daten!H:H,C30,Daten!E:E,"SELL")</f>
        <v>0</v>
      </c>
      <c r="I30" s="6">
        <f>SUMIFS(Daten!L:L,Daten!H:H,C30)*-1</f>
        <v>1</v>
      </c>
      <c r="J30" s="6">
        <f>-SUMIFS(Daten!M:M,Daten!E:E,"SELL",Daten!H:H,C30)</f>
        <v>0</v>
      </c>
      <c r="K30" s="6">
        <f t="shared" si="1"/>
        <v>-551</v>
      </c>
      <c r="L30" s="5" t="str">
        <f>IF(F30&gt;0,"OFFEN","GESCHLOSSEN")</f>
        <v>OFFEN</v>
      </c>
      <c r="M30">
        <v>53.22</v>
      </c>
      <c r="N30">
        <v>53.98</v>
      </c>
      <c r="O30" s="21">
        <f>IF(L30="GESCHLOSSEN",
0,
IF(L30="OFFEN",
((N30*F30)-(M30*F30)),
""))</f>
        <v>7.8691851600000291</v>
      </c>
      <c r="P30" s="6">
        <f>IF(F30&gt;0,F30*N30,0)</f>
        <v>558.91923018</v>
      </c>
      <c r="Q30" s="6">
        <f>IF(F30&gt;0,F30*M30,0)</f>
        <v>551.05004501999997</v>
      </c>
      <c r="R30" s="7">
        <f>IF(L30="GESCHLOSSEN",
0,
IF(L30="OFFEN",
(O30/(M30*F30))))</f>
        <v>1.4280345734686261E-2</v>
      </c>
      <c r="S30" s="6">
        <f>IF(L30="GESCHLOSSEN",
H30-G30-I30 + SUMIFS(Daten!K:K,Daten!H:H,C30,Daten!E:E,"DIVIDEND"),
IF(L30="OFFEN",
IF(E30=0,
0,
H30+SUMIFS(Daten!K:K,Daten!H:H,C30,Daten!E:E,"DIVIDEND")-(G30-(F30*M30))-I30
),
""))</f>
        <v>0</v>
      </c>
      <c r="T30" s="6">
        <f>IF(E30=0,
0,
(G30-(F30*M30))+I30
)</f>
        <v>0</v>
      </c>
      <c r="U30" s="26">
        <f>COUNTIFS(Daten!H:H,C30,Daten!E:E,"BUY",Daten!L:L,"&lt;0")</f>
        <v>1</v>
      </c>
      <c r="V30" s="26">
        <f>COUNTIFS(Daten!H:H,C30,Daten!E:E,"SELL",Daten!L:L,"&lt;0")</f>
        <v>0</v>
      </c>
      <c r="W30" s="7">
        <f t="shared" si="3"/>
        <v>0</v>
      </c>
      <c r="X30" s="7">
        <f t="shared" si="2"/>
        <v>1.4398600327272727E-2</v>
      </c>
    </row>
    <row r="31" spans="1:24" x14ac:dyDescent="0.3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-SUMIFS(Daten!M:M,Daten!E:E,"SELL",Daten!H:H,C31)</f>
        <v>0</v>
      </c>
      <c r="K31" s="6">
        <f t="shared" si="1"/>
        <v>-533.53</v>
      </c>
      <c r="L31" s="5" t="str">
        <f>IF(F31&gt;0,"OFFEN","GESCHLOSSEN")</f>
        <v>OFFEN</v>
      </c>
      <c r="M31">
        <v>74.099999999999994</v>
      </c>
      <c r="N31">
        <v>59.639499999999998</v>
      </c>
      <c r="O31" s="21">
        <f>IF(L31="GESCHLOSSEN",
0,
IF(L31="OFFEN",
((N31*F31)-(M31*F31)),
""))</f>
        <v>-104.11450100199994</v>
      </c>
      <c r="P31" s="6">
        <f>IF(F31&gt;0,F31*N31,0)</f>
        <v>429.39986739800003</v>
      </c>
      <c r="Q31" s="6">
        <f>IF(F31&gt;0,F31*M31,0)</f>
        <v>533.51436839999997</v>
      </c>
      <c r="R31" s="7">
        <f>IF(L31="GESCHLOSSEN",
0,
IF(L31="OFFEN",
(O31/(M31*F31))))</f>
        <v>-0.19514844804318479</v>
      </c>
      <c r="S31" s="6">
        <f>IF(L31="GESCHLOSSEN",
H31-G31-I31 + SUMIFS(Daten!K:K,Daten!H:H,C31,Daten!E:E,"DIVIDEND"),
IF(L31="OFFEN",
IF(E31=0,
0,
H31+SUMIFS(Daten!K:K,Daten!H:H,C31,Daten!E:E,"DIVIDEND")-(G31-(F31*M31))-I31
),
""))</f>
        <v>0</v>
      </c>
      <c r="T31" s="6">
        <f>IF(E31=0,
0,
(G31-(F31*M31))+I31
)</f>
        <v>0</v>
      </c>
      <c r="U31" s="26">
        <f>COUNTIFS(Daten!H:H,C31,Daten!E:E,"BUY",Daten!L:L,"&lt;0")</f>
        <v>6</v>
      </c>
      <c r="V31" s="26">
        <f>COUNTIFS(Daten!H:H,C31,Daten!E:E,"SELL",Daten!L:L,"&lt;0")</f>
        <v>0</v>
      </c>
      <c r="W31" s="7">
        <f t="shared" si="3"/>
        <v>0</v>
      </c>
      <c r="X31" s="7">
        <f t="shared" si="2"/>
        <v>-0.19739186890224245</v>
      </c>
    </row>
    <row r="32" spans="1:24" x14ac:dyDescent="0.3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-SUMIFS(Daten!M:M,Daten!E:E,"SELL",Daten!H:H,C32)</f>
        <v>0</v>
      </c>
      <c r="K32" s="6">
        <f t="shared" si="1"/>
        <v>-403.01</v>
      </c>
      <c r="L32" s="5" t="str">
        <f>IF(F32&gt;0,"OFFEN","GESCHLOSSEN")</f>
        <v>OFFEN</v>
      </c>
      <c r="M32">
        <v>46.13</v>
      </c>
      <c r="N32">
        <v>41.55</v>
      </c>
      <c r="O32" s="21">
        <f>IF(L32="GESCHLOSSEN",
0,
IF(L32="OFFEN",
((N32*F32)-(M32*F32)),
""))</f>
        <v>-40.010719700000038</v>
      </c>
      <c r="P32" s="6">
        <f>IF(F32&gt;0,F32*N32,0)</f>
        <v>362.97934574999999</v>
      </c>
      <c r="Q32" s="6">
        <f>IF(F32&gt;0,F32*M32,0)</f>
        <v>402.99006545000003</v>
      </c>
      <c r="R32" s="7">
        <f>IF(L32="GESCHLOSSEN",
0,
IF(L32="OFFEN",
(O32/(M32*F32))))</f>
        <v>-9.9284630392369483E-2</v>
      </c>
      <c r="S32" s="6">
        <f>IF(L32="GESCHLOSSEN",
H32-G32-I32 + SUMIFS(Daten!K:K,Daten!H:H,C32,Daten!E:E,"DIVIDEND"),
IF(L32="OFFEN",
IF(E32=0,
0,
H32+SUMIFS(Daten!K:K,Daten!H:H,C32,Daten!E:E,"DIVIDEND")-(G32-(F32*M32))-I32
),
""))</f>
        <v>0</v>
      </c>
      <c r="T32" s="6">
        <f>IF(E32=0,
0,
(G32-(F32*M32))+I32
)</f>
        <v>0</v>
      </c>
      <c r="U32" s="26">
        <f>COUNTIFS(Daten!H:H,C32,Daten!E:E,"BUY",Daten!L:L,"&lt;0")</f>
        <v>3</v>
      </c>
      <c r="V32" s="26">
        <f>COUNTIFS(Daten!H:H,C32,Daten!E:E,"SELL",Daten!L:L,"&lt;0")</f>
        <v>0</v>
      </c>
      <c r="W32" s="7">
        <f t="shared" si="3"/>
        <v>0</v>
      </c>
      <c r="X32" s="7">
        <f t="shared" si="2"/>
        <v>-0.10007413377165571</v>
      </c>
    </row>
    <row r="33" spans="1:24" x14ac:dyDescent="0.35">
      <c r="A33" s="9" t="s">
        <v>1182</v>
      </c>
      <c r="B33" s="5" t="s">
        <v>32</v>
      </c>
      <c r="C33" s="5" t="s">
        <v>1183</v>
      </c>
      <c r="D33" s="5">
        <f>SUMIFS(Daten!I:I,Daten!H:H,C33,Daten!E:E,"BUY")</f>
        <v>7.7689640000000004</v>
      </c>
      <c r="E33" s="5">
        <f>-SUMIFS(Daten!I:I,Daten!H:H,C33,Daten!E:E,"SELL")</f>
        <v>0</v>
      </c>
      <c r="F33" s="5">
        <f t="shared" si="0"/>
        <v>7.7689640000000004</v>
      </c>
      <c r="G33" s="6">
        <f>-SUMIFS(Daten!K:K,Daten!H:H,C33,Daten!E:E,"BUY")</f>
        <v>268.15999999999997</v>
      </c>
      <c r="H33" s="6">
        <f>SUMIFS(Daten!K:K,Daten!H:H,C33,Daten!E:E,"SELL")</f>
        <v>0</v>
      </c>
      <c r="I33" s="6">
        <f>SUMIFS(Daten!L:L,Daten!H:H,C33)*-1</f>
        <v>3</v>
      </c>
      <c r="J33" s="6">
        <f>-SUMIFS(Daten!M:M,Daten!E:E,"SELL",Daten!H:H,C33)</f>
        <v>0</v>
      </c>
      <c r="K33" s="6">
        <f t="shared" si="1"/>
        <v>-271.15999999999997</v>
      </c>
      <c r="L33" s="5" t="str">
        <f>IF(F33&gt;0,"OFFEN","GESCHLOSSEN")</f>
        <v>OFFEN</v>
      </c>
      <c r="M33">
        <v>34.9</v>
      </c>
      <c r="N33">
        <v>29.26</v>
      </c>
      <c r="O33" s="21">
        <f>IF(L33="GESCHLOSSEN",
0,
IF(L33="OFFEN",
((N33*F33)-(M33*F33)),
""))</f>
        <v>-43.816956959999999</v>
      </c>
      <c r="P33" s="6">
        <f>IF(F33&gt;0,F33*N33,0)</f>
        <v>227.31988664000002</v>
      </c>
      <c r="Q33" s="6">
        <f>IF(F33&gt;0,F33*M33,0)</f>
        <v>271.13684360000002</v>
      </c>
      <c r="R33" s="7">
        <f>IF(L33="GESCHLOSSEN",
0,
IF(L33="OFFEN",
(O33/(M33*F33))))</f>
        <v>-0.16160458452722062</v>
      </c>
      <c r="S33" s="6">
        <f>IF(L33="GESCHLOSSEN",
H33-G33-I33 + SUMIFS(Daten!K:K,Daten!H:H,C33,Daten!E:E,"DIVIDEND"),
IF(L33="OFFEN",
IF(E33=0,
0,
H33+SUMIFS(Daten!K:K,Daten!H:H,C33,Daten!E:E,"DIVIDEND")-(G33-(F33*M33))-I33
),
""))</f>
        <v>0</v>
      </c>
      <c r="T33" s="6">
        <f>IF(E33=0,
0,
(G33-(F33*M33))+I33
)</f>
        <v>0</v>
      </c>
      <c r="U33" s="26">
        <f>COUNTIFS(Daten!H:H,C33,Daten!E:E,"BUY",Daten!L:L,"&lt;0")</f>
        <v>3</v>
      </c>
      <c r="V33" s="26">
        <f>COUNTIFS(Daten!H:H,C33,Daten!E:E,"SELL",Daten!L:L,"&lt;0")</f>
        <v>0</v>
      </c>
      <c r="W33" s="7">
        <f t="shared" si="3"/>
        <v>0</v>
      </c>
      <c r="X33" s="7">
        <f t="shared" si="2"/>
        <v>-0.16348490960620507</v>
      </c>
    </row>
    <row r="34" spans="1:24" x14ac:dyDescent="0.35">
      <c r="A34" s="9" t="s">
        <v>40</v>
      </c>
      <c r="B34" s="5" t="s">
        <v>32</v>
      </c>
      <c r="C34" s="5" t="s">
        <v>41</v>
      </c>
      <c r="D34" s="5">
        <f>SUMIFS(Daten!I:I,Daten!H:H,C34,Daten!E:E,"BUY")</f>
        <v>1.3543989999999999</v>
      </c>
      <c r="E34" s="5">
        <f>-SUMIFS(Daten!I:I,Daten!H:H,C34,Daten!E:E,"SELL")</f>
        <v>1.3543989999999999</v>
      </c>
      <c r="F34" s="5">
        <f t="shared" ref="F34:F63" si="4">D34-E34</f>
        <v>0</v>
      </c>
      <c r="G34" s="6">
        <f>-SUMIFS(Daten!K:K,Daten!H:H,C34,Daten!E:E,"BUY")</f>
        <v>196</v>
      </c>
      <c r="H34" s="6">
        <f>SUMIFS(Daten!K:K,Daten!H:H,C34,Daten!E:E,"SELL")</f>
        <v>205.19</v>
      </c>
      <c r="I34" s="6">
        <f>SUMIFS(Daten!L:L,Daten!H:H,C34)*-1</f>
        <v>4</v>
      </c>
      <c r="J34" s="6">
        <f>-SUMIFS(Daten!M:M,Daten!E:E,"SELL",Daten!H:H,C34)</f>
        <v>1.6</v>
      </c>
      <c r="K34" s="6">
        <f t="shared" si="1"/>
        <v>3.5899999999999976</v>
      </c>
      <c r="L34" s="5" t="str">
        <f>IF(F34&gt;0,"OFFEN","GESCHLOSSEN")</f>
        <v>GESCHLOSSEN</v>
      </c>
      <c r="M34">
        <v>0</v>
      </c>
      <c r="N34">
        <v>0</v>
      </c>
      <c r="O34" s="21">
        <f>IF(L34="GESCHLOSSEN",
0,
IF(L34="OFFEN",
((N34*F34)-(M34*F34)),
""))</f>
        <v>0</v>
      </c>
      <c r="P34" s="6">
        <f>IF(F34&gt;0,F34*N34,0)</f>
        <v>0</v>
      </c>
      <c r="Q34" s="6">
        <f>IF(F34&gt;0,F34*M34,0)</f>
        <v>0</v>
      </c>
      <c r="R34" s="7">
        <f>IF(L34="GESCHLOSSEN",
0,
IF(L34="OFFEN",
(O34/(M34*F34))))</f>
        <v>0</v>
      </c>
      <c r="S34" s="6">
        <f>IF(L34="GESCHLOSSEN",
H34-G34-I34 + SUMIFS(Daten!K:K,Daten!H:H,C34,Daten!E:E,"DIVIDEND"),
IF(L34="OFFEN",
IF(E34=0,
0,
H34+SUMIFS(Daten!K:K,Daten!H:H,C34,Daten!E:E,"DIVIDEND")-(G34-(F34*M34))-I34
),
""))</f>
        <v>5.1999999999999975</v>
      </c>
      <c r="T34" s="6">
        <f>IF(E34=0,
0,
(G34-(F34*M34))+I34
)</f>
        <v>200</v>
      </c>
      <c r="U34" s="26">
        <f>COUNTIFS(Daten!H:H,C34,Daten!E:E,"BUY",Daten!L:L,"&lt;0")</f>
        <v>2</v>
      </c>
      <c r="V34" s="26">
        <f>COUNTIFS(Daten!H:H,C34,Daten!E:E,"SELL",Daten!L:L,"&lt;0")</f>
        <v>2</v>
      </c>
      <c r="W34" s="7">
        <f t="shared" ref="W34:W63" si="5">IF(T34&gt;0,S34/T34,0)</f>
        <v>2.5999999999999988E-2</v>
      </c>
      <c r="X34" s="7">
        <f t="shared" si="2"/>
        <v>1.7949999999999987E-2</v>
      </c>
    </row>
    <row r="35" spans="1:24" x14ac:dyDescent="0.35">
      <c r="A35" s="9" t="s">
        <v>95</v>
      </c>
      <c r="B35" s="5" t="s">
        <v>32</v>
      </c>
      <c r="C35" s="5" t="s">
        <v>96</v>
      </c>
      <c r="D35" s="5">
        <f>SUMIFS(Daten!I:I,Daten!H:H,C35,Daten!E:E,"BUY")</f>
        <v>1.052408</v>
      </c>
      <c r="E35" s="5">
        <f>-SUMIFS(Daten!I:I,Daten!H:H,C35,Daten!E:E,"SELL")</f>
        <v>1.052408</v>
      </c>
      <c r="F35" s="5">
        <f t="shared" si="4"/>
        <v>0</v>
      </c>
      <c r="G35" s="6">
        <f>-SUMIFS(Daten!K:K,Daten!H:H,C35,Daten!E:E,"BUY")</f>
        <v>149</v>
      </c>
      <c r="H35" s="6">
        <f>SUMIFS(Daten!K:K,Daten!H:H,C35,Daten!E:E,"SELL")</f>
        <v>161.5</v>
      </c>
      <c r="I35" s="6">
        <f>SUMIFS(Daten!L:L,Daten!H:H,C35)*-1</f>
        <v>2</v>
      </c>
      <c r="J35" s="6">
        <f>-SUMIFS(Daten!M:M,Daten!E:E,"SELL",Daten!H:H,C35)</f>
        <v>2.7600000000000002</v>
      </c>
      <c r="K35" s="6">
        <f t="shared" si="1"/>
        <v>7.74</v>
      </c>
      <c r="L35" s="5" t="str">
        <f>IF(F35&gt;0,"OFFEN","GESCHLOSSEN")</f>
        <v>GESCHLOSSEN</v>
      </c>
      <c r="M35">
        <v>0</v>
      </c>
      <c r="N35">
        <v>0</v>
      </c>
      <c r="O35" s="21">
        <f>IF(L35="GESCHLOSSEN",
0,
IF(L35="OFFEN",
((N35*F35)-(M35*F35)),
""))</f>
        <v>0</v>
      </c>
      <c r="P35" s="6">
        <f>IF(F35&gt;0,F35*N35,0)</f>
        <v>0</v>
      </c>
      <c r="Q35" s="6">
        <f>IF(F35&gt;0,F35*M35,0)</f>
        <v>0</v>
      </c>
      <c r="R35" s="7">
        <f>IF(L35="GESCHLOSSEN",
0,
IF(L35="OFFEN",
(O35/(M35*F35))))</f>
        <v>0</v>
      </c>
      <c r="S35" s="6">
        <f>IF(L35="GESCHLOSSEN",
H35-G35-I35 + SUMIFS(Daten!K:K,Daten!H:H,C35,Daten!E:E,"DIVIDEND"),
IF(L35="OFFEN",
IF(E35=0,
0,
H35+SUMIFS(Daten!K:K,Daten!H:H,C35,Daten!E:E,"DIVIDEND")-(G35-(F35*M35))-I35
),
""))</f>
        <v>10.5</v>
      </c>
      <c r="T35" s="6">
        <f>IF(E35=0,
0,
(G35-(F35*M35))+I35
)</f>
        <v>151</v>
      </c>
      <c r="U35" s="26">
        <f>COUNTIFS(Daten!H:H,C35,Daten!E:E,"BUY",Daten!L:L,"&lt;0")</f>
        <v>1</v>
      </c>
      <c r="V35" s="26">
        <f>COUNTIFS(Daten!H:H,C35,Daten!E:E,"SELL",Daten!L:L,"&lt;0")</f>
        <v>1</v>
      </c>
      <c r="W35" s="7">
        <f t="shared" si="5"/>
        <v>6.9536423841059597E-2</v>
      </c>
      <c r="X35" s="7">
        <f t="shared" si="2"/>
        <v>5.1258278145695363E-2</v>
      </c>
    </row>
    <row r="36" spans="1:24" x14ac:dyDescent="0.35">
      <c r="A36" s="9" t="s">
        <v>640</v>
      </c>
      <c r="B36" s="5" t="s">
        <v>32</v>
      </c>
      <c r="C36" s="5" t="s">
        <v>641</v>
      </c>
      <c r="D36" s="5">
        <f>SUMIFS(Daten!I:I,Daten!H:H,C36,Daten!E:E,"BUY")</f>
        <v>63.615581999999996</v>
      </c>
      <c r="E36" s="5">
        <f>-SUMIFS(Daten!I:I,Daten!H:H,C36,Daten!E:E,"SELL")</f>
        <v>63.615581999999996</v>
      </c>
      <c r="F36" s="5">
        <f t="shared" si="4"/>
        <v>0</v>
      </c>
      <c r="G36" s="6">
        <f>-SUMIFS(Daten!K:K,Daten!H:H,C36,Daten!E:E,"BUY")</f>
        <v>600</v>
      </c>
      <c r="H36" s="6">
        <f>SUMIFS(Daten!K:K,Daten!H:H,C36,Daten!E:E,"SELL")</f>
        <v>633.09999999999991</v>
      </c>
      <c r="I36" s="6">
        <f>SUMIFS(Daten!L:L,Daten!H:H,C36)*-1</f>
        <v>5</v>
      </c>
      <c r="J36" s="6">
        <f>-SUMIFS(Daten!M:M,Daten!E:E,"SELL",Daten!H:H,C36)</f>
        <v>0</v>
      </c>
      <c r="K36" s="6">
        <f t="shared" si="1"/>
        <v>28.099999999999909</v>
      </c>
      <c r="L36" s="5" t="str">
        <f>IF(F36&gt;0,"OFFEN","GESCHLOSSEN")</f>
        <v>GESCHLOSSEN</v>
      </c>
      <c r="M36">
        <v>0</v>
      </c>
      <c r="N36">
        <v>0</v>
      </c>
      <c r="O36" s="21">
        <f>IF(L36="GESCHLOSSEN",
0,
IF(L36="OFFEN",
((N36*F36)-(M36*F36)),
""))</f>
        <v>0</v>
      </c>
      <c r="P36" s="6">
        <f>IF(F36&gt;0,F36*N36,0)</f>
        <v>0</v>
      </c>
      <c r="Q36" s="6">
        <f>IF(F36&gt;0,F36*M36,0)</f>
        <v>0</v>
      </c>
      <c r="R36" s="7">
        <f>IF(L36="GESCHLOSSEN",
0,
IF(L36="OFFEN",
(O36/(M36*F36))))</f>
        <v>0</v>
      </c>
      <c r="S36" s="6">
        <f>IF(L36="GESCHLOSSEN",
H36-G36-I36 + SUMIFS(Daten!K:K,Daten!H:H,C36,Daten!E:E,"DIVIDEND"),
IF(L36="OFFEN",
IF(E36=0,
0,
H36+SUMIFS(Daten!K:K,Daten!H:H,C36,Daten!E:E,"DIVIDEND")-(G36-(F36*M36))-I36
),
""))</f>
        <v>28.099999999999909</v>
      </c>
      <c r="T36" s="6">
        <f>IF(E36=0,
0,
(G36-(F36*M36))+I36
)</f>
        <v>605</v>
      </c>
      <c r="U36" s="26">
        <f>COUNTIFS(Daten!H:H,C36,Daten!E:E,"BUY",Daten!L:L,"&lt;0")</f>
        <v>3</v>
      </c>
      <c r="V36" s="26">
        <f>COUNTIFS(Daten!H:H,C36,Daten!E:E,"SELL",Daten!L:L,"&lt;0")</f>
        <v>2</v>
      </c>
      <c r="W36" s="7">
        <f t="shared" si="5"/>
        <v>4.6446280991735388E-2</v>
      </c>
      <c r="X36" s="7">
        <f t="shared" si="2"/>
        <v>4.6446280991735388E-2</v>
      </c>
    </row>
    <row r="37" spans="1:24" x14ac:dyDescent="0.35">
      <c r="A37" s="9" t="s">
        <v>864</v>
      </c>
      <c r="B37" s="5" t="s">
        <v>32</v>
      </c>
      <c r="C37" s="5" t="s">
        <v>865</v>
      </c>
      <c r="D37" s="5">
        <f>SUMIFS(Daten!I:I,Daten!H:H,C37,Daten!E:E,"BUY")</f>
        <v>9.0826519999999995</v>
      </c>
      <c r="E37" s="5">
        <f>-SUMIFS(Daten!I:I,Daten!H:H,C37,Daten!E:E,"SELL")</f>
        <v>9.0826519999999995</v>
      </c>
      <c r="F37" s="5">
        <f t="shared" si="4"/>
        <v>0</v>
      </c>
      <c r="G37" s="6">
        <f>-SUMIFS(Daten!K:K,Daten!H:H,C37,Daten!E:E,"BUY")</f>
        <v>200</v>
      </c>
      <c r="H37" s="6">
        <f>SUMIFS(Daten!K:K,Daten!H:H,C37,Daten!E:E,"SELL")</f>
        <v>202.27</v>
      </c>
      <c r="I37" s="6">
        <f>SUMIFS(Daten!L:L,Daten!H:H,C37)*-1</f>
        <v>2</v>
      </c>
      <c r="J37" s="6">
        <f>-SUMIFS(Daten!M:M,Daten!E:E,"SELL",Daten!H:H,C37)</f>
        <v>0</v>
      </c>
      <c r="K37" s="6">
        <f t="shared" si="1"/>
        <v>0.27000000000001023</v>
      </c>
      <c r="L37" s="5" t="str">
        <f>IF(F37&gt;0,"OFFEN","GESCHLOSSEN")</f>
        <v>GESCHLOSSEN</v>
      </c>
      <c r="M37">
        <v>0</v>
      </c>
      <c r="N37">
        <v>0</v>
      </c>
      <c r="O37" s="21">
        <f>IF(L37="GESCHLOSSEN",
0,
IF(L37="OFFEN",
((N37*F37)-(M37*F37)),
""))</f>
        <v>0</v>
      </c>
      <c r="P37" s="6">
        <f>IF(F37&gt;0,F37*N37,0)</f>
        <v>0</v>
      </c>
      <c r="Q37" s="6">
        <f>IF(F37&gt;0,F37*M37,0)</f>
        <v>0</v>
      </c>
      <c r="R37" s="7">
        <f>IF(L37="GESCHLOSSEN",
0,
IF(L37="OFFEN",
(O37/(M37*F37))))</f>
        <v>0</v>
      </c>
      <c r="S37" s="6">
        <f>IF(L37="GESCHLOSSEN",
H37-G37-I37 + SUMIFS(Daten!K:K,Daten!H:H,C37,Daten!E:E,"DIVIDEND"),
IF(L37="OFFEN",
IF(E37=0,
0,
H37+SUMIFS(Daten!K:K,Daten!H:H,C37,Daten!E:E,"DIVIDEND")-(G37-(F37*M37))-I37
),
""))</f>
        <v>0.27000000000001023</v>
      </c>
      <c r="T37" s="6">
        <f>IF(E37=0,
0,
(G37-(F37*M37))+I37
)</f>
        <v>202</v>
      </c>
      <c r="U37" s="26">
        <f>COUNTIFS(Daten!H:H,C37,Daten!E:E,"BUY",Daten!L:L,"&lt;0")</f>
        <v>1</v>
      </c>
      <c r="V37" s="26">
        <f>COUNTIFS(Daten!H:H,C37,Daten!E:E,"SELL",Daten!L:L,"&lt;0")</f>
        <v>1</v>
      </c>
      <c r="W37" s="7">
        <f t="shared" si="5"/>
        <v>1.3366336633663873E-3</v>
      </c>
      <c r="X37" s="7">
        <f t="shared" si="2"/>
        <v>1.3366336633663873E-3</v>
      </c>
    </row>
    <row r="38" spans="1:24" x14ac:dyDescent="0.35">
      <c r="A38" s="9" t="s">
        <v>205</v>
      </c>
      <c r="B38" s="5" t="s">
        <v>32</v>
      </c>
      <c r="C38" s="5" t="s">
        <v>206</v>
      </c>
      <c r="D38" s="5">
        <f>SUMIFS(Daten!I:I,Daten!H:H,C38,Daten!E:E,"BUY")</f>
        <v>99.269513000000003</v>
      </c>
      <c r="E38" s="5">
        <f>-SUMIFS(Daten!I:I,Daten!H:H,C38,Daten!E:E,"SELL")</f>
        <v>99.269513000000003</v>
      </c>
      <c r="F38" s="5">
        <f t="shared" si="4"/>
        <v>0</v>
      </c>
      <c r="G38" s="6">
        <f>-SUMIFS(Daten!K:K,Daten!H:H,C38,Daten!E:E,"BUY")</f>
        <v>268</v>
      </c>
      <c r="H38" s="6">
        <f>SUMIFS(Daten!K:K,Daten!H:H,C38,Daten!E:E,"SELL")</f>
        <v>279.45</v>
      </c>
      <c r="I38" s="6">
        <f>SUMIFS(Daten!L:L,Daten!H:H,C38)*-1</f>
        <v>5</v>
      </c>
      <c r="J38" s="6">
        <f>-SUMIFS(Daten!M:M,Daten!E:E,"SELL",Daten!H:H,C38)</f>
        <v>0</v>
      </c>
      <c r="K38" s="6">
        <f t="shared" si="1"/>
        <v>6.4499999999999886</v>
      </c>
      <c r="L38" s="5" t="str">
        <f>IF(F38&gt;0,"OFFEN","GESCHLOSSEN")</f>
        <v>GESCHLOSSEN</v>
      </c>
      <c r="M38">
        <v>0</v>
      </c>
      <c r="N38">
        <v>0</v>
      </c>
      <c r="O38" s="21">
        <f>IF(L38="GESCHLOSSEN",
0,
IF(L38="OFFEN",
((N38*F38)-(M38*F38)),
""))</f>
        <v>0</v>
      </c>
      <c r="P38" s="6">
        <f>IF(F38&gt;0,F38*N38,0)</f>
        <v>0</v>
      </c>
      <c r="Q38" s="6">
        <f>IF(F38&gt;0,F38*M38,0)</f>
        <v>0</v>
      </c>
      <c r="R38" s="7">
        <f>IF(L38="GESCHLOSSEN",
0,
IF(L38="OFFEN",
(O38/(M38*F38))))</f>
        <v>0</v>
      </c>
      <c r="S38" s="6">
        <f>IF(L38="GESCHLOSSEN",
H38-G38-I38 + SUMIFS(Daten!K:K,Daten!H:H,C38,Daten!E:E,"DIVIDEND"),
IF(L38="OFFEN",
IF(E38=0,
0,
H38+SUMIFS(Daten!K:K,Daten!H:H,C38,Daten!E:E,"DIVIDEND")-(G38-(F38*M38))-I38
),
""))</f>
        <v>6.4499999999999886</v>
      </c>
      <c r="T38" s="6">
        <f>IF(E38=0,
0,
(G38-(F38*M38))+I38
)</f>
        <v>273</v>
      </c>
      <c r="U38" s="26">
        <f>COUNTIFS(Daten!H:H,C38,Daten!E:E,"BUY",Daten!L:L,"&lt;0")</f>
        <v>4</v>
      </c>
      <c r="V38" s="26">
        <f>COUNTIFS(Daten!H:H,C38,Daten!E:E,"SELL",Daten!L:L,"&lt;0")</f>
        <v>1</v>
      </c>
      <c r="W38" s="7">
        <f t="shared" si="5"/>
        <v>2.3626373626373584E-2</v>
      </c>
      <c r="X38" s="7">
        <f t="shared" si="2"/>
        <v>2.3626373626373584E-2</v>
      </c>
    </row>
    <row r="39" spans="1:24" x14ac:dyDescent="0.35">
      <c r="A39" s="9" t="s">
        <v>118</v>
      </c>
      <c r="B39" s="5" t="s">
        <v>64</v>
      </c>
      <c r="C39" s="5" t="s">
        <v>119</v>
      </c>
      <c r="D39" s="5">
        <f>SUMIFS(Daten!I:I,Daten!H:H,C39,Daten!E:E,"BUY")</f>
        <v>80.193626999999992</v>
      </c>
      <c r="E39" s="5">
        <f>-SUMIFS(Daten!I:I,Daten!H:H,C39,Daten!E:E,"SELL")</f>
        <v>0</v>
      </c>
      <c r="F39" s="5">
        <f t="shared" si="4"/>
        <v>80.193626999999992</v>
      </c>
      <c r="G39" s="6">
        <f>-SUMIFS(Daten!K:K,Daten!H:H,C39,Daten!E:E,"BUY")</f>
        <v>112.99</v>
      </c>
      <c r="H39" s="6">
        <f>SUMIFS(Daten!K:K,Daten!H:H,C39,Daten!E:E,"SELL")</f>
        <v>0</v>
      </c>
      <c r="I39" s="6">
        <f>SUMIFS(Daten!L:L,Daten!H:H,C39)*-1</f>
        <v>5</v>
      </c>
      <c r="J39" s="6">
        <f>-SUMIFS(Daten!M:M,Daten!E:E,"SELL",Daten!H:H,C39)</f>
        <v>0</v>
      </c>
      <c r="K39" s="6">
        <f t="shared" si="1"/>
        <v>-117.99</v>
      </c>
      <c r="L39" s="5" t="str">
        <f>IF(F39&gt;0,"OFFEN","GESCHLOSSEN")</f>
        <v>OFFEN</v>
      </c>
      <c r="M39">
        <v>1.4710000000000001</v>
      </c>
      <c r="N39">
        <v>1.0701600261592701</v>
      </c>
      <c r="O39" s="21">
        <f>IF(L39="GESCHLOSSEN",
0,
IF(L39="OFFEN",
((N39*F39)-(M39*F39)),
""))</f>
        <v>-32.144811348873247</v>
      </c>
      <c r="P39" s="6">
        <f>IF(F39&gt;0,F39*N39,0)</f>
        <v>85.820013968126744</v>
      </c>
      <c r="Q39" s="6">
        <f>IF(F39&gt;0,F39*M39,0)</f>
        <v>117.96482531699999</v>
      </c>
      <c r="R39" s="7">
        <f>IF(L39="GESCHLOSSEN",
0,
IF(L39="OFFEN",
(O39/(M39*F39))))</f>
        <v>-0.27249488364427593</v>
      </c>
      <c r="S39" s="6">
        <f>IF(L39="GESCHLOSSEN",
H39-G39-I39 + SUMIFS(Daten!K:K,Daten!H:H,C39,Daten!E:E,"DIVIDEND"),
IF(L39="OFFEN",
IF(E39=0,
0,
H39+SUMIFS(Daten!K:K,Daten!H:H,C39,Daten!E:E,"DIVIDEND")-(G39-(F39*M39))-I39
),
""))</f>
        <v>0</v>
      </c>
      <c r="T39" s="6">
        <f>IF(E39=0,
0,
(G39-(F39*M39))+I39
)</f>
        <v>0</v>
      </c>
      <c r="U39" s="26">
        <f>COUNTIFS(Daten!H:H,C39,Daten!E:E,"BUY",Daten!L:L,"&lt;0")</f>
        <v>5</v>
      </c>
      <c r="V39" s="26">
        <f>COUNTIFS(Daten!H:H,C39,Daten!E:E,"SELL",Daten!L:L,"&lt;0")</f>
        <v>0</v>
      </c>
      <c r="W39" s="7">
        <f t="shared" si="5"/>
        <v>0</v>
      </c>
      <c r="X39" s="7">
        <f t="shared" si="2"/>
        <v>-0.2847153379225883</v>
      </c>
    </row>
    <row r="40" spans="1:24" x14ac:dyDescent="0.35">
      <c r="A40" s="9" t="s">
        <v>355</v>
      </c>
      <c r="B40" s="5" t="s">
        <v>64</v>
      </c>
      <c r="C40" s="5" t="s">
        <v>356</v>
      </c>
      <c r="D40" s="5">
        <f>SUMIFS(Daten!I:I,Daten!H:H,C40,Daten!E:E,"BUY")</f>
        <v>223.93145699999999</v>
      </c>
      <c r="E40" s="5">
        <f>-SUMIFS(Daten!I:I,Daten!H:H,C40,Daten!E:E,"SELL")</f>
        <v>0</v>
      </c>
      <c r="F40" s="5">
        <f t="shared" si="4"/>
        <v>223.93145699999999</v>
      </c>
      <c r="G40" s="6">
        <f>-SUMIFS(Daten!K:K,Daten!H:H,C40,Daten!E:E,"BUY")</f>
        <v>23</v>
      </c>
      <c r="H40" s="6">
        <f>SUMIFS(Daten!K:K,Daten!H:H,C40,Daten!E:E,"SELL")</f>
        <v>0</v>
      </c>
      <c r="I40" s="6">
        <f>SUMIFS(Daten!L:L,Daten!H:H,C40)*-1</f>
        <v>1</v>
      </c>
      <c r="J40" s="6">
        <f>-SUMIFS(Daten!M:M,Daten!E:E,"SELL",Daten!H:H,C40)</f>
        <v>0</v>
      </c>
      <c r="K40" s="6">
        <f t="shared" si="1"/>
        <v>-24</v>
      </c>
      <c r="L40" s="5" t="str">
        <f>IF(F40&gt;0,"OFFEN","GESCHLOSSEN")</f>
        <v>OFFEN</v>
      </c>
      <c r="M40">
        <v>0.1072</v>
      </c>
      <c r="N40">
        <v>9.5895250594443301E-2</v>
      </c>
      <c r="O40" s="21">
        <f>IF(L40="GESCHLOSSEN",
0,
IF(L40="OFFEN",
((N40*F40)-(M40*F40)),
""))</f>
        <v>-2.5314890054061969</v>
      </c>
      <c r="P40" s="6">
        <f>IF(F40&gt;0,F40*N40,0)</f>
        <v>21.473963184993803</v>
      </c>
      <c r="Q40" s="6">
        <f>IF(F40&gt;0,F40*M40,0)</f>
        <v>24.0054521904</v>
      </c>
      <c r="R40" s="7">
        <f>IF(L40="GESCHLOSSEN",
0,
IF(L40="OFFEN",
(O40/(M40*F40))))</f>
        <v>-0.10545475191750658</v>
      </c>
      <c r="S40" s="6">
        <f>IF(L40="GESCHLOSSEN",
H40-G40-I40 + SUMIFS(Daten!K:K,Daten!H:H,C40,Daten!E:E,"DIVIDEND"),
IF(L40="OFFEN",
IF(E40=0,
0,
H40+SUMIFS(Daten!K:K,Daten!H:H,C40,Daten!E:E,"DIVIDEND")-(G40-(F40*M40))-I40
),
""))</f>
        <v>0</v>
      </c>
      <c r="T40" s="6">
        <f>IF(E40=0,
0,
(G40-(F40*M40))+I40
)</f>
        <v>0</v>
      </c>
      <c r="U40" s="26">
        <f>COUNTIFS(Daten!H:H,C40,Daten!E:E,"BUY",Daten!L:L,"&lt;0")</f>
        <v>1</v>
      </c>
      <c r="V40" s="26">
        <f>COUNTIFS(Daten!H:H,C40,Daten!E:E,"SELL",Daten!L:L,"&lt;0")</f>
        <v>0</v>
      </c>
      <c r="W40" s="7">
        <f t="shared" si="5"/>
        <v>0</v>
      </c>
      <c r="X40" s="7">
        <f t="shared" si="2"/>
        <v>-0.10982768760896509</v>
      </c>
    </row>
    <row r="41" spans="1:24" x14ac:dyDescent="0.35">
      <c r="A41" s="9" t="s">
        <v>955</v>
      </c>
      <c r="B41" s="5" t="s">
        <v>464</v>
      </c>
      <c r="C41" s="5" t="s">
        <v>956</v>
      </c>
      <c r="D41" s="5">
        <f>SUMIFS(Daten!I:I,Daten!H:H,C41,Daten!E:E,"BUY")</f>
        <v>14.728630000000001</v>
      </c>
      <c r="E41" s="5">
        <f>-SUMIFS(Daten!I:I,Daten!H:H,C41,Daten!E:E,"SELL")</f>
        <v>0</v>
      </c>
      <c r="F41" s="5">
        <f t="shared" si="4"/>
        <v>14.728630000000001</v>
      </c>
      <c r="G41" s="6">
        <f>-SUMIFS(Daten!K:K,Daten!H:H,C41,Daten!E:E,"BUY")</f>
        <v>399.95</v>
      </c>
      <c r="H41" s="6">
        <f>SUMIFS(Daten!K:K,Daten!H:H,C41,Daten!E:E,"SELL")</f>
        <v>0</v>
      </c>
      <c r="I41" s="6">
        <f>SUMIFS(Daten!L:L,Daten!H:H,C41)*-1</f>
        <v>3</v>
      </c>
      <c r="J41" s="6">
        <f>-SUMIFS(Daten!M:M,Daten!E:E,"SELL",Daten!H:H,C41)</f>
        <v>0</v>
      </c>
      <c r="K41" s="6">
        <f t="shared" si="1"/>
        <v>-402.95</v>
      </c>
      <c r="L41" s="5" t="str">
        <f>IF(F41&gt;0,"OFFEN","GESCHLOSSEN")</f>
        <v>OFFEN</v>
      </c>
      <c r="M41">
        <v>27.36</v>
      </c>
      <c r="N41">
        <v>26.2</v>
      </c>
      <c r="O41" s="21">
        <f>IF(L41="GESCHLOSSEN",
0,
IF(L41="OFFEN",
((N41*F41)-(M41*F41)),
""))</f>
        <v>-17.085210800000027</v>
      </c>
      <c r="P41" s="6">
        <f>IF(F41&gt;0,F41*N41,0)</f>
        <v>385.890106</v>
      </c>
      <c r="Q41" s="6">
        <f>IF(F41&gt;0,F41*M41,0)</f>
        <v>402.97531680000003</v>
      </c>
      <c r="R41" s="7">
        <f>IF(L41="GESCHLOSSEN",
0,
IF(L41="OFFEN",
(O41/(M41*F41))))</f>
        <v>-4.2397660818713517E-2</v>
      </c>
      <c r="S41" s="6">
        <f>IF(L41="GESCHLOSSEN",
H41-G41-I41 + SUMIFS(Daten!K:K,Daten!H:H,C41,Daten!E:E,"DIVIDEND"),
IF(L41="OFFEN",
IF(E41=0,
0,
H41+SUMIFS(Daten!K:K,Daten!H:H,C41,Daten!E:E,"DIVIDEND")-(G41-(F41*M41))-I41
),
""))</f>
        <v>0</v>
      </c>
      <c r="T41" s="6">
        <f>IF(E41=0,
0,
(G41-(F41*M41))+I41
)</f>
        <v>0</v>
      </c>
      <c r="U41" s="26">
        <f>COUNTIFS(Daten!H:H,C41,Daten!E:E,"BUY",Daten!L:L,"&lt;0")</f>
        <v>3</v>
      </c>
      <c r="V41" s="26">
        <f>COUNTIFS(Daten!H:H,C41,Daten!E:E,"SELL",Daten!L:L,"&lt;0")</f>
        <v>0</v>
      </c>
      <c r="W41" s="7">
        <f t="shared" si="5"/>
        <v>0</v>
      </c>
      <c r="X41" s="7">
        <f t="shared" si="2"/>
        <v>-4.2655066883360383E-2</v>
      </c>
    </row>
    <row r="42" spans="1:24" x14ac:dyDescent="0.35">
      <c r="A42" s="9" t="s">
        <v>348</v>
      </c>
      <c r="B42" s="5" t="s">
        <v>32</v>
      </c>
      <c r="C42" s="5" t="s">
        <v>349</v>
      </c>
      <c r="D42" s="5">
        <f>SUMIFS(Daten!I:I,Daten!H:H,C42,Daten!E:E,"BUY")</f>
        <v>28.343948999999999</v>
      </c>
      <c r="E42" s="5">
        <f>-SUMIFS(Daten!I:I,Daten!H:H,C42,Daten!E:E,"SELL")</f>
        <v>28.343948999999999</v>
      </c>
      <c r="F42" s="5">
        <f t="shared" si="4"/>
        <v>0</v>
      </c>
      <c r="G42" s="6">
        <f>-SUMIFS(Daten!K:K,Daten!H:H,C42,Daten!E:E,"BUY")</f>
        <v>89</v>
      </c>
      <c r="H42" s="6">
        <f>SUMIFS(Daten!K:K,Daten!H:H,C42,Daten!E:E,"SELL")</f>
        <v>108.83999999999999</v>
      </c>
      <c r="I42" s="6">
        <f>SUMIFS(Daten!L:L,Daten!H:H,C42)*-1</f>
        <v>2</v>
      </c>
      <c r="J42" s="6">
        <f>-SUMIFS(Daten!M:M,Daten!E:E,"SELL",Daten!H:H,C42)</f>
        <v>0</v>
      </c>
      <c r="K42" s="6">
        <f t="shared" si="1"/>
        <v>17.839999999999989</v>
      </c>
      <c r="L42" s="5" t="str">
        <f>IF(F42&gt;0,"OFFEN","GESCHLOSSEN")</f>
        <v>GESCHLOSSEN</v>
      </c>
      <c r="M42">
        <v>0</v>
      </c>
      <c r="N42">
        <v>0</v>
      </c>
      <c r="O42" s="21">
        <f>IF(L42="GESCHLOSSEN",
0,
IF(L42="OFFEN",
((N42*F42)-(M42*F42)),
""))</f>
        <v>0</v>
      </c>
      <c r="P42" s="6">
        <f>IF(F42&gt;0,F42*N42,0)</f>
        <v>0</v>
      </c>
      <c r="Q42" s="6">
        <f>IF(F42&gt;0,F42*M42,0)</f>
        <v>0</v>
      </c>
      <c r="R42" s="7">
        <f>IF(L42="GESCHLOSSEN",
0,
IF(L42="OFFEN",
(O42/(M42*F42))))</f>
        <v>0</v>
      </c>
      <c r="S42" s="6">
        <f>IF(L42="GESCHLOSSEN",
H42-G42-I42 + SUMIFS(Daten!K:K,Daten!H:H,C42,Daten!E:E,"DIVIDEND"),
IF(L42="OFFEN",
IF(E42=0,
0,
H42+SUMIFS(Daten!K:K,Daten!H:H,C42,Daten!E:E,"DIVIDEND")-(G42-(F42*M42))-I42
),
""))</f>
        <v>17.839999999999989</v>
      </c>
      <c r="T42" s="6">
        <f>IF(E42=0,
0,
(G42-(F42*M42))+I42
)</f>
        <v>91</v>
      </c>
      <c r="U42" s="26">
        <f>COUNTIFS(Daten!H:H,C42,Daten!E:E,"BUY",Daten!L:L,"&lt;0")</f>
        <v>1</v>
      </c>
      <c r="V42" s="26">
        <f>COUNTIFS(Daten!H:H,C42,Daten!E:E,"SELL",Daten!L:L,"&lt;0")</f>
        <v>1</v>
      </c>
      <c r="W42" s="7">
        <f t="shared" si="5"/>
        <v>0.19604395604395591</v>
      </c>
      <c r="X42" s="7">
        <f t="shared" si="2"/>
        <v>0.19604395604395591</v>
      </c>
    </row>
    <row r="43" spans="1:24" x14ac:dyDescent="0.35">
      <c r="A43" s="9" t="s">
        <v>328</v>
      </c>
      <c r="B43" s="5" t="s">
        <v>32</v>
      </c>
      <c r="C43" s="5" t="s">
        <v>329</v>
      </c>
      <c r="D43" s="5">
        <f>SUMIFS(Daten!I:I,Daten!H:H,C43,Daten!E:E,"BUY")</f>
        <v>14.265129</v>
      </c>
      <c r="E43" s="5">
        <f>-SUMIFS(Daten!I:I,Daten!H:H,C43,Daten!E:E,"SELL")</f>
        <v>14.265129</v>
      </c>
      <c r="F43" s="5">
        <f t="shared" si="4"/>
        <v>0</v>
      </c>
      <c r="G43" s="6">
        <f>-SUMIFS(Daten!K:K,Daten!H:H,C43,Daten!E:E,"BUY")</f>
        <v>98.71</v>
      </c>
      <c r="H43" s="6">
        <f>SUMIFS(Daten!K:K,Daten!H:H,C43,Daten!E:E,"SELL")</f>
        <v>145.5</v>
      </c>
      <c r="I43" s="6">
        <f>SUMIFS(Daten!L:L,Daten!H:H,C43)*-1</f>
        <v>2</v>
      </c>
      <c r="J43" s="6">
        <f>-SUMIFS(Daten!M:M,Daten!E:E,"SELL",Daten!H:H,C43)</f>
        <v>0</v>
      </c>
      <c r="K43" s="6">
        <f t="shared" si="1"/>
        <v>44.790000000000006</v>
      </c>
      <c r="L43" s="5" t="str">
        <f>IF(F43&gt;0,"OFFEN","GESCHLOSSEN")</f>
        <v>GESCHLOSSEN</v>
      </c>
      <c r="M43">
        <v>0</v>
      </c>
      <c r="N43">
        <v>0</v>
      </c>
      <c r="O43" s="21">
        <f>IF(L43="GESCHLOSSEN",
0,
IF(L43="OFFEN",
((N43*F43)-(M43*F43)),
""))</f>
        <v>0</v>
      </c>
      <c r="P43" s="6">
        <f>IF(F43&gt;0,F43*N43,0)</f>
        <v>0</v>
      </c>
      <c r="Q43" s="6">
        <f>IF(F43&gt;0,F43*M43,0)</f>
        <v>0</v>
      </c>
      <c r="R43" s="7">
        <f>IF(L43="GESCHLOSSEN",
0,
IF(L43="OFFEN",
(O43/(M43*F43))))</f>
        <v>0</v>
      </c>
      <c r="S43" s="6">
        <f>IF(L43="GESCHLOSSEN",
H43-G43-I43 + SUMIFS(Daten!K:K,Daten!H:H,C43,Daten!E:E,"DIVIDEND"),
IF(L43="OFFEN",
IF(E43=0,
0,
H43+SUMIFS(Daten!K:K,Daten!H:H,C43,Daten!E:E,"DIVIDEND")-(G43-(F43*M43))-I43
),
""))</f>
        <v>44.790000000000006</v>
      </c>
      <c r="T43" s="6">
        <f>IF(E43=0,
0,
(G43-(F43*M43))+I43
)</f>
        <v>100.71</v>
      </c>
      <c r="U43" s="26">
        <f>COUNTIFS(Daten!H:H,C43,Daten!E:E,"BUY",Daten!L:L,"&lt;0")</f>
        <v>1</v>
      </c>
      <c r="V43" s="26">
        <f>COUNTIFS(Daten!H:H,C43,Daten!E:E,"SELL",Daten!L:L,"&lt;0")</f>
        <v>1</v>
      </c>
      <c r="W43" s="7">
        <f t="shared" si="5"/>
        <v>0.4447423294608282</v>
      </c>
      <c r="X43" s="7">
        <f t="shared" si="2"/>
        <v>0.4447423294608282</v>
      </c>
    </row>
    <row r="44" spans="1:24" x14ac:dyDescent="0.35">
      <c r="A44" s="9" t="s">
        <v>114</v>
      </c>
      <c r="B44" s="5" t="s">
        <v>64</v>
      </c>
      <c r="C44" s="5" t="s">
        <v>115</v>
      </c>
      <c r="D44" s="5">
        <f>SUMIFS(Daten!I:I,Daten!H:H,C44,Daten!E:E,"BUY")</f>
        <v>24.9</v>
      </c>
      <c r="E44" s="5">
        <f>-SUMIFS(Daten!I:I,Daten!H:H,C44,Daten!E:E,"SELL")</f>
        <v>0</v>
      </c>
      <c r="F44" s="5">
        <f t="shared" si="4"/>
        <v>24.9</v>
      </c>
      <c r="G44" s="6">
        <f>-SUMIFS(Daten!K:K,Daten!H:H,C44,Daten!E:E,"BUY")</f>
        <v>55.97</v>
      </c>
      <c r="H44" s="6">
        <f>SUMIFS(Daten!K:K,Daten!H:H,C44,Daten!E:E,"SELL")</f>
        <v>0</v>
      </c>
      <c r="I44" s="6">
        <f>SUMIFS(Daten!L:L,Daten!H:H,C44)*-1</f>
        <v>3</v>
      </c>
      <c r="J44" s="6">
        <f>-SUMIFS(Daten!M:M,Daten!E:E,"SELL",Daten!H:H,C44)</f>
        <v>0</v>
      </c>
      <c r="K44" s="6">
        <f t="shared" si="1"/>
        <v>-58.97</v>
      </c>
      <c r="L44" s="5" t="str">
        <f>IF(F44&gt;0,"OFFEN","GESCHLOSSEN")</f>
        <v>OFFEN</v>
      </c>
      <c r="M44">
        <v>2.37</v>
      </c>
      <c r="N44">
        <v>1.76398041299783</v>
      </c>
      <c r="O44" s="21">
        <f>IF(L44="GESCHLOSSEN",
0,
IF(L44="OFFEN",
((N44*F44)-(M44*F44)),
""))</f>
        <v>-15.089887716354035</v>
      </c>
      <c r="P44" s="6">
        <f>IF(F44&gt;0,F44*N44,0)</f>
        <v>43.923112283645963</v>
      </c>
      <c r="Q44" s="6">
        <f>IF(F44&gt;0,F44*M44,0)</f>
        <v>59.012999999999998</v>
      </c>
      <c r="R44" s="7">
        <f>IF(L44="GESCHLOSSEN",
0,
IF(L44="OFFEN",
(O44/(M44*F44))))</f>
        <v>-0.25570446708952327</v>
      </c>
      <c r="S44" s="6">
        <f>IF(L44="GESCHLOSSEN",
H44-G44-I44 + SUMIFS(Daten!K:K,Daten!H:H,C44,Daten!E:E,"DIVIDEND"),
IF(L44="OFFEN",
IF(E44=0,
0,
H44+SUMIFS(Daten!K:K,Daten!H:H,C44,Daten!E:E,"DIVIDEND")-(G44-(F44*M44))-I44
),
""))</f>
        <v>0</v>
      </c>
      <c r="T44" s="6">
        <f>IF(E44=0,
0,
(G44-(F44*M44))+I44
)</f>
        <v>0</v>
      </c>
      <c r="U44" s="26">
        <f>COUNTIFS(Daten!H:H,C44,Daten!E:E,"BUY",Daten!L:L,"&lt;0")</f>
        <v>3</v>
      </c>
      <c r="V44" s="26">
        <f>COUNTIFS(Daten!H:H,C44,Daten!E:E,"SELL",Daten!L:L,"&lt;0")</f>
        <v>0</v>
      </c>
      <c r="W44" s="7">
        <f t="shared" si="5"/>
        <v>0</v>
      </c>
      <c r="X44" s="7">
        <f t="shared" si="2"/>
        <v>-0.26883844410137636</v>
      </c>
    </row>
    <row r="45" spans="1:24" x14ac:dyDescent="0.35">
      <c r="A45" s="9" t="s">
        <v>89</v>
      </c>
      <c r="B45" s="5" t="s">
        <v>32</v>
      </c>
      <c r="C45" s="5" t="s">
        <v>90</v>
      </c>
      <c r="D45" s="5">
        <f>SUMIFS(Daten!I:I,Daten!H:H,C45,Daten!E:E,"BUY")</f>
        <v>1.1348940000000001</v>
      </c>
      <c r="E45" s="5">
        <f>-SUMIFS(Daten!I:I,Daten!H:H,C45,Daten!E:E,"SELL")</f>
        <v>1.1348940000000001</v>
      </c>
      <c r="F45" s="5">
        <f t="shared" si="4"/>
        <v>0</v>
      </c>
      <c r="G45" s="6">
        <f>-SUMIFS(Daten!K:K,Daten!H:H,C45,Daten!E:E,"BUY")</f>
        <v>79</v>
      </c>
      <c r="H45" s="6">
        <f>SUMIFS(Daten!K:K,Daten!H:H,C45,Daten!E:E,"SELL")</f>
        <v>88.28</v>
      </c>
      <c r="I45" s="6">
        <f>SUMIFS(Daten!L:L,Daten!H:H,C45)*-1</f>
        <v>2</v>
      </c>
      <c r="J45" s="6">
        <f>-SUMIFS(Daten!M:M,Daten!E:E,"SELL",Daten!H:H,C45)</f>
        <v>1.92</v>
      </c>
      <c r="K45" s="6">
        <f t="shared" si="1"/>
        <v>5.3600000000000012</v>
      </c>
      <c r="L45" s="5" t="str">
        <f>IF(F45&gt;0,"OFFEN","GESCHLOSSEN")</f>
        <v>GESCHLOSSEN</v>
      </c>
      <c r="M45">
        <v>0</v>
      </c>
      <c r="N45">
        <v>0</v>
      </c>
      <c r="O45" s="21">
        <f>IF(L45="GESCHLOSSEN",
0,
IF(L45="OFFEN",
((N45*F45)-(M45*F45)),
""))</f>
        <v>0</v>
      </c>
      <c r="P45" s="6">
        <f>IF(F45&gt;0,F45*N45,0)</f>
        <v>0</v>
      </c>
      <c r="Q45" s="6">
        <f>IF(F45&gt;0,F45*M45,0)</f>
        <v>0</v>
      </c>
      <c r="R45" s="7">
        <f>IF(L45="GESCHLOSSEN",
0,
IF(L45="OFFEN",
(O45/(M45*F45))))</f>
        <v>0</v>
      </c>
      <c r="S45" s="6">
        <f>IF(L45="GESCHLOSSEN",
H45-G45-I45 + SUMIFS(Daten!K:K,Daten!H:H,C45,Daten!E:E,"DIVIDEND"),
IF(L45="OFFEN",
IF(E45=0,
0,
H45+SUMIFS(Daten!K:K,Daten!H:H,C45,Daten!E:E,"DIVIDEND")-(G45-(F45*M45))-I45
),
""))</f>
        <v>7.2800000000000011</v>
      </c>
      <c r="T45" s="6">
        <f>IF(E45=0,
0,
(G45-(F45*M45))+I45
)</f>
        <v>81</v>
      </c>
      <c r="U45" s="26">
        <f>COUNTIFS(Daten!H:H,C45,Daten!E:E,"BUY",Daten!L:L,"&lt;0")</f>
        <v>1</v>
      </c>
      <c r="V45" s="26">
        <f>COUNTIFS(Daten!H:H,C45,Daten!E:E,"SELL",Daten!L:L,"&lt;0")</f>
        <v>1</v>
      </c>
      <c r="W45" s="7">
        <f t="shared" si="5"/>
        <v>8.9876543209876564E-2</v>
      </c>
      <c r="X45" s="7">
        <f t="shared" si="2"/>
        <v>6.6172839506172851E-2</v>
      </c>
    </row>
    <row r="46" spans="1:24" x14ac:dyDescent="0.35">
      <c r="A46" s="9" t="s">
        <v>101</v>
      </c>
      <c r="B46" s="5" t="s">
        <v>32</v>
      </c>
      <c r="C46" s="5" t="s">
        <v>102</v>
      </c>
      <c r="D46" s="5">
        <f>SUMIFS(Daten!I:I,Daten!H:H,C46,Daten!E:E,"BUY")</f>
        <v>1.3683320000000001</v>
      </c>
      <c r="E46" s="5">
        <f>-SUMIFS(Daten!I:I,Daten!H:H,C46,Daten!E:E,"SELL")</f>
        <v>1.3683320000000001</v>
      </c>
      <c r="F46" s="5">
        <f t="shared" si="4"/>
        <v>0</v>
      </c>
      <c r="G46" s="6">
        <f>-SUMIFS(Daten!K:K,Daten!H:H,C46,Daten!E:E,"BUY")</f>
        <v>49</v>
      </c>
      <c r="H46" s="6">
        <f>SUMIFS(Daten!K:K,Daten!H:H,C46,Daten!E:E,"SELL")</f>
        <v>53.47</v>
      </c>
      <c r="I46" s="6">
        <f>SUMIFS(Daten!L:L,Daten!H:H,C46)*-1</f>
        <v>2</v>
      </c>
      <c r="J46" s="6">
        <f>-SUMIFS(Daten!M:M,Daten!E:E,"SELL",Daten!H:H,C46)</f>
        <v>0.64</v>
      </c>
      <c r="K46" s="6">
        <f t="shared" si="1"/>
        <v>1.8299999999999987</v>
      </c>
      <c r="L46" s="5" t="str">
        <f>IF(F46&gt;0,"OFFEN","GESCHLOSSEN")</f>
        <v>GESCHLOSSEN</v>
      </c>
      <c r="M46">
        <v>0</v>
      </c>
      <c r="N46">
        <v>0</v>
      </c>
      <c r="O46" s="21">
        <f>IF(L46="GESCHLOSSEN",
0,
IF(L46="OFFEN",
((N46*F46)-(M46*F46)),
""))</f>
        <v>0</v>
      </c>
      <c r="P46" s="6">
        <f>IF(F46&gt;0,F46*N46,0)</f>
        <v>0</v>
      </c>
      <c r="Q46" s="6">
        <f>IF(F46&gt;0,F46*M46,0)</f>
        <v>0</v>
      </c>
      <c r="R46" s="7">
        <f>IF(L46="GESCHLOSSEN",
0,
IF(L46="OFFEN",
(O46/(M46*F46))))</f>
        <v>0</v>
      </c>
      <c r="S46" s="6">
        <f>IF(L46="GESCHLOSSEN",
H46-G46-I46 + SUMIFS(Daten!K:K,Daten!H:H,C46,Daten!E:E,"DIVIDEND"),
IF(L46="OFFEN",
IF(E46=0,
0,
H46+SUMIFS(Daten!K:K,Daten!H:H,C46,Daten!E:E,"DIVIDEND")-(G46-(F46*M46))-I46
),
""))</f>
        <v>2.4699999999999989</v>
      </c>
      <c r="T46" s="6">
        <f>IF(E46=0,
0,
(G46-(F46*M46))+I46
)</f>
        <v>51</v>
      </c>
      <c r="U46" s="26">
        <f>COUNTIFS(Daten!H:H,C46,Daten!E:E,"BUY",Daten!L:L,"&lt;0")</f>
        <v>1</v>
      </c>
      <c r="V46" s="26">
        <f>COUNTIFS(Daten!H:H,C46,Daten!E:E,"SELL",Daten!L:L,"&lt;0")</f>
        <v>1</v>
      </c>
      <c r="W46" s="7">
        <f t="shared" si="5"/>
        <v>4.8431372549019587E-2</v>
      </c>
      <c r="X46" s="7">
        <f t="shared" si="2"/>
        <v>3.5882352941176449E-2</v>
      </c>
    </row>
    <row r="47" spans="1:24" x14ac:dyDescent="0.35">
      <c r="A47" s="9" t="s">
        <v>994</v>
      </c>
      <c r="B47" s="5" t="s">
        <v>464</v>
      </c>
      <c r="C47" s="5" t="s">
        <v>995</v>
      </c>
      <c r="D47" s="5">
        <f>SUMIFS(Daten!I:I,Daten!H:H,C47,Daten!E:E,"BUY")</f>
        <v>7.237006</v>
      </c>
      <c r="E47" s="5">
        <f>-SUMIFS(Daten!I:I,Daten!H:H,C47,Daten!E:E,"SELL")</f>
        <v>7.237006</v>
      </c>
      <c r="F47" s="5">
        <f t="shared" si="4"/>
        <v>0</v>
      </c>
      <c r="G47" s="6">
        <f>-SUMIFS(Daten!K:K,Daten!H:H,C47,Daten!E:E,"BUY")</f>
        <v>693.54</v>
      </c>
      <c r="H47" s="6">
        <f>SUMIFS(Daten!K:K,Daten!H:H,C47,Daten!E:E,"SELL")</f>
        <v>756.62</v>
      </c>
      <c r="I47" s="6">
        <f>SUMIFS(Daten!L:L,Daten!H:H,C47)*-1</f>
        <v>4</v>
      </c>
      <c r="J47" s="6">
        <f>-SUMIFS(Daten!M:M,Daten!E:E,"SELL",Daten!H:H,C47)</f>
        <v>10.210000000000001</v>
      </c>
      <c r="K47" s="6">
        <f t="shared" si="1"/>
        <v>48.87000000000004</v>
      </c>
      <c r="L47" s="5" t="str">
        <f>IF(F47&gt;0,"OFFEN","GESCHLOSSEN")</f>
        <v>GESCHLOSSEN</v>
      </c>
      <c r="M47">
        <v>0</v>
      </c>
      <c r="N47">
        <v>0</v>
      </c>
      <c r="O47" s="21">
        <f>IF(L47="GESCHLOSSEN",
0,
IF(L47="OFFEN",
((N47*F47)-(M47*F47)),
""))</f>
        <v>0</v>
      </c>
      <c r="P47" s="6">
        <f>IF(F47&gt;0,F47*N47,0)</f>
        <v>0</v>
      </c>
      <c r="Q47" s="6">
        <f>IF(F47&gt;0,F47*M47,0)</f>
        <v>0</v>
      </c>
      <c r="R47" s="7">
        <f>IF(L47="GESCHLOSSEN",
0,
IF(L47="OFFEN",
(O47/(M47*F47))))</f>
        <v>0</v>
      </c>
      <c r="S47" s="6">
        <f>IF(L47="GESCHLOSSEN",
H47-G47-I47 + SUMIFS(Daten!K:K,Daten!H:H,C47,Daten!E:E,"DIVIDEND"),
IF(L47="OFFEN",
IF(E47=0,
0,
H47+SUMIFS(Daten!K:K,Daten!H:H,C47,Daten!E:E,"DIVIDEND")-(G47-(F47*M47))-I47
),
""))</f>
        <v>59.080000000000041</v>
      </c>
      <c r="T47" s="6">
        <f>IF(E47=0,
0,
(G47-(F47*M47))+I47
)</f>
        <v>697.54</v>
      </c>
      <c r="U47" s="26">
        <f>COUNTIFS(Daten!H:H,C47,Daten!E:E,"BUY",Daten!L:L,"&lt;0")</f>
        <v>2</v>
      </c>
      <c r="V47" s="26">
        <f>COUNTIFS(Daten!H:H,C47,Daten!E:E,"SELL",Daten!L:L,"&lt;0")</f>
        <v>2</v>
      </c>
      <c r="W47" s="7">
        <f t="shared" si="5"/>
        <v>8.4697651747570102E-2</v>
      </c>
      <c r="X47" s="7">
        <f t="shared" si="2"/>
        <v>7.0060498322676898E-2</v>
      </c>
    </row>
    <row r="48" spans="1:24" x14ac:dyDescent="0.35">
      <c r="A48" s="9" t="s">
        <v>47</v>
      </c>
      <c r="B48" s="5" t="s">
        <v>32</v>
      </c>
      <c r="C48" s="5" t="s">
        <v>48</v>
      </c>
      <c r="D48" s="5">
        <f>SUMIFS(Daten!I:I,Daten!H:H,C48,Daten!E:E,"BUY")</f>
        <v>1.0174080000000001</v>
      </c>
      <c r="E48" s="5">
        <f>-SUMIFS(Daten!I:I,Daten!H:H,C48,Daten!E:E,"SELL")</f>
        <v>1.0174080000000001</v>
      </c>
      <c r="F48" s="5">
        <f t="shared" si="4"/>
        <v>0</v>
      </c>
      <c r="G48" s="6">
        <f>-SUMIFS(Daten!K:K,Daten!H:H,C48,Daten!E:E,"BUY")</f>
        <v>90</v>
      </c>
      <c r="H48" s="6">
        <f>SUMIFS(Daten!K:K,Daten!H:H,C48,Daten!E:E,"SELL")</f>
        <v>100.19</v>
      </c>
      <c r="I48" s="6">
        <f>SUMIFS(Daten!L:L,Daten!H:H,C48)*-1</f>
        <v>2</v>
      </c>
      <c r="J48" s="6">
        <f>-SUMIFS(Daten!M:M,Daten!E:E,"SELL",Daten!H:H,C48)</f>
        <v>2.16</v>
      </c>
      <c r="K48" s="6">
        <f t="shared" si="1"/>
        <v>6.0299999999999976</v>
      </c>
      <c r="L48" s="5" t="str">
        <f>IF(F48&gt;0,"OFFEN","GESCHLOSSEN")</f>
        <v>GESCHLOSSEN</v>
      </c>
      <c r="M48">
        <v>0</v>
      </c>
      <c r="N48">
        <v>0</v>
      </c>
      <c r="O48" s="21">
        <f>IF(L48="GESCHLOSSEN",
0,
IF(L48="OFFEN",
((N48*F48)-(M48*F48)),
""))</f>
        <v>0</v>
      </c>
      <c r="P48" s="6">
        <f>IF(F48&gt;0,F48*N48,0)</f>
        <v>0</v>
      </c>
      <c r="Q48" s="6">
        <f>IF(F48&gt;0,F48*M48,0)</f>
        <v>0</v>
      </c>
      <c r="R48" s="7">
        <f>IF(L48="GESCHLOSSEN",
0,
IF(L48="OFFEN",
(O48/(M48*F48))))</f>
        <v>0</v>
      </c>
      <c r="S48" s="6">
        <f>IF(L48="GESCHLOSSEN",
H48-G48-I48 + SUMIFS(Daten!K:K,Daten!H:H,C48,Daten!E:E,"DIVIDEND"),
IF(L48="OFFEN",
IF(E48=0,
0,
H48+SUMIFS(Daten!K:K,Daten!H:H,C48,Daten!E:E,"DIVIDEND")-(G48-(F48*M48))-I48
),
""))</f>
        <v>8.1899999999999977</v>
      </c>
      <c r="T48" s="6">
        <f>IF(E48=0,
0,
(G48-(F48*M48))+I48
)</f>
        <v>92</v>
      </c>
      <c r="U48" s="26">
        <f>COUNTIFS(Daten!H:H,C48,Daten!E:E,"BUY",Daten!L:L,"&lt;0")</f>
        <v>1</v>
      </c>
      <c r="V48" s="26">
        <f>COUNTIFS(Daten!H:H,C48,Daten!E:E,"SELL",Daten!L:L,"&lt;0")</f>
        <v>1</v>
      </c>
      <c r="W48" s="7">
        <f t="shared" si="5"/>
        <v>8.9021739130434763E-2</v>
      </c>
      <c r="X48" s="7">
        <f t="shared" si="2"/>
        <v>6.5543478260869537E-2</v>
      </c>
    </row>
    <row r="49" spans="1:24" x14ac:dyDescent="0.35">
      <c r="A49" s="9" t="s">
        <v>123</v>
      </c>
      <c r="B49" s="5" t="s">
        <v>32</v>
      </c>
      <c r="C49" s="5" t="s">
        <v>124</v>
      </c>
      <c r="D49" s="5">
        <f>SUMIFS(Daten!I:I,Daten!H:H,C49,Daten!E:E,"BUY")</f>
        <v>2</v>
      </c>
      <c r="E49" s="5">
        <f>-SUMIFS(Daten!I:I,Daten!H:H,C49,Daten!E:E,"SELL")</f>
        <v>2</v>
      </c>
      <c r="F49" s="5">
        <f t="shared" si="4"/>
        <v>0</v>
      </c>
      <c r="G49" s="6">
        <f>-SUMIFS(Daten!K:K,Daten!H:H,C49,Daten!E:E,"BUY")</f>
        <v>80</v>
      </c>
      <c r="H49" s="6">
        <f>SUMIFS(Daten!K:K,Daten!H:H,C49,Daten!E:E,"SELL")</f>
        <v>92.300000000000011</v>
      </c>
      <c r="I49" s="6">
        <f>SUMIFS(Daten!L:L,Daten!H:H,C49)*-1</f>
        <v>3</v>
      </c>
      <c r="J49" s="6">
        <f>-SUMIFS(Daten!M:M,Daten!E:E,"SELL",Daten!H:H,C49)</f>
        <v>2.2000000000000002</v>
      </c>
      <c r="K49" s="6">
        <f t="shared" si="1"/>
        <v>7.1000000000000112</v>
      </c>
      <c r="L49" s="5" t="str">
        <f>IF(F49&gt;0,"OFFEN","GESCHLOSSEN")</f>
        <v>GESCHLOSSEN</v>
      </c>
      <c r="M49">
        <v>0</v>
      </c>
      <c r="N49">
        <v>0</v>
      </c>
      <c r="O49" s="21">
        <f>IF(L49="GESCHLOSSEN",
0,
IF(L49="OFFEN",
((N49*F49)-(M49*F49)),
""))</f>
        <v>0</v>
      </c>
      <c r="P49" s="6">
        <f>IF(F49&gt;0,F49*N49,0)</f>
        <v>0</v>
      </c>
      <c r="Q49" s="6">
        <f>IF(F49&gt;0,F49*M49,0)</f>
        <v>0</v>
      </c>
      <c r="R49" s="7">
        <f>IF(L49="GESCHLOSSEN",
0,
IF(L49="OFFEN",
(O49/(M49*F49))))</f>
        <v>0</v>
      </c>
      <c r="S49" s="6">
        <f>IF(L49="GESCHLOSSEN",
H49-G49-I49 + SUMIFS(Daten!K:K,Daten!H:H,C49,Daten!E:E,"DIVIDEND"),
IF(L49="OFFEN",
IF(E49=0,
0,
H49+SUMIFS(Daten!K:K,Daten!H:H,C49,Daten!E:E,"DIVIDEND")-(G49-(F49*M49))-I49
),
""))</f>
        <v>9.3000000000000114</v>
      </c>
      <c r="T49" s="6">
        <f>IF(E49=0,
0,
(G49-(F49*M49))+I49
)</f>
        <v>83</v>
      </c>
      <c r="U49" s="26">
        <f>COUNTIFS(Daten!H:H,C49,Daten!E:E,"BUY",Daten!L:L,"&lt;0")</f>
        <v>1</v>
      </c>
      <c r="V49" s="26">
        <f>COUNTIFS(Daten!H:H,C49,Daten!E:E,"SELL",Daten!L:L,"&lt;0")</f>
        <v>2</v>
      </c>
      <c r="W49" s="7">
        <f t="shared" si="5"/>
        <v>0.11204819277108448</v>
      </c>
      <c r="X49" s="7">
        <f t="shared" si="2"/>
        <v>8.5542168674698923E-2</v>
      </c>
    </row>
    <row r="50" spans="1:24" x14ac:dyDescent="0.35">
      <c r="A50" s="9" t="s">
        <v>65</v>
      </c>
      <c r="B50" s="5" t="s">
        <v>64</v>
      </c>
      <c r="C50" s="5" t="s">
        <v>66</v>
      </c>
      <c r="D50" s="5">
        <f>SUMIFS(Daten!I:I,Daten!H:H,C50,Daten!E:E,"BUY")</f>
        <v>12.108418</v>
      </c>
      <c r="E50" s="5">
        <f>-SUMIFS(Daten!I:I,Daten!H:H,C50,Daten!E:E,"SELL")</f>
        <v>9.1084180000000003</v>
      </c>
      <c r="F50" s="5">
        <f t="shared" si="4"/>
        <v>3</v>
      </c>
      <c r="G50" s="6">
        <f>-SUMIFS(Daten!K:K,Daten!H:H,C50,Daten!E:E,"BUY")</f>
        <v>1062.25</v>
      </c>
      <c r="H50" s="6">
        <f>SUMIFS(Daten!K:K,Daten!H:H,C50,Daten!E:E,"SELL")</f>
        <v>860.56000000000006</v>
      </c>
      <c r="I50" s="6">
        <f>SUMIFS(Daten!L:L,Daten!H:H,C50)*-1</f>
        <v>11</v>
      </c>
      <c r="J50" s="6">
        <f>-SUMIFS(Daten!M:M,Daten!E:E,"SELL",Daten!H:H,C50)</f>
        <v>0</v>
      </c>
      <c r="K50" s="6">
        <f t="shared" si="1"/>
        <v>-212.68999999999994</v>
      </c>
      <c r="L50" s="5" t="str">
        <f>IF(F50&gt;0,"OFFEN","GESCHLOSSEN")</f>
        <v>OFFEN</v>
      </c>
      <c r="M50">
        <v>92.65</v>
      </c>
      <c r="N50">
        <v>106.748455646029</v>
      </c>
      <c r="O50" s="21">
        <f>IF(L50="GESCHLOSSEN",
0,
IF(L50="OFFEN",
((N50*F50)-(M50*F50)),
""))</f>
        <v>42.295366938086943</v>
      </c>
      <c r="P50" s="6">
        <f>IF(F50&gt;0,F50*N50,0)</f>
        <v>320.24536693808699</v>
      </c>
      <c r="Q50" s="6">
        <f>IF(F50&gt;0,F50*M50,0)</f>
        <v>277.95000000000005</v>
      </c>
      <c r="R50" s="7">
        <f>IF(L50="GESCHLOSSEN",
0,
IF(L50="OFFEN",
(O50/(M50*F50))))</f>
        <v>0.15216897621186162</v>
      </c>
      <c r="S50" s="6">
        <f>IF(L50="GESCHLOSSEN",
H50-G50-I50 + SUMIFS(Daten!K:K,Daten!H:H,C50,Daten!E:E,"DIVIDEND"),
IF(L50="OFFEN",
IF(E50=0,
0,
H50+SUMIFS(Daten!K:K,Daten!H:H,C50,Daten!E:E,"DIVIDEND")-(G50-(F50*M50))-I50
),
""))</f>
        <v>65.260000000000105</v>
      </c>
      <c r="T50" s="6">
        <f>IF(E50=0,
0,
(G50-(F50*M50))+I50
)</f>
        <v>795.3</v>
      </c>
      <c r="U50" s="26">
        <f>COUNTIFS(Daten!H:H,C50,Daten!E:E,"BUY",Daten!L:L,"&lt;0")</f>
        <v>9</v>
      </c>
      <c r="V50" s="26">
        <f>COUNTIFS(Daten!H:H,C50,Daten!E:E,"SELL",Daten!L:L,"&lt;0")</f>
        <v>2</v>
      </c>
      <c r="W50" s="7">
        <f t="shared" si="5"/>
        <v>8.2057085376587582E-2</v>
      </c>
      <c r="X50" s="7">
        <f t="shared" si="2"/>
        <v>0.1012524047428449</v>
      </c>
    </row>
    <row r="51" spans="1:24" x14ac:dyDescent="0.35">
      <c r="A51" s="9" t="s">
        <v>948</v>
      </c>
      <c r="B51" s="5" t="s">
        <v>464</v>
      </c>
      <c r="C51" s="5" t="s">
        <v>949</v>
      </c>
      <c r="D51" s="5">
        <f>SUMIFS(Daten!I:I,Daten!H:H,C51,Daten!E:E,"BUY")</f>
        <v>5.9082619999999997</v>
      </c>
      <c r="E51" s="5">
        <f>-SUMIFS(Daten!I:I,Daten!H:H,C51,Daten!E:E,"SELL")</f>
        <v>0</v>
      </c>
      <c r="F51" s="5">
        <f t="shared" si="4"/>
        <v>5.9082619999999997</v>
      </c>
      <c r="G51" s="6">
        <f>-SUMIFS(Daten!K:K,Daten!H:H,C51,Daten!E:E,"BUY")</f>
        <v>600.06000000000006</v>
      </c>
      <c r="H51" s="6">
        <f>SUMIFS(Daten!K:K,Daten!H:H,C51,Daten!E:E,"SELL")</f>
        <v>0</v>
      </c>
      <c r="I51" s="6">
        <f>SUMIFS(Daten!L:L,Daten!H:H,C51)*-1</f>
        <v>7</v>
      </c>
      <c r="J51" s="6">
        <f>-SUMIFS(Daten!M:M,Daten!E:E,"SELL",Daten!H:H,C51)</f>
        <v>0</v>
      </c>
      <c r="K51" s="6">
        <f t="shared" si="1"/>
        <v>-607.06000000000006</v>
      </c>
      <c r="L51" s="5" t="str">
        <f>IF(F51&gt;0,"OFFEN","GESCHLOSSEN")</f>
        <v>OFFEN</v>
      </c>
      <c r="M51">
        <v>102.75</v>
      </c>
      <c r="N51">
        <v>70.959999999999994</v>
      </c>
      <c r="O51" s="21">
        <f>IF(L51="GESCHLOSSEN",
0,
IF(L51="OFFEN",
((N51*F51)-(M51*F51)),
""))</f>
        <v>-187.82364898000003</v>
      </c>
      <c r="P51" s="6">
        <f>IF(F51&gt;0,F51*N51,0)</f>
        <v>419.25027151999996</v>
      </c>
      <c r="Q51" s="6">
        <f>IF(F51&gt;0,F51*M51,0)</f>
        <v>607.07392049999999</v>
      </c>
      <c r="R51" s="7">
        <f>IF(L51="GESCHLOSSEN",
0,
IF(L51="OFFEN",
(O51/(M51*F51))))</f>
        <v>-0.30939172749391736</v>
      </c>
      <c r="S51" s="6">
        <f>IF(L51="GESCHLOSSEN",
H51-G51-I51 + SUMIFS(Daten!K:K,Daten!H:H,C51,Daten!E:E,"DIVIDEND"),
IF(L51="OFFEN",
IF(E51=0,
0,
H51+SUMIFS(Daten!K:K,Daten!H:H,C51,Daten!E:E,"DIVIDEND")-(G51-(F51*M51))-I51
),
""))</f>
        <v>0</v>
      </c>
      <c r="T51" s="6">
        <f>IF(E51=0,
0,
(G51-(F51*M51))+I51
)</f>
        <v>0</v>
      </c>
      <c r="U51" s="26">
        <f>COUNTIFS(Daten!H:H,C51,Daten!E:E,"BUY",Daten!L:L,"&lt;0")</f>
        <v>7</v>
      </c>
      <c r="V51" s="26">
        <f>COUNTIFS(Daten!H:H,C51,Daten!E:E,"SELL",Daten!L:L,"&lt;0")</f>
        <v>0</v>
      </c>
      <c r="W51" s="7">
        <f t="shared" si="5"/>
        <v>0</v>
      </c>
      <c r="X51" s="7">
        <f t="shared" si="2"/>
        <v>-0.31298491564176928</v>
      </c>
    </row>
    <row r="52" spans="1:24" x14ac:dyDescent="0.35">
      <c r="A52" s="9" t="s">
        <v>334</v>
      </c>
      <c r="B52" s="5" t="s">
        <v>32</v>
      </c>
      <c r="C52" s="5" t="s">
        <v>335</v>
      </c>
      <c r="D52" s="5">
        <f>SUMIFS(Daten!I:I,Daten!H:H,C52,Daten!E:E,"BUY")</f>
        <v>16.737109</v>
      </c>
      <c r="E52" s="5">
        <f>-SUMIFS(Daten!I:I,Daten!H:H,C52,Daten!E:E,"SELL")</f>
        <v>16.737109</v>
      </c>
      <c r="F52" s="5">
        <f t="shared" si="4"/>
        <v>0</v>
      </c>
      <c r="G52" s="6">
        <f>-SUMIFS(Daten!K:K,Daten!H:H,C52,Daten!E:E,"BUY")</f>
        <v>99</v>
      </c>
      <c r="H52" s="6">
        <f>SUMIFS(Daten!K:K,Daten!H:H,C52,Daten!E:E,"SELL")</f>
        <v>108.5</v>
      </c>
      <c r="I52" s="6">
        <f>SUMIFS(Daten!L:L,Daten!H:H,C52)*-1</f>
        <v>3</v>
      </c>
      <c r="J52" s="6">
        <f>-SUMIFS(Daten!M:M,Daten!E:E,"SELL",Daten!H:H,C52)</f>
        <v>0</v>
      </c>
      <c r="K52" s="6">
        <f t="shared" si="1"/>
        <v>6.5</v>
      </c>
      <c r="L52" s="5" t="str">
        <f>IF(F52&gt;0,"OFFEN","GESCHLOSSEN")</f>
        <v>GESCHLOSSEN</v>
      </c>
      <c r="M52">
        <v>0</v>
      </c>
      <c r="N52">
        <v>0</v>
      </c>
      <c r="O52" s="21">
        <f>IF(L52="GESCHLOSSEN",
0,
IF(L52="OFFEN",
((N52*F52)-(M52*F52)),
""))</f>
        <v>0</v>
      </c>
      <c r="P52" s="6">
        <f>IF(F52&gt;0,F52*N52,0)</f>
        <v>0</v>
      </c>
      <c r="Q52" s="6">
        <f>IF(F52&gt;0,F52*M52,0)</f>
        <v>0</v>
      </c>
      <c r="R52" s="7">
        <f>IF(L52="GESCHLOSSEN",
0,
IF(L52="OFFEN",
(O52/(M52*F52))))</f>
        <v>0</v>
      </c>
      <c r="S52" s="6">
        <f>IF(L52="GESCHLOSSEN",
H52-G52-I52 + SUMIFS(Daten!K:K,Daten!H:H,C52,Daten!E:E,"DIVIDEND"),
IF(L52="OFFEN",
IF(E52=0,
0,
H52+SUMIFS(Daten!K:K,Daten!H:H,C52,Daten!E:E,"DIVIDEND")-(G52-(F52*M52))-I52
),
""))</f>
        <v>6.5</v>
      </c>
      <c r="T52" s="6">
        <f>IF(E52=0,
0,
(G52-(F52*M52))+I52
)</f>
        <v>102</v>
      </c>
      <c r="U52" s="26">
        <f>COUNTIFS(Daten!H:H,C52,Daten!E:E,"BUY",Daten!L:L,"&lt;0")</f>
        <v>1</v>
      </c>
      <c r="V52" s="26">
        <f>COUNTIFS(Daten!H:H,C52,Daten!E:E,"SELL",Daten!L:L,"&lt;0")</f>
        <v>2</v>
      </c>
      <c r="W52" s="7">
        <f t="shared" si="5"/>
        <v>6.3725490196078427E-2</v>
      </c>
      <c r="X52" s="7">
        <f t="shared" si="2"/>
        <v>6.3725490196078427E-2</v>
      </c>
    </row>
    <row r="53" spans="1:24" x14ac:dyDescent="0.35">
      <c r="A53" s="9" t="s">
        <v>76</v>
      </c>
      <c r="B53" s="5" t="s">
        <v>32</v>
      </c>
      <c r="C53" s="5" t="s">
        <v>77</v>
      </c>
      <c r="D53" s="5">
        <f>SUMIFS(Daten!I:I,Daten!H:H,C53,Daten!E:E,"BUY")</f>
        <v>2.1868780000000001</v>
      </c>
      <c r="E53" s="5">
        <f>-SUMIFS(Daten!I:I,Daten!H:H,C53,Daten!E:E,"SELL")</f>
        <v>2.1868780000000001</v>
      </c>
      <c r="F53" s="5">
        <f t="shared" si="4"/>
        <v>0</v>
      </c>
      <c r="G53" s="6">
        <f>-SUMIFS(Daten!K:K,Daten!H:H,C53,Daten!E:E,"BUY")</f>
        <v>21.99</v>
      </c>
      <c r="H53" s="6">
        <f>SUMIFS(Daten!K:K,Daten!H:H,C53,Daten!E:E,"SELL")</f>
        <v>25.43</v>
      </c>
      <c r="I53" s="6">
        <f>SUMIFS(Daten!L:L,Daten!H:H,C53)*-1</f>
        <v>2</v>
      </c>
      <c r="J53" s="6">
        <f>-SUMIFS(Daten!M:M,Daten!E:E,"SELL",Daten!H:H,C53)</f>
        <v>0.37</v>
      </c>
      <c r="K53" s="6">
        <f t="shared" si="1"/>
        <v>1.0700000000000012</v>
      </c>
      <c r="L53" s="5" t="str">
        <f>IF(F53&gt;0,"OFFEN","GESCHLOSSEN")</f>
        <v>GESCHLOSSEN</v>
      </c>
      <c r="M53">
        <v>0</v>
      </c>
      <c r="N53">
        <v>0</v>
      </c>
      <c r="O53" s="21">
        <f>IF(L53="GESCHLOSSEN",
0,
IF(L53="OFFEN",
((N53*F53)-(M53*F53)),
""))</f>
        <v>0</v>
      </c>
      <c r="P53" s="6">
        <f>IF(F53&gt;0,F53*N53,0)</f>
        <v>0</v>
      </c>
      <c r="Q53" s="6">
        <f>IF(F53&gt;0,F53*M53,0)</f>
        <v>0</v>
      </c>
      <c r="R53" s="7">
        <f>IF(L53="GESCHLOSSEN",
0,
IF(L53="OFFEN",
(O53/(M53*F53))))</f>
        <v>0</v>
      </c>
      <c r="S53" s="6">
        <f>IF(L53="GESCHLOSSEN",
H53-G53-I53 + SUMIFS(Daten!K:K,Daten!H:H,C53,Daten!E:E,"DIVIDEND"),
IF(L53="OFFEN",
IF(E53=0,
0,
H53+SUMIFS(Daten!K:K,Daten!H:H,C53,Daten!E:E,"DIVIDEND")-(G53-(F53*M53))-I53
),
""))</f>
        <v>1.4400000000000013</v>
      </c>
      <c r="T53" s="6">
        <f>IF(E53=0,
0,
(G53-(F53*M53))+I53
)</f>
        <v>23.99</v>
      </c>
      <c r="U53" s="26">
        <f>COUNTIFS(Daten!H:H,C53,Daten!E:E,"BUY",Daten!L:L,"&lt;0")</f>
        <v>1</v>
      </c>
      <c r="V53" s="26">
        <f>COUNTIFS(Daten!H:H,C53,Daten!E:E,"SELL",Daten!L:L,"&lt;0")</f>
        <v>1</v>
      </c>
      <c r="W53" s="7">
        <f t="shared" si="5"/>
        <v>6.0025010421008808E-2</v>
      </c>
      <c r="X53" s="7">
        <f t="shared" si="2"/>
        <v>4.4601917465610721E-2</v>
      </c>
    </row>
    <row r="54" spans="1:24" x14ac:dyDescent="0.35">
      <c r="A54" s="9" t="s">
        <v>226</v>
      </c>
      <c r="B54" s="5" t="s">
        <v>32</v>
      </c>
      <c r="C54" s="5" t="s">
        <v>227</v>
      </c>
      <c r="D54" s="5">
        <f>SUMIFS(Daten!I:I,Daten!H:H,C54,Daten!E:E,"BUY")</f>
        <v>7.211239</v>
      </c>
      <c r="E54" s="5">
        <f>-SUMIFS(Daten!I:I,Daten!H:H,C54,Daten!E:E,"SELL")</f>
        <v>7.211239</v>
      </c>
      <c r="F54" s="5">
        <f t="shared" si="4"/>
        <v>0</v>
      </c>
      <c r="G54" s="6">
        <f>-SUMIFS(Daten!K:K,Daten!H:H,C54,Daten!E:E,"BUY")</f>
        <v>115.99000000000001</v>
      </c>
      <c r="H54" s="6">
        <f>SUMIFS(Daten!K:K,Daten!H:H,C54,Daten!E:E,"SELL")</f>
        <v>101.14</v>
      </c>
      <c r="I54" s="6">
        <f>SUMIFS(Daten!L:L,Daten!H:H,C54)*-1</f>
        <v>3</v>
      </c>
      <c r="J54" s="6">
        <f>-SUMIFS(Daten!M:M,Daten!E:E,"SELL",Daten!H:H,C54)</f>
        <v>0</v>
      </c>
      <c r="K54" s="6">
        <f t="shared" si="1"/>
        <v>-17.850000000000009</v>
      </c>
      <c r="L54" s="5" t="str">
        <f>IF(F54&gt;0,"OFFEN","GESCHLOSSEN")</f>
        <v>GESCHLOSSEN</v>
      </c>
      <c r="M54">
        <v>0</v>
      </c>
      <c r="N54">
        <v>0</v>
      </c>
      <c r="O54" s="21">
        <f>IF(L54="GESCHLOSSEN",
0,
IF(L54="OFFEN",
((N54*F54)-(M54*F54)),
""))</f>
        <v>0</v>
      </c>
      <c r="P54" s="6">
        <f>IF(F54&gt;0,F54*N54,0)</f>
        <v>0</v>
      </c>
      <c r="Q54" s="6">
        <f>IF(F54&gt;0,F54*M54,0)</f>
        <v>0</v>
      </c>
      <c r="R54" s="7">
        <f>IF(L54="GESCHLOSSEN",
0,
IF(L54="OFFEN",
(O54/(M54*F54))))</f>
        <v>0</v>
      </c>
      <c r="S54" s="6">
        <f>IF(L54="GESCHLOSSEN",
H54-G54-I54 + SUMIFS(Daten!K:K,Daten!H:H,C54,Daten!E:E,"DIVIDEND"),
IF(L54="OFFEN",
IF(E54=0,
0,
H54+SUMIFS(Daten!K:K,Daten!H:H,C54,Daten!E:E,"DIVIDEND")-(G54-(F54*M54))-I54
),
""))</f>
        <v>-17.850000000000009</v>
      </c>
      <c r="T54" s="6">
        <f>IF(E54=0,
0,
(G54-(F54*M54))+I54
)</f>
        <v>118.99000000000001</v>
      </c>
      <c r="U54" s="26">
        <f>COUNTIFS(Daten!H:H,C54,Daten!E:E,"BUY",Daten!L:L,"&lt;0")</f>
        <v>1</v>
      </c>
      <c r="V54" s="26">
        <f>COUNTIFS(Daten!H:H,C54,Daten!E:E,"SELL",Daten!L:L,"&lt;0")</f>
        <v>2</v>
      </c>
      <c r="W54" s="7">
        <f t="shared" si="5"/>
        <v>-0.15001260610135311</v>
      </c>
      <c r="X54" s="7">
        <f t="shared" si="2"/>
        <v>-0.15001260610135311</v>
      </c>
    </row>
    <row r="55" spans="1:24" x14ac:dyDescent="0.35">
      <c r="A55" s="9" t="s">
        <v>515</v>
      </c>
      <c r="B55" s="5" t="s">
        <v>32</v>
      </c>
      <c r="C55" s="5" t="s">
        <v>516</v>
      </c>
      <c r="D55" s="5">
        <f>SUMIFS(Daten!I:I,Daten!H:H,C55,Daten!E:E,"BUY")</f>
        <v>62.851702000000003</v>
      </c>
      <c r="E55" s="5">
        <f>-SUMIFS(Daten!I:I,Daten!H:H,C55,Daten!E:E,"SELL")</f>
        <v>0</v>
      </c>
      <c r="F55" s="5">
        <f t="shared" si="4"/>
        <v>62.851702000000003</v>
      </c>
      <c r="G55" s="6">
        <f>-SUMIFS(Daten!K:K,Daten!H:H,C55,Daten!E:E,"BUY")</f>
        <v>725.98000000000013</v>
      </c>
      <c r="H55" s="6">
        <f>SUMIFS(Daten!K:K,Daten!H:H,C55,Daten!E:E,"SELL")</f>
        <v>0</v>
      </c>
      <c r="I55" s="6">
        <f>SUMIFS(Daten!L:L,Daten!H:H,C55)*-1</f>
        <v>7</v>
      </c>
      <c r="J55" s="6">
        <f>-SUMIFS(Daten!M:M,Daten!E:E,"SELL",Daten!H:H,C55)</f>
        <v>0</v>
      </c>
      <c r="K55" s="6">
        <f t="shared" si="1"/>
        <v>-732.98000000000013</v>
      </c>
      <c r="L55" s="5" t="str">
        <f>IF(F55&gt;0,"OFFEN","GESCHLOSSEN")</f>
        <v>OFFEN</v>
      </c>
      <c r="M55">
        <v>11.66</v>
      </c>
      <c r="N55">
        <v>8.5250000000000004</v>
      </c>
      <c r="O55" s="21">
        <f>IF(L55="GESCHLOSSEN",
0,
IF(L55="OFFEN",
((N55*F55)-(M55*F55)),
""))</f>
        <v>-197.04008577000002</v>
      </c>
      <c r="P55" s="6">
        <f>IF(F55&gt;0,F55*N55,0)</f>
        <v>535.81075955000006</v>
      </c>
      <c r="Q55" s="6">
        <f>IF(F55&gt;0,F55*M55,0)</f>
        <v>732.85084532000008</v>
      </c>
      <c r="R55" s="7">
        <f>IF(L55="GESCHLOSSEN",
0,
IF(L55="OFFEN",
(O55/(M55*F55))))</f>
        <v>-0.26886792452830188</v>
      </c>
      <c r="S55" s="6">
        <f>IF(L55="GESCHLOSSEN",
H55-G55-I55 + SUMIFS(Daten!K:K,Daten!H:H,C55,Daten!E:E,"DIVIDEND"),
IF(L55="OFFEN",
IF(E55=0,
0,
H55+SUMIFS(Daten!K:K,Daten!H:H,C55,Daten!E:E,"DIVIDEND")-(G55-(F55*M55))-I55
),
""))</f>
        <v>0</v>
      </c>
      <c r="T55" s="6">
        <f>IF(E55=0,
0,
(G55-(F55*M55))+I55
)</f>
        <v>0</v>
      </c>
      <c r="U55" s="26">
        <f>COUNTIFS(Daten!H:H,C55,Daten!E:E,"BUY",Daten!L:L,"&lt;0")</f>
        <v>7</v>
      </c>
      <c r="V55" s="26">
        <f>COUNTIFS(Daten!H:H,C55,Daten!E:E,"SELL",Daten!L:L,"&lt;0")</f>
        <v>0</v>
      </c>
      <c r="W55" s="7">
        <f t="shared" si="5"/>
        <v>0</v>
      </c>
      <c r="X55" s="7">
        <f t="shared" si="2"/>
        <v>-0.27159045765723577</v>
      </c>
    </row>
    <row r="56" spans="1:24" x14ac:dyDescent="0.35">
      <c r="A56" s="9" t="s">
        <v>937</v>
      </c>
      <c r="B56" s="5" t="s">
        <v>32</v>
      </c>
      <c r="C56" s="5" t="s">
        <v>938</v>
      </c>
      <c r="D56" s="5">
        <f>SUMIFS(Daten!I:I,Daten!H:H,C56,Daten!E:E,"BUY")</f>
        <v>63.734862</v>
      </c>
      <c r="E56" s="5">
        <f>-SUMIFS(Daten!I:I,Daten!H:H,C56,Daten!E:E,"SELL")</f>
        <v>63.734862</v>
      </c>
      <c r="F56" s="5">
        <f t="shared" si="4"/>
        <v>0</v>
      </c>
      <c r="G56" s="6">
        <f>-SUMIFS(Daten!K:K,Daten!H:H,C56,Daten!E:E,"BUY")</f>
        <v>200</v>
      </c>
      <c r="H56" s="6">
        <f>SUMIFS(Daten!K:K,Daten!H:H,C56,Daten!E:E,"SELL")</f>
        <v>281.63</v>
      </c>
      <c r="I56" s="6">
        <f>SUMIFS(Daten!L:L,Daten!H:H,C56)*-1</f>
        <v>3</v>
      </c>
      <c r="J56" s="6">
        <f>-SUMIFS(Daten!M:M,Daten!E:E,"SELL",Daten!H:H,C56)</f>
        <v>0</v>
      </c>
      <c r="K56" s="6">
        <f t="shared" si="1"/>
        <v>78.63</v>
      </c>
      <c r="L56" s="5" t="str">
        <f>IF(F56&gt;0,"OFFEN","GESCHLOSSEN")</f>
        <v>GESCHLOSSEN</v>
      </c>
      <c r="M56">
        <v>0</v>
      </c>
      <c r="N56">
        <v>0</v>
      </c>
      <c r="O56" s="21">
        <f>IF(L56="GESCHLOSSEN",
0,
IF(L56="OFFEN",
((N56*F56)-(M56*F56)),
""))</f>
        <v>0</v>
      </c>
      <c r="P56" s="6">
        <f>IF(F56&gt;0,F56*N56,0)</f>
        <v>0</v>
      </c>
      <c r="Q56" s="6">
        <f>IF(F56&gt;0,F56*M56,0)</f>
        <v>0</v>
      </c>
      <c r="R56" s="7">
        <f>IF(L56="GESCHLOSSEN",
0,
IF(L56="OFFEN",
(O56/(M56*F56))))</f>
        <v>0</v>
      </c>
      <c r="S56" s="6">
        <f>IF(L56="GESCHLOSSEN",
H56-G56-I56 + SUMIFS(Daten!K:K,Daten!H:H,C56,Daten!E:E,"DIVIDEND"),
IF(L56="OFFEN",
IF(E56=0,
0,
H56+SUMIFS(Daten!K:K,Daten!H:H,C56,Daten!E:E,"DIVIDEND")-(G56-(F56*M56))-I56
),
""))</f>
        <v>78.63</v>
      </c>
      <c r="T56" s="6">
        <f>IF(E56=0,
0,
(G56-(F56*M56))+I56
)</f>
        <v>203</v>
      </c>
      <c r="U56" s="26">
        <f>COUNTIFS(Daten!H:H,C56,Daten!E:E,"BUY",Daten!L:L,"&lt;0")</f>
        <v>1</v>
      </c>
      <c r="V56" s="26">
        <f>COUNTIFS(Daten!H:H,C56,Daten!E:E,"SELL",Daten!L:L,"&lt;0")</f>
        <v>2</v>
      </c>
      <c r="W56" s="7">
        <f t="shared" si="5"/>
        <v>0.38733990147783248</v>
      </c>
      <c r="X56" s="7">
        <f t="shared" si="2"/>
        <v>0.38733990147783248</v>
      </c>
    </row>
    <row r="57" spans="1:24" x14ac:dyDescent="0.35">
      <c r="A57" s="9" t="s">
        <v>304</v>
      </c>
      <c r="B57" s="5" t="s">
        <v>32</v>
      </c>
      <c r="C57" s="5" t="s">
        <v>305</v>
      </c>
      <c r="D57" s="5">
        <f>SUMIFS(Daten!I:I,Daten!H:H,C57,Daten!E:E,"BUY")</f>
        <v>50</v>
      </c>
      <c r="E57" s="5">
        <f>-SUMIFS(Daten!I:I,Daten!H:H,C57,Daten!E:E,"SELL")</f>
        <v>50</v>
      </c>
      <c r="F57" s="5">
        <f t="shared" si="4"/>
        <v>0</v>
      </c>
      <c r="G57" s="6">
        <f>-SUMIFS(Daten!K:K,Daten!H:H,C57,Daten!E:E,"BUY")</f>
        <v>17.8</v>
      </c>
      <c r="H57" s="6">
        <f>SUMIFS(Daten!K:K,Daten!H:H,C57,Daten!E:E,"SELL")</f>
        <v>21.1</v>
      </c>
      <c r="I57" s="6">
        <f>SUMIFS(Daten!L:L,Daten!H:H,C57)*-1</f>
        <v>2</v>
      </c>
      <c r="J57" s="6">
        <f>-SUMIFS(Daten!M:M,Daten!E:E,"SELL",Daten!H:H,C57)</f>
        <v>0</v>
      </c>
      <c r="K57" s="6">
        <f t="shared" si="1"/>
        <v>1.3000000000000007</v>
      </c>
      <c r="L57" s="5" t="str">
        <f>IF(F57&gt;0,"OFFEN","GESCHLOSSEN")</f>
        <v>GESCHLOSSEN</v>
      </c>
      <c r="M57">
        <v>0</v>
      </c>
      <c r="N57">
        <v>0</v>
      </c>
      <c r="O57" s="21">
        <f>IF(L57="GESCHLOSSEN",
0,
IF(L57="OFFEN",
((N57*F57)-(M57*F57)),
""))</f>
        <v>0</v>
      </c>
      <c r="P57" s="6">
        <f>IF(F57&gt;0,F57*N57,0)</f>
        <v>0</v>
      </c>
      <c r="Q57" s="6">
        <f>IF(F57&gt;0,F57*M57,0)</f>
        <v>0</v>
      </c>
      <c r="R57" s="7">
        <f>IF(L57="GESCHLOSSEN",
0,
IF(L57="OFFEN",
(O57/(M57*F57))))</f>
        <v>0</v>
      </c>
      <c r="S57" s="6">
        <f>IF(L57="GESCHLOSSEN",
H57-G57-I57 + SUMIFS(Daten!K:K,Daten!H:H,C57,Daten!E:E,"DIVIDEND"),
IF(L57="OFFEN",
IF(E57=0,
0,
H57+SUMIFS(Daten!K:K,Daten!H:H,C57,Daten!E:E,"DIVIDEND")-(G57-(F57*M57))-I57
),
""))</f>
        <v>1.3000000000000007</v>
      </c>
      <c r="T57" s="6">
        <f>IF(E57=0,
0,
(G57-(F57*M57))+I57
)</f>
        <v>19.8</v>
      </c>
      <c r="U57" s="26">
        <f>COUNTIFS(Daten!H:H,C57,Daten!E:E,"BUY",Daten!L:L,"&lt;0")</f>
        <v>1</v>
      </c>
      <c r="V57" s="26">
        <f>COUNTIFS(Daten!H:H,C57,Daten!E:E,"SELL",Daten!L:L,"&lt;0")</f>
        <v>1</v>
      </c>
      <c r="W57" s="7">
        <f t="shared" si="5"/>
        <v>6.5656565656565691E-2</v>
      </c>
      <c r="X57" s="7">
        <f t="shared" si="2"/>
        <v>6.5656565656565691E-2</v>
      </c>
    </row>
    <row r="58" spans="1:24" x14ac:dyDescent="0.35">
      <c r="A58" s="9" t="s">
        <v>321</v>
      </c>
      <c r="B58" s="5" t="s">
        <v>32</v>
      </c>
      <c r="C58" s="5" t="s">
        <v>322</v>
      </c>
      <c r="D58" s="5">
        <f>SUMIFS(Daten!I:I,Daten!H:H,C58,Daten!E:E,"BUY")</f>
        <v>15.401785</v>
      </c>
      <c r="E58" s="5">
        <f>-SUMIFS(Daten!I:I,Daten!H:H,C58,Daten!E:E,"SELL")</f>
        <v>15.401785</v>
      </c>
      <c r="F58" s="5">
        <f t="shared" si="4"/>
        <v>0</v>
      </c>
      <c r="G58" s="6">
        <f>-SUMIFS(Daten!K:K,Daten!H:H,C58,Daten!E:E,"BUY")</f>
        <v>69</v>
      </c>
      <c r="H58" s="6">
        <f>SUMIFS(Daten!K:K,Daten!H:H,C58,Daten!E:E,"SELL")</f>
        <v>81.63</v>
      </c>
      <c r="I58" s="6">
        <f>SUMIFS(Daten!L:L,Daten!H:H,C58)*-1</f>
        <v>2</v>
      </c>
      <c r="J58" s="6">
        <f>-SUMIFS(Daten!M:M,Daten!E:E,"SELL",Daten!H:H,C58)</f>
        <v>0</v>
      </c>
      <c r="K58" s="6">
        <f t="shared" si="1"/>
        <v>10.629999999999995</v>
      </c>
      <c r="L58" s="5" t="str">
        <f>IF(F58&gt;0,"OFFEN","GESCHLOSSEN")</f>
        <v>GESCHLOSSEN</v>
      </c>
      <c r="M58">
        <v>0</v>
      </c>
      <c r="N58">
        <v>0</v>
      </c>
      <c r="O58" s="21">
        <f>IF(L58="GESCHLOSSEN",
0,
IF(L58="OFFEN",
((N58*F58)-(M58*F58)),
""))</f>
        <v>0</v>
      </c>
      <c r="P58" s="6">
        <f>IF(F58&gt;0,F58*N58,0)</f>
        <v>0</v>
      </c>
      <c r="Q58" s="6">
        <f>IF(F58&gt;0,F58*M58,0)</f>
        <v>0</v>
      </c>
      <c r="R58" s="7">
        <f>IF(L58="GESCHLOSSEN",
0,
IF(L58="OFFEN",
(O58/(M58*F58))))</f>
        <v>0</v>
      </c>
      <c r="S58" s="6">
        <f>IF(L58="GESCHLOSSEN",
H58-G58-I58 + SUMIFS(Daten!K:K,Daten!H:H,C58,Daten!E:E,"DIVIDEND"),
IF(L58="OFFEN",
IF(E58=0,
0,
H58+SUMIFS(Daten!K:K,Daten!H:H,C58,Daten!E:E,"DIVIDEND")-(G58-(F58*M58))-I58
),
""))</f>
        <v>10.629999999999995</v>
      </c>
      <c r="T58" s="6">
        <f>IF(E58=0,
0,
(G58-(F58*M58))+I58
)</f>
        <v>71</v>
      </c>
      <c r="U58" s="26">
        <f>COUNTIFS(Daten!H:H,C58,Daten!E:E,"BUY",Daten!L:L,"&lt;0")</f>
        <v>1</v>
      </c>
      <c r="V58" s="26">
        <f>COUNTIFS(Daten!H:H,C58,Daten!E:E,"SELL",Daten!L:L,"&lt;0")</f>
        <v>1</v>
      </c>
      <c r="W58" s="7">
        <f t="shared" si="5"/>
        <v>0.14971830985915485</v>
      </c>
      <c r="X58" s="7">
        <f t="shared" si="2"/>
        <v>0.14971830985915485</v>
      </c>
    </row>
    <row r="59" spans="1:24" x14ac:dyDescent="0.35">
      <c r="A59" s="9" t="s">
        <v>308</v>
      </c>
      <c r="B59" s="5" t="s">
        <v>32</v>
      </c>
      <c r="C59" s="5" t="s">
        <v>309</v>
      </c>
      <c r="D59" s="5">
        <f>SUMIFS(Daten!I:I,Daten!H:H,C59,Daten!E:E,"BUY")</f>
        <v>12.345679000000001</v>
      </c>
      <c r="E59" s="5">
        <f>-SUMIFS(Daten!I:I,Daten!H:H,C59,Daten!E:E,"SELL")</f>
        <v>12.345679000000001</v>
      </c>
      <c r="F59" s="5">
        <f t="shared" si="4"/>
        <v>0</v>
      </c>
      <c r="G59" s="6">
        <f>-SUMIFS(Daten!K:K,Daten!H:H,C59,Daten!E:E,"BUY")</f>
        <v>28</v>
      </c>
      <c r="H59" s="6">
        <f>SUMIFS(Daten!K:K,Daten!H:H,C59,Daten!E:E,"SELL")</f>
        <v>33.159999999999997</v>
      </c>
      <c r="I59" s="6">
        <f>SUMIFS(Daten!L:L,Daten!H:H,C59)*-1</f>
        <v>2</v>
      </c>
      <c r="J59" s="6">
        <f>-SUMIFS(Daten!M:M,Daten!E:E,"SELL",Daten!H:H,C59)</f>
        <v>0</v>
      </c>
      <c r="K59" s="6">
        <f t="shared" si="1"/>
        <v>3.1599999999999966</v>
      </c>
      <c r="L59" s="5" t="str">
        <f>IF(F59&gt;0,"OFFEN","GESCHLOSSEN")</f>
        <v>GESCHLOSSEN</v>
      </c>
      <c r="M59">
        <v>0</v>
      </c>
      <c r="N59">
        <v>0</v>
      </c>
      <c r="O59" s="21">
        <f>IF(L59="GESCHLOSSEN",
0,
IF(L59="OFFEN",
((N59*F59)-(M59*F59)),
""))</f>
        <v>0</v>
      </c>
      <c r="P59" s="6">
        <f>IF(F59&gt;0,F59*N59,0)</f>
        <v>0</v>
      </c>
      <c r="Q59" s="6">
        <f>IF(F59&gt;0,F59*M59,0)</f>
        <v>0</v>
      </c>
      <c r="R59" s="7">
        <f>IF(L59="GESCHLOSSEN",
0,
IF(L59="OFFEN",
(O59/(M59*F59))))</f>
        <v>0</v>
      </c>
      <c r="S59" s="6">
        <f>IF(L59="GESCHLOSSEN",
H59-G59-I59 + SUMIFS(Daten!K:K,Daten!H:H,C59,Daten!E:E,"DIVIDEND"),
IF(L59="OFFEN",
IF(E59=0,
0,
H59+SUMIFS(Daten!K:K,Daten!H:H,C59,Daten!E:E,"DIVIDEND")-(G59-(F59*M59))-I59
),
""))</f>
        <v>3.1599999999999966</v>
      </c>
      <c r="T59" s="6">
        <f>IF(E59=0,
0,
(G59-(F59*M59))+I59
)</f>
        <v>30</v>
      </c>
      <c r="U59" s="26">
        <f>COUNTIFS(Daten!H:H,C59,Daten!E:E,"BUY",Daten!L:L,"&lt;0")</f>
        <v>1</v>
      </c>
      <c r="V59" s="26">
        <f>COUNTIFS(Daten!H:H,C59,Daten!E:E,"SELL",Daten!L:L,"&lt;0")</f>
        <v>1</v>
      </c>
      <c r="W59" s="7">
        <f t="shared" si="5"/>
        <v>0.10533333333333322</v>
      </c>
      <c r="X59" s="7">
        <f t="shared" si="2"/>
        <v>0.10533333333333322</v>
      </c>
    </row>
    <row r="60" spans="1:24" x14ac:dyDescent="0.35">
      <c r="A60" s="9" t="s">
        <v>691</v>
      </c>
      <c r="B60" s="5" t="s">
        <v>32</v>
      </c>
      <c r="C60" s="5" t="s">
        <v>692</v>
      </c>
      <c r="D60" s="5">
        <f>SUMIFS(Daten!I:I,Daten!H:H,C60,Daten!E:E,"BUY")</f>
        <v>19.212295000000001</v>
      </c>
      <c r="E60" s="5">
        <f>-SUMIFS(Daten!I:I,Daten!H:H,C60,Daten!E:E,"SELL")</f>
        <v>19.212295000000001</v>
      </c>
      <c r="F60" s="5">
        <f t="shared" si="4"/>
        <v>0</v>
      </c>
      <c r="G60" s="6">
        <f>-SUMIFS(Daten!K:K,Daten!H:H,C60,Daten!E:E,"BUY")</f>
        <v>200</v>
      </c>
      <c r="H60" s="6">
        <f>SUMIFS(Daten!K:K,Daten!H:H,C60,Daten!E:E,"SELL")</f>
        <v>221.32999999999998</v>
      </c>
      <c r="I60" s="6">
        <f>SUMIFS(Daten!L:L,Daten!H:H,C60)*-1</f>
        <v>2</v>
      </c>
      <c r="J60" s="6">
        <f>-SUMIFS(Daten!M:M,Daten!E:E,"SELL",Daten!H:H,C60)</f>
        <v>0</v>
      </c>
      <c r="K60" s="6">
        <f t="shared" si="1"/>
        <v>19.329999999999984</v>
      </c>
      <c r="L60" s="5" t="str">
        <f>IF(F60&gt;0,"OFFEN","GESCHLOSSEN")</f>
        <v>GESCHLOSSEN</v>
      </c>
      <c r="M60">
        <v>0</v>
      </c>
      <c r="N60">
        <v>0</v>
      </c>
      <c r="O60" s="21">
        <f>IF(L60="GESCHLOSSEN",
0,
IF(L60="OFFEN",
((N60*F60)-(M60*F60)),
""))</f>
        <v>0</v>
      </c>
      <c r="P60" s="6">
        <f>IF(F60&gt;0,F60*N60,0)</f>
        <v>0</v>
      </c>
      <c r="Q60" s="6">
        <f>IF(F60&gt;0,F60*M60,0)</f>
        <v>0</v>
      </c>
      <c r="R60" s="7">
        <f>IF(L60="GESCHLOSSEN",
0,
IF(L60="OFFEN",
(O60/(M60*F60))))</f>
        <v>0</v>
      </c>
      <c r="S60" s="6">
        <f>IF(L60="GESCHLOSSEN",
H60-G60-I60 + SUMIFS(Daten!K:K,Daten!H:H,C60,Daten!E:E,"DIVIDEND"),
IF(L60="OFFEN",
IF(E60=0,
0,
H60+SUMIFS(Daten!K:K,Daten!H:H,C60,Daten!E:E,"DIVIDEND")-(G60-(F60*M60))-I60
),
""))</f>
        <v>19.329999999999984</v>
      </c>
      <c r="T60" s="6">
        <f>IF(E60=0,
0,
(G60-(F60*M60))+I60
)</f>
        <v>202</v>
      </c>
      <c r="U60" s="26">
        <f>COUNTIFS(Daten!H:H,C60,Daten!E:E,"BUY",Daten!L:L,"&lt;0")</f>
        <v>1</v>
      </c>
      <c r="V60" s="26">
        <f>COUNTIFS(Daten!H:H,C60,Daten!E:E,"SELL",Daten!L:L,"&lt;0")</f>
        <v>1</v>
      </c>
      <c r="W60" s="7">
        <f t="shared" si="5"/>
        <v>9.5693069306930612E-2</v>
      </c>
      <c r="X60" s="7">
        <f t="shared" si="2"/>
        <v>9.5693069306930612E-2</v>
      </c>
    </row>
    <row r="61" spans="1:24" x14ac:dyDescent="0.35">
      <c r="A61" s="9" t="s">
        <v>380</v>
      </c>
      <c r="B61" s="5" t="s">
        <v>32</v>
      </c>
      <c r="C61" s="5" t="s">
        <v>381</v>
      </c>
      <c r="D61" s="5">
        <f>SUMIFS(Daten!I:I,Daten!H:H,C61,Daten!E:E,"BUY")</f>
        <v>7.0017500000000004</v>
      </c>
      <c r="E61" s="5">
        <f>-SUMIFS(Daten!I:I,Daten!H:H,C61,Daten!E:E,"SELL")</f>
        <v>7.0017500000000004</v>
      </c>
      <c r="F61" s="5">
        <f t="shared" si="4"/>
        <v>0</v>
      </c>
      <c r="G61" s="6">
        <f>-SUMIFS(Daten!K:K,Daten!H:H,C61,Daten!E:E,"BUY")</f>
        <v>28</v>
      </c>
      <c r="H61" s="6">
        <f>SUMIFS(Daten!K:K,Daten!H:H,C61,Daten!E:E,"SELL")</f>
        <v>30.310000000000002</v>
      </c>
      <c r="I61" s="6">
        <f>SUMIFS(Daten!L:L,Daten!H:H,C61)*-1</f>
        <v>2</v>
      </c>
      <c r="J61" s="6">
        <f>-SUMIFS(Daten!M:M,Daten!E:E,"SELL",Daten!H:H,C61)</f>
        <v>0</v>
      </c>
      <c r="K61" s="6">
        <f t="shared" si="1"/>
        <v>0.31000000000000227</v>
      </c>
      <c r="L61" s="5" t="str">
        <f>IF(F61&gt;0,"OFFEN","GESCHLOSSEN")</f>
        <v>GESCHLOSSEN</v>
      </c>
      <c r="M61">
        <v>0</v>
      </c>
      <c r="N61">
        <v>0</v>
      </c>
      <c r="O61" s="21">
        <f>IF(L61="GESCHLOSSEN",
0,
IF(L61="OFFEN",
((N61*F61)-(M61*F61)),
""))</f>
        <v>0</v>
      </c>
      <c r="P61" s="6">
        <f>IF(F61&gt;0,F61*N61,0)</f>
        <v>0</v>
      </c>
      <c r="Q61" s="6">
        <f>IF(F61&gt;0,F61*M61,0)</f>
        <v>0</v>
      </c>
      <c r="R61" s="7">
        <f>IF(L61="GESCHLOSSEN",
0,
IF(L61="OFFEN",
(O61/(M61*F61))))</f>
        <v>0</v>
      </c>
      <c r="S61" s="6">
        <f>IF(L61="GESCHLOSSEN",
H61-G61-I61 + SUMIFS(Daten!K:K,Daten!H:H,C61,Daten!E:E,"DIVIDEND"),
IF(L61="OFFEN",
IF(E61=0,
0,
H61+SUMIFS(Daten!K:K,Daten!H:H,C61,Daten!E:E,"DIVIDEND")-(G61-(F61*M61))-I61
),
""))</f>
        <v>0.31000000000000227</v>
      </c>
      <c r="T61" s="6">
        <f>IF(E61=0,
0,
(G61-(F61*M61))+I61
)</f>
        <v>30</v>
      </c>
      <c r="U61" s="26">
        <f>COUNTIFS(Daten!H:H,C61,Daten!E:E,"BUY",Daten!L:L,"&lt;0")</f>
        <v>1</v>
      </c>
      <c r="V61" s="26">
        <f>COUNTIFS(Daten!H:H,C61,Daten!E:E,"SELL",Daten!L:L,"&lt;0")</f>
        <v>1</v>
      </c>
      <c r="W61" s="7">
        <f t="shared" si="5"/>
        <v>1.033333333333341E-2</v>
      </c>
      <c r="X61" s="7">
        <f t="shared" si="2"/>
        <v>1.033333333333341E-2</v>
      </c>
    </row>
    <row r="62" spans="1:24" x14ac:dyDescent="0.35">
      <c r="A62" s="9" t="s">
        <v>69</v>
      </c>
      <c r="B62" s="5" t="s">
        <v>64</v>
      </c>
      <c r="C62" s="5" t="s">
        <v>69</v>
      </c>
      <c r="D62" s="5">
        <f>SUMIFS(Daten!I:I,Daten!H:H,C62,Daten!E:E,"BUY")</f>
        <v>194.73171099999999</v>
      </c>
      <c r="E62" s="5">
        <f>-SUMIFS(Daten!I:I,Daten!H:H,C62,Daten!E:E,"SELL")</f>
        <v>0</v>
      </c>
      <c r="F62" s="5">
        <f t="shared" si="4"/>
        <v>194.73171099999999</v>
      </c>
      <c r="G62" s="6">
        <f>-SUMIFS(Daten!K:K,Daten!H:H,C62,Daten!E:E,"BUY")</f>
        <v>247.45</v>
      </c>
      <c r="H62" s="6">
        <f>SUMIFS(Daten!K:K,Daten!H:H,C62,Daten!E:E,"SELL")</f>
        <v>0</v>
      </c>
      <c r="I62" s="6">
        <f>SUMIFS(Daten!L:L,Daten!H:H,C62)*-1</f>
        <v>9</v>
      </c>
      <c r="J62" s="6">
        <f>-SUMIFS(Daten!M:M,Daten!E:E,"SELL",Daten!H:H,C62)</f>
        <v>0</v>
      </c>
      <c r="K62" s="6">
        <f t="shared" si="1"/>
        <v>-256.45</v>
      </c>
      <c r="L62" s="5" t="str">
        <f>IF(F62&gt;0,"OFFEN","GESCHLOSSEN")</f>
        <v>OFFEN</v>
      </c>
      <c r="M62">
        <v>1.3169999999999999</v>
      </c>
      <c r="N62">
        <v>1.33725411186898</v>
      </c>
      <c r="O62" s="21">
        <f>IF(L62="GESCHLOSSEN",
0,
IF(L62="OFFEN",
((N62*F62)-(M62*F62)),
""))</f>
        <v>3.9441178590319055</v>
      </c>
      <c r="P62" s="6">
        <f>IF(F62&gt;0,F62*N62,0)</f>
        <v>260.40578124603189</v>
      </c>
      <c r="Q62" s="6">
        <f>IF(F62&gt;0,F62*M62,0)</f>
        <v>256.46166338699999</v>
      </c>
      <c r="R62" s="7">
        <f>IF(L62="GESCHLOSSEN",
0,
IF(L62="OFFEN",
(O62/(M62*F62))))</f>
        <v>1.5378976362171689E-2</v>
      </c>
      <c r="S62" s="6">
        <f>IF(L62="GESCHLOSSEN",
H62-G62-I62 + SUMIFS(Daten!K:K,Daten!H:H,C62,Daten!E:E,"DIVIDEND"),
IF(L62="OFFEN",
IF(E62=0,
0,
H62+SUMIFS(Daten!K:K,Daten!H:H,C62,Daten!E:E,"DIVIDEND")-(G62-(F62*M62))-I62
),
""))</f>
        <v>0</v>
      </c>
      <c r="T62" s="6">
        <f>IF(E62=0,
0,
(G62-(F62*M62))+I62
)</f>
        <v>0</v>
      </c>
      <c r="U62" s="26">
        <f>COUNTIFS(Daten!H:H,C62,Daten!E:E,"BUY",Daten!L:L,"&lt;0")</f>
        <v>9</v>
      </c>
      <c r="V62" s="26">
        <f>COUNTIFS(Daten!H:H,C62,Daten!E:E,"SELL",Daten!L:L,"&lt;0")</f>
        <v>0</v>
      </c>
      <c r="W62" s="7">
        <f t="shared" si="5"/>
        <v>0</v>
      </c>
      <c r="X62" s="7">
        <f t="shared" si="2"/>
        <v>1.5986184061555483E-2</v>
      </c>
    </row>
    <row r="63" spans="1:24" x14ac:dyDescent="0.35">
      <c r="A63" s="9" t="s">
        <v>1444</v>
      </c>
      <c r="B63" s="5" t="s">
        <v>32</v>
      </c>
      <c r="C63" s="5" t="s">
        <v>1445</v>
      </c>
      <c r="D63" s="5">
        <f>SUMIFS(Daten!I:I,Daten!H:H,C63,Daten!E:E,"BUY")</f>
        <v>8.5034010000000002</v>
      </c>
      <c r="E63" s="5">
        <f>-SUMIFS(Daten!I:I,Daten!H:H,C63,Daten!E:E,"SELL")</f>
        <v>0</v>
      </c>
      <c r="F63" s="5">
        <f t="shared" si="4"/>
        <v>8.5034010000000002</v>
      </c>
      <c r="G63" s="6">
        <f>-SUMIFS(Daten!K:K,Daten!H:H,C63,Daten!E:E,"BUY")</f>
        <v>100</v>
      </c>
      <c r="H63" s="6">
        <f>SUMIFS(Daten!K:K,Daten!H:H,C63,Daten!E:E,"SELL")</f>
        <v>0</v>
      </c>
      <c r="I63" s="6">
        <f>SUMIFS(Daten!L:L,Daten!H:H,C63)*-1</f>
        <v>1</v>
      </c>
      <c r="J63" s="6">
        <f>-SUMIFS(Daten!M:M,Daten!E:E,"SELL",Daten!H:H,C63)</f>
        <v>0</v>
      </c>
      <c r="K63" s="6">
        <f t="shared" si="1"/>
        <v>-101</v>
      </c>
      <c r="L63" s="5" t="str">
        <f>IF(F63&gt;0,"OFFEN","GESCHLOSSEN")</f>
        <v>OFFEN</v>
      </c>
      <c r="M63">
        <v>11.88</v>
      </c>
      <c r="N63">
        <v>11.1806</v>
      </c>
      <c r="O63" s="21">
        <f>IF(L63="GESCHLOSSEN",
0,
IF(L63="OFFEN",
((N63*F63)-(M63*F63)),
""))</f>
        <v>-5.9472786593999984</v>
      </c>
      <c r="P63" s="6">
        <f>IF(F63&gt;0,F63*N63,0)</f>
        <v>95.073125220600005</v>
      </c>
      <c r="Q63" s="6">
        <f>IF(F63&gt;0,F63*M63,0)</f>
        <v>101.02040388</v>
      </c>
      <c r="R63" s="7">
        <f>IF(L63="GESCHLOSSEN",
0,
IF(L63="OFFEN",
(O63/(M63*F63))))</f>
        <v>-5.8872053872053853E-2</v>
      </c>
      <c r="S63" s="6">
        <f>IF(L63="GESCHLOSSEN",
H63-G63-I63 + SUMIFS(Daten!K:K,Daten!H:H,C63,Daten!E:E,"DIVIDEND"),
IF(L63="OFFEN",
IF(E63=0,
0,
H63+SUMIFS(Daten!K:K,Daten!H:H,C63,Daten!E:E,"DIVIDEND")-(G63-(F63*M63))-I63
),
""))</f>
        <v>0</v>
      </c>
      <c r="T63" s="6">
        <f>IF(E63=0,
0,
(G63-(F63*M63))+I63
)</f>
        <v>0</v>
      </c>
      <c r="U63" s="26">
        <f>COUNTIFS(Daten!H:H,C63,Daten!E:E,"BUY",Daten!L:L,"&lt;0")</f>
        <v>1</v>
      </c>
      <c r="V63" s="26">
        <f>COUNTIFS(Daten!H:H,C63,Daten!E:E,"SELL",Daten!L:L,"&lt;0")</f>
        <v>0</v>
      </c>
      <c r="W63" s="7">
        <f t="shared" si="5"/>
        <v>0</v>
      </c>
      <c r="X63" s="7">
        <f t="shared" si="2"/>
        <v>-5.9268747793999953E-2</v>
      </c>
    </row>
    <row r="72" spans="5:30" x14ac:dyDescent="0.35">
      <c r="E72" s="45" cm="1">
        <f t="array" ref="E72">SUMPRODUCT(
    (Daten!$H$2:$H$10000=C51)*
    (Daten!$E$2:$E$10000="BUY")*
    Daten!$I$2:$I$10000*
    Daten!$J$2:$J$10000
)</f>
        <v>600.06206581999993</v>
      </c>
      <c r="F72" s="5">
        <f>-SUMIFS(Daten!L:L,Daten!H:H,C51,Daten!E:E,"BUY")</f>
        <v>7</v>
      </c>
      <c r="G72" s="44">
        <f>(E72+F72)/D51</f>
        <v>102.74799354192484</v>
      </c>
    </row>
    <row r="73" spans="5:30" x14ac:dyDescent="0.35">
      <c r="E73" s="45" cm="1">
        <f t="array" ref="E73">-SUMPRODUCT(
    (Daten!$H$2:$H$10000=C2)*
    (Daten!$E$2:$E$10000="SELL")*
    Daten!$I$2:$I$10000*
    Daten!$J$2:$J$10000
)</f>
        <v>0</v>
      </c>
      <c r="F73" s="5">
        <f>-SUMIFS(Daten!L:L,Daten!H:H,C2,Daten!E:E,"SELL")</f>
        <v>0</v>
      </c>
      <c r="G73" s="44">
        <f>(E72+F72-E73-F73)/(D2-E2)</f>
        <v>3.7758621485973274</v>
      </c>
      <c r="H73" s="6">
        <f>(E73+F73)/E3</f>
        <v>0</v>
      </c>
    </row>
    <row r="75" spans="5:30" x14ac:dyDescent="0.35">
      <c r="H75" s="44">
        <f>(D3*M3)/F3</f>
        <v>868.48849283571201</v>
      </c>
    </row>
    <row r="77" spans="5:30" x14ac:dyDescent="0.35">
      <c r="AD77" s="19"/>
    </row>
    <row r="78" spans="5:30" x14ac:dyDescent="0.35">
      <c r="AD78" s="19"/>
    </row>
    <row r="83" spans="30:31" x14ac:dyDescent="0.35">
      <c r="AD83" s="1"/>
      <c r="AE83" s="6"/>
    </row>
    <row r="84" spans="30:31" x14ac:dyDescent="0.35">
      <c r="AD84" s="6"/>
      <c r="AE84" s="6"/>
    </row>
    <row r="85" spans="30:31" x14ac:dyDescent="0.35">
      <c r="AD85" s="6"/>
      <c r="AE85" s="6"/>
    </row>
    <row r="86" spans="30:31" x14ac:dyDescent="0.35">
      <c r="AD86" s="6"/>
      <c r="AE86" s="6"/>
    </row>
  </sheetData>
  <autoFilter ref="A1:X63" xr:uid="{00000000-0001-0000-0100-000000000000}"/>
  <sortState xmlns:xlrd2="http://schemas.microsoft.com/office/spreadsheetml/2017/richdata2" ref="A2:AE86">
    <sortCondition ref="A2:A86"/>
  </sortState>
  <conditionalFormatting sqref="O2:O1048576">
    <cfRule type="cellIs" dxfId="36" priority="8" operator="lessThan">
      <formula>0</formula>
    </cfRule>
    <cfRule type="cellIs" dxfId="35" priority="9" operator="greaterThan">
      <formula>0</formula>
    </cfRule>
    <cfRule type="cellIs" dxfId="34" priority="11" operator="greaterThan">
      <formula>0</formula>
    </cfRule>
  </conditionalFormatting>
  <conditionalFormatting sqref="R2:S1048576">
    <cfRule type="cellIs" dxfId="33" priority="3" operator="lessThan">
      <formula>0</formula>
    </cfRule>
    <cfRule type="cellIs" dxfId="32" priority="4" operator="greaterThan">
      <formula>0</formula>
    </cfRule>
  </conditionalFormatting>
  <conditionalFormatting sqref="W2:X1048576">
    <cfRule type="cellIs" dxfId="31" priority="1" operator="lessThan">
      <formula>0</formula>
    </cfRule>
    <cfRule type="cellIs" dxfId="3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0" zoomScale="115" zoomScaleNormal="115" workbookViewId="0">
      <selection activeCell="E131" sqref="E131"/>
    </sheetView>
  </sheetViews>
  <sheetFormatPr baseColWidth="10" defaultRowHeight="14.5" x14ac:dyDescent="0.35"/>
  <cols>
    <col min="1" max="1" width="50.1796875" bestFit="1" customWidth="1"/>
    <col min="2" max="2" width="12.7265625" bestFit="1" customWidth="1"/>
    <col min="3" max="3" width="11" bestFit="1" customWidth="1"/>
    <col min="4" max="4" width="12" bestFit="1" customWidth="1"/>
    <col min="5" max="5" width="12.7265625" bestFit="1" customWidth="1"/>
  </cols>
  <sheetData>
    <row r="1" spans="1:3" s="12" customFormat="1" ht="15.5" x14ac:dyDescent="0.35">
      <c r="A1" s="10" t="s">
        <v>1254</v>
      </c>
      <c r="B1" s="11"/>
    </row>
    <row r="2" spans="1:3" s="12" customFormat="1" ht="15.5" x14ac:dyDescent="0.35">
      <c r="A2" s="10"/>
      <c r="B2" s="11"/>
    </row>
    <row r="3" spans="1:3" s="12" customFormat="1" ht="15.5" x14ac:dyDescent="0.35">
      <c r="A3" s="13" t="s">
        <v>1255</v>
      </c>
      <c r="B3" s="11">
        <f>COUNTA(Auswertung!A:A) - 1</f>
        <v>62</v>
      </c>
      <c r="C3" s="23">
        <f>IF(ABS(B3)&gt;0,B3/B3,0)</f>
        <v>1</v>
      </c>
    </row>
    <row r="4" spans="1:3" s="12" customFormat="1" ht="15.5" x14ac:dyDescent="0.35">
      <c r="A4" s="13" t="s">
        <v>1287</v>
      </c>
      <c r="B4" s="11">
        <f>COUNTIFS(Auswertung!B:B,"STOCK")</f>
        <v>39</v>
      </c>
      <c r="C4" s="23">
        <f>IF(ABS(B3)&gt;0,B4/B3,0)</f>
        <v>0.62903225806451613</v>
      </c>
    </row>
    <row r="5" spans="1:3" s="12" customFormat="1" ht="15.5" x14ac:dyDescent="0.35">
      <c r="A5" s="13" t="s">
        <v>1288</v>
      </c>
      <c r="B5" s="11">
        <f>COUNTIFS(Auswertung!B:B,"FUND")</f>
        <v>14</v>
      </c>
      <c r="C5" s="23">
        <f>IF(ABS(B3)&gt;0,B5/B3,0)</f>
        <v>0.22580645161290322</v>
      </c>
    </row>
    <row r="6" spans="1:3" s="12" customFormat="1" ht="15.5" x14ac:dyDescent="0.35">
      <c r="A6" s="13" t="s">
        <v>1289</v>
      </c>
      <c r="B6" s="11">
        <f>COUNTIFS(Auswertung!B:B,"CRYPTO")</f>
        <v>9</v>
      </c>
      <c r="C6" s="23">
        <f>IF(ABS(B3)&gt;0,B6/B3,0)</f>
        <v>0.14516129032258066</v>
      </c>
    </row>
    <row r="7" spans="1:3" s="12" customFormat="1" ht="15.5" x14ac:dyDescent="0.35">
      <c r="A7" s="13"/>
      <c r="B7" s="11"/>
    </row>
    <row r="8" spans="1:3" s="12" customFormat="1" ht="15.5" x14ac:dyDescent="0.35">
      <c r="A8" s="13" t="s">
        <v>1293</v>
      </c>
      <c r="B8" s="11">
        <f>COUNTIFS(Auswertung!L:L,"OFFEN")</f>
        <v>29</v>
      </c>
      <c r="C8" s="23">
        <f>IF(ABS(B8)&gt;0,B8/B8,0)</f>
        <v>1</v>
      </c>
    </row>
    <row r="9" spans="1:3" s="12" customFormat="1" ht="15.5" x14ac:dyDescent="0.35">
      <c r="A9" s="13" t="s">
        <v>1290</v>
      </c>
      <c r="B9" s="11">
        <f>COUNTIFS(Auswertung!B:B,"STOCK",Auswertung!L:L,"OFFEN")</f>
        <v>9</v>
      </c>
      <c r="C9" s="23">
        <f>IF(ABS(B8)&gt;0,B9/B8,0)</f>
        <v>0.31034482758620691</v>
      </c>
    </row>
    <row r="10" spans="1:3" s="12" customFormat="1" ht="15.5" x14ac:dyDescent="0.35">
      <c r="A10" s="13" t="s">
        <v>1291</v>
      </c>
      <c r="B10" s="11">
        <f>COUNTIFS(Auswertung!B:B,"FUND",Auswertung!L:L,"OFFEN")</f>
        <v>11</v>
      </c>
      <c r="C10" s="23">
        <f>IF(ABS(B8)&gt;0,B10/B8,0)</f>
        <v>0.37931034482758619</v>
      </c>
    </row>
    <row r="11" spans="1:3" s="12" customFormat="1" ht="15.5" x14ac:dyDescent="0.35">
      <c r="A11" s="13" t="s">
        <v>1292</v>
      </c>
      <c r="B11" s="11">
        <f>COUNTIFS(Auswertung!B:B,"CRYPTO",Auswertung!L:L,"OFFEN")</f>
        <v>9</v>
      </c>
      <c r="C11" s="23">
        <f>IF(ABS(B8)&gt;0,B11/B8,0)</f>
        <v>0.31034482758620691</v>
      </c>
    </row>
    <row r="12" spans="1:3" s="12" customFormat="1" ht="15.5" x14ac:dyDescent="0.35">
      <c r="A12" s="13"/>
      <c r="B12" s="11"/>
    </row>
    <row r="13" spans="1:3" s="12" customFormat="1" ht="15.5" x14ac:dyDescent="0.35">
      <c r="A13" s="13" t="s">
        <v>1294</v>
      </c>
      <c r="B13" s="11">
        <f>COUNTIFS(Auswertung!L:L,"GESCHLOSSEN")</f>
        <v>33</v>
      </c>
    </row>
    <row r="14" spans="1:3" s="12" customFormat="1" ht="15.5" x14ac:dyDescent="0.35">
      <c r="A14" s="13" t="s">
        <v>1295</v>
      </c>
      <c r="B14" s="11">
        <f>COUNTIFS(Auswertung!B:B,"STOCK",Auswertung!L:L,"GESCHLOSSEN")</f>
        <v>30</v>
      </c>
    </row>
    <row r="15" spans="1:3" s="12" customFormat="1" ht="15.5" x14ac:dyDescent="0.35">
      <c r="A15" s="13" t="s">
        <v>1296</v>
      </c>
      <c r="B15" s="11">
        <f>COUNTIFS(Auswertung!B:B,"FUND",Auswertung!L:L,"GESCHLOSSEN")</f>
        <v>3</v>
      </c>
    </row>
    <row r="16" spans="1:3" s="12" customFormat="1" ht="15.5" x14ac:dyDescent="0.35">
      <c r="A16" s="13" t="s">
        <v>1297</v>
      </c>
      <c r="B16" s="11">
        <f>COUNTIFS(Auswertung!B:B,"CRYPTO",Auswertung!L:L,"GESCHLOSSEN")</f>
        <v>0</v>
      </c>
    </row>
    <row r="17" spans="1:5" s="12" customFormat="1" ht="15.5" x14ac:dyDescent="0.35">
      <c r="A17" s="13"/>
      <c r="B17" s="11"/>
    </row>
    <row r="18" spans="1:5" s="12" customFormat="1" ht="15.5" x14ac:dyDescent="0.35">
      <c r="A18" s="13" t="s">
        <v>1372</v>
      </c>
      <c r="B18" s="14">
        <f>SUM(Auswertung!G:G)-SUMIFS(Daten!L:L,Daten!E:E,"BUY")</f>
        <v>24990.633855690528</v>
      </c>
      <c r="D18" s="22">
        <f>-SUMIFS(Daten!K:K,Daten!E:E,"BUY")-SUMIFS(Daten!L:L,Daten!E:E,"BUY")</f>
        <v>24884.110000000004</v>
      </c>
    </row>
    <row r="19" spans="1:5" s="12" customFormat="1" ht="15.5" x14ac:dyDescent="0.35">
      <c r="A19" s="13" t="s">
        <v>1373</v>
      </c>
      <c r="B19" s="14">
        <f>SUMIFS(Auswertung!G:G,Auswertung!B:B,"STOCK")+SUMIFS(Auswertung!G:G,Auswertung!B:B,"FUND")-SUMIFS(Daten!L:L,Daten!E:E,"BUY",Daten!F:F,"STOCK")-SUMIFS(Daten!L:L,Daten!E:E,"BUY",Daten!F:F,"FUND")</f>
        <v>22802.46</v>
      </c>
      <c r="C19" s="23">
        <f>IF(ABS(B18)&gt;0,B19/B18,0)</f>
        <v>0.91244024187916839</v>
      </c>
      <c r="D19" s="22">
        <f>-SUMIFS(Daten!K:K,Daten!F:F,"STOCK",Daten!E:E,"BUY")-SUMIFS(Daten!K:K,Daten!F:F,"FUND",Daten!E:E,"BUY")-SUMIFS(Daten!L:L,Daten!E:E,"BUY",Daten!F:F,"STOCK")-SUMIFS(Daten!L:L,Daten!E:E,"BUY",Daten!F:F,"FUND")</f>
        <v>22802.46</v>
      </c>
    </row>
    <row r="20" spans="1:5" s="12" customFormat="1" ht="15.5" x14ac:dyDescent="0.35">
      <c r="A20" s="13" t="s">
        <v>1374</v>
      </c>
      <c r="B20" s="14">
        <f>SUMIFS(Auswertung!G:G,Auswertung!B:B,"STOCK")-SUMIFS(Daten!L:L,Daten!E:E,"BUY",Daten!F:F,"STOCK")</f>
        <v>13100.289999999999</v>
      </c>
      <c r="C20" s="23">
        <f>IF(ABS(B18)&gt;0,B20/B18,0)</f>
        <v>0.52420799230816539</v>
      </c>
      <c r="D20" s="22">
        <f>-SUMIFS(Daten!K:K,Daten!F:F,"STOCK",Daten!E:E,"BUY")-SUMIFS(Daten!L:L,Daten!E:E,"BUY",Daten!F:F,"STOCK")</f>
        <v>13100.289999999999</v>
      </c>
    </row>
    <row r="21" spans="1:5" s="12" customFormat="1" ht="15.5" x14ac:dyDescent="0.35">
      <c r="A21" s="13" t="s">
        <v>1375</v>
      </c>
      <c r="B21" s="14">
        <f>SUMIFS(Auswertung!G:G,Auswertung!B:B,"FUND")-SUMIFS(Daten!L:L,Daten!E:E,"BUY",Daten!F:F,"FUND")</f>
        <v>9702.17</v>
      </c>
      <c r="C21" s="23">
        <f>IF(ABS(B18)&gt;0,B21/B18,0)</f>
        <v>0.38823224957100294</v>
      </c>
      <c r="D21" s="22">
        <f>-SUMIFS(Daten!K:K,Daten!F:F,"FUND",Daten!E:E,"BUY")-SUMIFS(Daten!L:L,Daten!E:E,"BUY",Daten!F:F,"FUND")</f>
        <v>9702.1699999999983</v>
      </c>
    </row>
    <row r="22" spans="1:5" s="12" customFormat="1" ht="15.5" x14ac:dyDescent="0.35">
      <c r="A22" s="13" t="s">
        <v>1376</v>
      </c>
      <c r="B22" s="14">
        <f>SUMIFS(Auswertung!G:G,Auswertung!B:B,"CRYPTO")-SUMIFS(Daten!L:L,Daten!E:E,"BUY",Daten!F:F,"CRYPTO")</f>
        <v>2081.65</v>
      </c>
      <c r="C22" s="23">
        <f>IF(ABS(B18)&gt;0,B22/B18,0)</f>
        <v>8.3297206946433458E-2</v>
      </c>
      <c r="D22" s="22">
        <f>-SUMIFS(Daten!K:K,Daten!F:F,"CRYPTO",Daten!E:E,"BUY")-SUMIFS(Daten!L:L,Daten!E:E,"BUY",Daten!F:F,"CRYPTO")</f>
        <v>2081.65</v>
      </c>
    </row>
    <row r="23" spans="1:5" s="12" customFormat="1" ht="15.5" x14ac:dyDescent="0.35">
      <c r="A23" s="13"/>
      <c r="B23" s="14"/>
      <c r="C23" s="23"/>
      <c r="D23" s="22"/>
    </row>
    <row r="24" spans="1:5" s="12" customFormat="1" ht="15.5" x14ac:dyDescent="0.35">
      <c r="A24" s="13" t="s">
        <v>1377</v>
      </c>
      <c r="B24" s="14">
        <f>SUM(Auswertung!G:G)</f>
        <v>24770.633855690528</v>
      </c>
      <c r="C24" s="23"/>
      <c r="D24" s="22">
        <f>-SUMIFS(Daten!K:K,Daten!E:E,"BUY")</f>
        <v>24664.110000000004</v>
      </c>
    </row>
    <row r="25" spans="1:5" s="12" customFormat="1" ht="15.5" x14ac:dyDescent="0.35">
      <c r="A25" s="13" t="s">
        <v>1378</v>
      </c>
      <c r="B25" s="14">
        <f>SUMIFS(Auswertung!G:G,Auswertung!B:B,"STOCK")+SUMIFS(Auswertung!G:G,Auswertung!B:B,"FUND")</f>
        <v>22621.46</v>
      </c>
      <c r="C25" s="23">
        <f>IF(ABS(B24)&gt;0,B25/B24,0)</f>
        <v>0.91323702622180569</v>
      </c>
      <c r="D25" s="22">
        <f>-SUMIFS(Daten!K:K,Daten!F:F,"STOCK",Daten!E:E,"BUY")-SUMIFS(Daten!K:K,Daten!F:F,"FUND",Daten!E:E,"BUY")</f>
        <v>22621.46</v>
      </c>
    </row>
    <row r="26" spans="1:5" s="12" customFormat="1" ht="15.5" x14ac:dyDescent="0.35">
      <c r="A26" s="13" t="s">
        <v>1379</v>
      </c>
      <c r="B26" s="14">
        <f>SUMIFS(Auswertung!G:G,Auswertung!B:B,"STOCK")</f>
        <v>12971.289999999999</v>
      </c>
      <c r="C26" s="23">
        <f>IF(ABS(B24)&gt;0,B26/B24,0)</f>
        <v>0.52365595792051645</v>
      </c>
      <c r="D26" s="22">
        <f>-SUMIFS(Daten!K:K,Daten!F:F,"STOCK",Daten!E:E,"BUY")</f>
        <v>12971.289999999999</v>
      </c>
    </row>
    <row r="27" spans="1:5" s="12" customFormat="1" ht="15.5" x14ac:dyDescent="0.35">
      <c r="A27" s="13" t="s">
        <v>1380</v>
      </c>
      <c r="B27" s="14">
        <f>SUMIFS(Auswertung!G:G,Auswertung!B:B,"FUND")</f>
        <v>9650.17</v>
      </c>
      <c r="C27" s="23">
        <f>IF(ABS(B24)&gt;0,B27/B24,0)</f>
        <v>0.38958106830128925</v>
      </c>
      <c r="D27" s="22">
        <f>-SUMIFS(Daten!K:K,Daten!F:F,"FUND",Daten!E:E,"BUY")</f>
        <v>9650.1699999999983</v>
      </c>
    </row>
    <row r="28" spans="1:5" s="12" customFormat="1" ht="15.5" x14ac:dyDescent="0.35">
      <c r="A28" s="13" t="s">
        <v>1381</v>
      </c>
      <c r="B28" s="14">
        <f>SUMIFS(Auswertung!G:G,Auswertung!B:B,"CRYPTO")</f>
        <v>2042.65</v>
      </c>
      <c r="C28" s="23">
        <f>IF(ABS(B24)&gt;0,B28/B24,0)</f>
        <v>8.2462564821721124E-2</v>
      </c>
      <c r="D28" s="22">
        <f>-SUMIFS(Daten!K:K,Daten!F:F,"CRYPTO",Daten!E:E,"BUY")</f>
        <v>2042.65</v>
      </c>
    </row>
    <row r="29" spans="1:5" s="12" customFormat="1" ht="15.5" x14ac:dyDescent="0.35">
      <c r="A29" s="13"/>
      <c r="B29" s="14"/>
    </row>
    <row r="30" spans="1:5" s="12" customFormat="1" ht="15.5" x14ac:dyDescent="0.35">
      <c r="A30" s="13" t="s">
        <v>1386</v>
      </c>
      <c r="B30" s="14">
        <f>SUM(Auswertung!H:H)-SUMIFS(Daten!L:L,Daten!E:E,"SELL")</f>
        <v>15781.308492835713</v>
      </c>
      <c r="D30" s="22">
        <f>SUMIFS(Daten!K:K,Daten!E:E,"SELL")-SUMIFS(Daten!L:L,Daten!E:E,"SELL")</f>
        <v>14912.820000000002</v>
      </c>
      <c r="E30" s="22"/>
    </row>
    <row r="31" spans="1:5" s="12" customFormat="1" ht="15.5" x14ac:dyDescent="0.35">
      <c r="A31" s="13" t="s">
        <v>1382</v>
      </c>
      <c r="B31" s="14">
        <f>SUMIFS(Auswertung!H:H,Auswertung!B:B,"STOCK")+SUMIFS(Auswertung!H:H,Auswertung!B:B,"FUND")-SUMIFS(Daten!L:L,Daten!E:E,"SELL",Daten!F:F,"STOCK")-SUMIFS(Daten!L:L,Daten!E:E,"SELL",Daten!F:F,"FUND")</f>
        <v>14050.259999999998</v>
      </c>
      <c r="C31" s="23">
        <f>IF(ABS(B30)&gt;0,B31/B30,0)</f>
        <v>0.89031020503644775</v>
      </c>
      <c r="D31" s="22">
        <f>SUMIFS(Daten!K:K,Daten!F:F,"STOCK",Daten!E:E,"SELL")+SUMIFS(Daten!K:K,Daten!F:F,"FUND",Daten!E:E,"SELL")-SUMIFS(Daten!L:L,Daten!E:E,"SELL",Daten!F:F,"STOCK")-SUMIFS(Daten!L:L,Daten!E:E,"SELL",Daten!F:F,"FUND")</f>
        <v>14050.259999999998</v>
      </c>
      <c r="E31" s="22"/>
    </row>
    <row r="32" spans="1:5" s="12" customFormat="1" ht="15.5" x14ac:dyDescent="0.35">
      <c r="A32" s="13" t="s">
        <v>1383</v>
      </c>
      <c r="B32" s="14">
        <f>SUMIFS(Auswertung!H:H,Auswertung!B:B,"STOCK")-SUMIFS(Daten!L:L,Daten!E:E,"SELL",Daten!F:F,"STOCK")</f>
        <v>10544.709999999997</v>
      </c>
      <c r="C32" s="23">
        <f>IF(ABS(B30)&gt;0,B32/B30,0)</f>
        <v>0.66817716698124308</v>
      </c>
      <c r="D32" s="22">
        <f>SUMIFS(Daten!K:K,Daten!F:F,"STOCK",Daten!E:E,"SELL")-SUMIFS(Daten!L:L,Daten!E:E,"SELL",Daten!F:F,"STOCK")</f>
        <v>10544.71</v>
      </c>
    </row>
    <row r="33" spans="1:4" s="12" customFormat="1" ht="15.5" x14ac:dyDescent="0.35">
      <c r="A33" s="13" t="s">
        <v>1384</v>
      </c>
      <c r="B33" s="14">
        <f>SUMIFS(Auswertung!H:H,Auswertung!B:B,"FUND")-SUMIFS(Daten!L:L,Daten!E:E,"SELL",Daten!F:F,"FUND")</f>
        <v>3505.55</v>
      </c>
      <c r="C33" s="23">
        <f>IF(ABS(B30)&gt;0,B33/B30,0)</f>
        <v>0.22213303805520468</v>
      </c>
      <c r="D33" s="22">
        <f>SUMIFS(Daten!K:K,Daten!F:F,"FUND",Daten!E:E,"SELL")-SUMIFS(Daten!L:L,Daten!E:E,"SELL",Daten!F:F,"FUND")</f>
        <v>3505.55</v>
      </c>
    </row>
    <row r="34" spans="1:4" s="12" customFormat="1" ht="15.5" x14ac:dyDescent="0.35">
      <c r="A34" s="13" t="s">
        <v>1385</v>
      </c>
      <c r="B34" s="14">
        <f>SUMIFS(Auswertung!H:H,Auswertung!B:B,"CRYPTO")-SUMIFS(Daten!L:L,Daten!E:E,"SELL",Daten!F:F,"CRYPTO")</f>
        <v>862.56000000000006</v>
      </c>
      <c r="C34" s="23">
        <f>IF(ABS(B30)&gt;0,B33/B30,0)</f>
        <v>0.22213303805520468</v>
      </c>
      <c r="D34" s="22">
        <f>SUMIFS(Daten!K:K,Daten!F:F,"CRYPTO",Daten!E:E,"SELL")-SUMIFS(Daten!L:L,Daten!E:E,"SELL",Daten!F:F,"CRYPTO")</f>
        <v>862.56000000000006</v>
      </c>
    </row>
    <row r="35" spans="1:4" s="12" customFormat="1" ht="15.5" x14ac:dyDescent="0.35">
      <c r="A35" s="13"/>
      <c r="B35" s="14"/>
      <c r="C35" s="23"/>
      <c r="D35" s="22"/>
    </row>
    <row r="36" spans="1:4" s="12" customFormat="1" ht="15.5" x14ac:dyDescent="0.35">
      <c r="A36" s="13" t="s">
        <v>1387</v>
      </c>
      <c r="B36" s="14">
        <f>SUM(Auswertung!H:H)</f>
        <v>15713.308492835713</v>
      </c>
      <c r="C36" s="23"/>
      <c r="D36" s="22">
        <f>SUMIFS(Daten!K:K,Daten!E:E,"SELL")</f>
        <v>14844.820000000002</v>
      </c>
    </row>
    <row r="37" spans="1:4" s="12" customFormat="1" ht="15.5" x14ac:dyDescent="0.35">
      <c r="A37" s="13" t="s">
        <v>1388</v>
      </c>
      <c r="B37" s="14">
        <f>SUMIFS(Auswertung!H:H,Auswertung!B:B,"STOCK")+SUMIFS(Auswertung!H:H,Auswertung!B:B,"FUND")</f>
        <v>13984.259999999998</v>
      </c>
      <c r="C37" s="23">
        <f>IF(ABS(B36)&gt;0,B37/B36,0)</f>
        <v>0.88996279850140714</v>
      </c>
      <c r="D37" s="22">
        <f>SUMIFS(Daten!K:K,Daten!F:F,"STOCK",Daten!E:E,"SELL")+SUMIFS(Daten!K:K,Daten!F:F,"FUND",Daten!E:E,"SELL")</f>
        <v>13984.259999999998</v>
      </c>
    </row>
    <row r="38" spans="1:4" s="12" customFormat="1" ht="15.5" x14ac:dyDescent="0.35">
      <c r="A38" s="13" t="s">
        <v>1389</v>
      </c>
      <c r="B38" s="14">
        <f>SUMIFS(Auswertung!H:H,Auswertung!B:B,"STOCK")</f>
        <v>10485.709999999997</v>
      </c>
      <c r="C38" s="23">
        <f>IF(ABS(B36)&gt;0,B38/B36,0)</f>
        <v>0.6673139526778098</v>
      </c>
      <c r="D38" s="22">
        <f>SUMIFS(Daten!K:K,Daten!F:F,"STOCK",Daten!E:E,"SELL")</f>
        <v>10485.709999999999</v>
      </c>
    </row>
    <row r="39" spans="1:4" s="12" customFormat="1" ht="15.5" x14ac:dyDescent="0.35">
      <c r="A39" s="13" t="s">
        <v>1390</v>
      </c>
      <c r="B39" s="14">
        <f>SUMIFS(Auswertung!H:H,Auswertung!B:B,"FUND")</f>
        <v>3498.55</v>
      </c>
      <c r="C39" s="23">
        <f>IF(ABS(B36)&gt;0,B39/B36,0)</f>
        <v>0.22264884582359726</v>
      </c>
      <c r="D39" s="22">
        <f>SUMIFS(Daten!K:K,Daten!F:F,"FUND",Daten!E:E,"SELL")</f>
        <v>3498.55</v>
      </c>
    </row>
    <row r="40" spans="1:4" s="12" customFormat="1" ht="15.5" x14ac:dyDescent="0.35">
      <c r="A40" s="13" t="s">
        <v>1391</v>
      </c>
      <c r="B40" s="14">
        <f>SUMIFS(Auswertung!H:H,Auswertung!B:B,"CRYPTO")</f>
        <v>860.56000000000006</v>
      </c>
      <c r="C40" s="23">
        <f>IF(ABS(B36)&gt;0,B40/B36,0)</f>
        <v>5.4766314833846842E-2</v>
      </c>
      <c r="D40" s="22">
        <f>SUMIFS(Daten!K:K,Daten!F:F,"CRYPTO",Daten!E:E,"SELL")</f>
        <v>860.56000000000006</v>
      </c>
    </row>
    <row r="41" spans="1:4" s="12" customFormat="1" ht="15.5" x14ac:dyDescent="0.35">
      <c r="A41" s="13"/>
      <c r="B41" s="14"/>
    </row>
    <row r="42" spans="1:4" s="12" customFormat="1" ht="15.5" x14ac:dyDescent="0.35">
      <c r="A42" s="13" t="s">
        <v>1256</v>
      </c>
      <c r="B42" s="14">
        <f>SUM(Auswertung!I:I)</f>
        <v>288</v>
      </c>
      <c r="C42" s="22">
        <f>-SUM(Daten!L:L)</f>
        <v>288</v>
      </c>
      <c r="D42" s="23"/>
    </row>
    <row r="43" spans="1:4" s="12" customFormat="1" ht="15.5" x14ac:dyDescent="0.35">
      <c r="A43" s="13" t="s">
        <v>1366</v>
      </c>
      <c r="B43" s="14">
        <f>SUMIFS(Auswertung!I:I,Auswertung!B:B,"STOCK")+SUMIFS(Auswertung!I:I,Auswertung!B:B,"FUND")</f>
        <v>247</v>
      </c>
      <c r="C43" s="22">
        <f xml:space="preserve"> -SUMIFS(Daten!L:L,Daten!F:F,"STOCK")-SUMIFS(Daten!L:L,Daten!F:F,"FUND")</f>
        <v>247</v>
      </c>
      <c r="D43" s="23">
        <f>IF(ABS(C42)&gt;0,C43/C42,0)</f>
        <v>0.85763888888888884</v>
      </c>
    </row>
    <row r="44" spans="1:4" s="12" customFormat="1" ht="15.5" x14ac:dyDescent="0.35">
      <c r="A44" s="13" t="s">
        <v>1301</v>
      </c>
      <c r="B44" s="14">
        <f>SUMIFS(Auswertung!I:I,Auswertung!B:B,"STOCK")</f>
        <v>188</v>
      </c>
      <c r="C44" s="22">
        <f xml:space="preserve"> -SUMIFS(Daten!L:L,Daten!F:F,"STOCK")</f>
        <v>188</v>
      </c>
      <c r="D44" s="23">
        <f>IF(ABS(C42)&gt;0,C44/C42,0)</f>
        <v>0.65277777777777779</v>
      </c>
    </row>
    <row r="45" spans="1:4" s="12" customFormat="1" ht="15.5" x14ac:dyDescent="0.35">
      <c r="A45" s="13" t="s">
        <v>1302</v>
      </c>
      <c r="B45" s="14">
        <f>SUMIFS(Auswertung!I:I,Auswertung!B:B,"FUND")</f>
        <v>59</v>
      </c>
      <c r="C45" s="22">
        <f xml:space="preserve"> -SUMIFS(Daten!L:L,Daten!F:F,"FUND")</f>
        <v>59</v>
      </c>
      <c r="D45" s="23">
        <f>IF(ABS(C42)&gt;0,C45/C42,0)</f>
        <v>0.2048611111111111</v>
      </c>
    </row>
    <row r="46" spans="1:4" s="12" customFormat="1" ht="15.5" x14ac:dyDescent="0.35">
      <c r="A46" s="13" t="s">
        <v>1303</v>
      </c>
      <c r="B46" s="14">
        <f>SUMIFS(Auswertung!I:I,Auswertung!B:B,"CRYPTO")</f>
        <v>41</v>
      </c>
      <c r="C46" s="22">
        <f xml:space="preserve"> -SUMIFS(Daten!L:L,Daten!F:F,"CRYPTO")</f>
        <v>41</v>
      </c>
      <c r="D46" s="23">
        <f>IF(ABS(C42)&gt;0,C46/C42,0)</f>
        <v>0.1423611111111111</v>
      </c>
    </row>
    <row r="47" spans="1:4" s="12" customFormat="1" ht="15.5" x14ac:dyDescent="0.35">
      <c r="A47" s="13"/>
      <c r="B47" s="14"/>
    </row>
    <row r="48" spans="1:4" s="12" customFormat="1" ht="15.5" x14ac:dyDescent="0.35">
      <c r="A48" s="13" t="s">
        <v>1350</v>
      </c>
      <c r="B48" s="14">
        <f xml:space="preserve"> -SUMIFS(Daten!L:L,Daten!E:E,"BUY")</f>
        <v>220</v>
      </c>
    </row>
    <row r="49" spans="1:3" s="12" customFormat="1" ht="15.5" x14ac:dyDescent="0.35">
      <c r="A49" s="13" t="s">
        <v>1367</v>
      </c>
      <c r="B49" s="14">
        <f xml:space="preserve"> -SUMIFS(Daten!L:L,Daten!E:E,"BUY",Daten!F:F,"STOCK")-SUMIFS(Daten!L:L,Daten!E:E,"BUY",Daten!F:F,"FUND")</f>
        <v>181</v>
      </c>
      <c r="C49" s="23">
        <f>IF(ABS(B48)&gt;0,B49/B48,0)</f>
        <v>0.82272727272727275</v>
      </c>
    </row>
    <row r="50" spans="1:3" s="12" customFormat="1" ht="15.5" x14ac:dyDescent="0.35">
      <c r="A50" s="13" t="s">
        <v>1351</v>
      </c>
      <c r="B50" s="14">
        <f xml:space="preserve"> -SUMIFS(Daten!L:L,Daten!E:E,"BUY",Daten!F:F,"STOCK")</f>
        <v>129</v>
      </c>
      <c r="C50" s="23">
        <f>IF(ABS(B48)&gt;0,B50/B48,0)</f>
        <v>0.58636363636363631</v>
      </c>
    </row>
    <row r="51" spans="1:3" s="12" customFormat="1" ht="15.5" x14ac:dyDescent="0.35">
      <c r="A51" s="13" t="s">
        <v>1352</v>
      </c>
      <c r="B51" s="14">
        <f xml:space="preserve"> -SUMIFS(Daten!L:L,Daten!E:E,"BUY",Daten!F:F,"FUND")</f>
        <v>52</v>
      </c>
      <c r="C51" s="23">
        <f>IF(ABS(B48)&gt;0,B51/B48,0)</f>
        <v>0.23636363636363636</v>
      </c>
    </row>
    <row r="52" spans="1:3" s="12" customFormat="1" ht="15.5" x14ac:dyDescent="0.35">
      <c r="A52" s="13" t="s">
        <v>1353</v>
      </c>
      <c r="B52" s="14">
        <f xml:space="preserve"> -SUMIFS(Daten!L:L,Daten!E:E,"BUY",Daten!F:F,"CRYPTO")</f>
        <v>39</v>
      </c>
      <c r="C52" s="23">
        <f>IF(ABS(B48)&gt;0,B52/B48,0)</f>
        <v>0.17727272727272728</v>
      </c>
    </row>
    <row r="53" spans="1:3" s="12" customFormat="1" ht="15.5" x14ac:dyDescent="0.35">
      <c r="A53" s="13"/>
      <c r="B53" s="14"/>
    </row>
    <row r="54" spans="1:3" s="12" customFormat="1" ht="15.5" x14ac:dyDescent="0.35">
      <c r="A54" s="13" t="s">
        <v>1355</v>
      </c>
      <c r="B54" s="14">
        <f xml:space="preserve"> -SUMIFS(Daten!L:L,Daten!E:E,"SELL")</f>
        <v>68</v>
      </c>
      <c r="C54" s="23"/>
    </row>
    <row r="55" spans="1:3" s="12" customFormat="1" ht="15.5" x14ac:dyDescent="0.35">
      <c r="A55" s="13" t="s">
        <v>1368</v>
      </c>
      <c r="B55" s="14">
        <f xml:space="preserve"> -SUMIFS(Daten!L:L,Daten!E:E,"SELL",Daten!F:F,"STOCK")-SUMIFS(Daten!L:L,Daten!E:E,"SELL",Daten!F:F,"FUND")</f>
        <v>66</v>
      </c>
      <c r="C55" s="23">
        <f>IF(ABS(B54)&gt;0,B55/B54,0)</f>
        <v>0.97058823529411764</v>
      </c>
    </row>
    <row r="56" spans="1:3" s="12" customFormat="1" ht="15.5" x14ac:dyDescent="0.35">
      <c r="A56" s="13" t="s">
        <v>1354</v>
      </c>
      <c r="B56" s="14">
        <f xml:space="preserve"> -SUMIFS(Daten!L:L,Daten!E:E,"SELL",Daten!F:F,"STOCK")</f>
        <v>59</v>
      </c>
      <c r="C56" s="23">
        <f>IF(ABS(B54)&gt;0,B56/B54,0)</f>
        <v>0.86764705882352944</v>
      </c>
    </row>
    <row r="57" spans="1:3" s="12" customFormat="1" ht="15.5" x14ac:dyDescent="0.35">
      <c r="A57" s="13" t="s">
        <v>1356</v>
      </c>
      <c r="B57" s="14">
        <f xml:space="preserve"> -SUMIFS(Daten!L:L,Daten!E:E,"SELL",Daten!F:F,"FUND")</f>
        <v>7</v>
      </c>
      <c r="C57" s="23">
        <f>IF(ABS(B54)&gt;0,B57/B54,0)</f>
        <v>0.10294117647058823</v>
      </c>
    </row>
    <row r="58" spans="1:3" s="12" customFormat="1" ht="15.5" x14ac:dyDescent="0.35">
      <c r="A58" s="13" t="s">
        <v>1357</v>
      </c>
      <c r="B58" s="14">
        <f xml:space="preserve"> -SUMIFS(Daten!L:L,Daten!E:E,"SELL",Daten!F:F,"CRYPTO")</f>
        <v>2</v>
      </c>
      <c r="C58" s="23">
        <f>IF(ABS(B54)&gt;0,B58/B54,0)</f>
        <v>2.9411764705882353E-2</v>
      </c>
    </row>
    <row r="59" spans="1:3" s="12" customFormat="1" ht="15.5" x14ac:dyDescent="0.35">
      <c r="A59" s="13"/>
      <c r="B59" s="14"/>
      <c r="C59" s="23"/>
    </row>
    <row r="60" spans="1:3" s="12" customFormat="1" ht="15.5" x14ac:dyDescent="0.35">
      <c r="A60" s="13" t="s">
        <v>1397</v>
      </c>
      <c r="B60" s="29">
        <f xml:space="preserve"> SUM(Auswertung!U:U)</f>
        <v>220</v>
      </c>
      <c r="C60" s="23"/>
    </row>
    <row r="61" spans="1:3" s="12" customFormat="1" ht="15.5" x14ac:dyDescent="0.35">
      <c r="A61" s="13" t="s">
        <v>1398</v>
      </c>
      <c r="B61" s="29">
        <f xml:space="preserve"> SUMIFS(Auswertung!U:U,Auswertung!B:B,"STOCK")+SUMIFS(Auswertung!U:U,Auswertung!B:B,"FUND")</f>
        <v>181</v>
      </c>
      <c r="C61" s="23">
        <f>IF(ABS(B60)&gt;0,B61/B60,0)</f>
        <v>0.82272727272727275</v>
      </c>
    </row>
    <row r="62" spans="1:3" s="12" customFormat="1" ht="15.5" x14ac:dyDescent="0.35">
      <c r="A62" s="13" t="s">
        <v>1399</v>
      </c>
      <c r="B62" s="29">
        <f>SUMIFS(Auswertung!U:U,Auswertung!B:B,"STOCK")</f>
        <v>129</v>
      </c>
      <c r="C62" s="23">
        <f>IF(ABS(B60)&gt;0,B62/B60,0)</f>
        <v>0.58636363636363631</v>
      </c>
    </row>
    <row r="63" spans="1:3" s="12" customFormat="1" ht="15.5" x14ac:dyDescent="0.35">
      <c r="A63" s="13" t="s">
        <v>1400</v>
      </c>
      <c r="B63" s="29">
        <f>SUMIFS(Auswertung!U:U,Auswertung!B:B,"FUND")</f>
        <v>52</v>
      </c>
      <c r="C63" s="23">
        <f>IF(ABS(B60)&gt;0,B63/B60,0)</f>
        <v>0.23636363636363636</v>
      </c>
    </row>
    <row r="64" spans="1:3" s="12" customFormat="1" ht="15.5" x14ac:dyDescent="0.35">
      <c r="A64" s="13" t="s">
        <v>1401</v>
      </c>
      <c r="B64" s="29">
        <f>SUMIFS(Auswertung!U:U,Auswertung!B:B,"CRYPTO")</f>
        <v>39</v>
      </c>
      <c r="C64" s="23">
        <f>IF(ABS(B60)&gt;0,B64/B60,0)</f>
        <v>0.17727272727272728</v>
      </c>
    </row>
    <row r="65" spans="1:3" s="12" customFormat="1" ht="15.5" x14ac:dyDescent="0.35">
      <c r="A65" s="13"/>
      <c r="B65" s="29"/>
      <c r="C65" s="23"/>
    </row>
    <row r="66" spans="1:3" s="12" customFormat="1" ht="15.5" x14ac:dyDescent="0.35">
      <c r="A66" s="13" t="s">
        <v>1402</v>
      </c>
      <c r="B66" s="29">
        <f xml:space="preserve"> SUM(Auswertung!V:V)</f>
        <v>68</v>
      </c>
      <c r="C66" s="23"/>
    </row>
    <row r="67" spans="1:3" s="12" customFormat="1" ht="15.5" x14ac:dyDescent="0.35">
      <c r="A67" s="13" t="s">
        <v>1403</v>
      </c>
      <c r="B67" s="29">
        <f xml:space="preserve"> SUMIFS(Auswertung!V:V,Auswertung!B:B,"STOCK")+SUMIFS(Auswertung!V:V,Auswertung!B:B,"FUND")</f>
        <v>66</v>
      </c>
      <c r="C67" s="23">
        <f>IF(ABS(B66)&gt;0,B67/B66,0)</f>
        <v>0.97058823529411764</v>
      </c>
    </row>
    <row r="68" spans="1:3" s="12" customFormat="1" ht="15.5" x14ac:dyDescent="0.35">
      <c r="A68" s="13" t="s">
        <v>1404</v>
      </c>
      <c r="B68" s="29">
        <f>SUMIFS(Auswertung!V:V,Auswertung!B:B,"STOCK")</f>
        <v>59</v>
      </c>
      <c r="C68" s="23">
        <f>IF(ABS(B66)&gt;0,B68/B66,0)</f>
        <v>0.86764705882352944</v>
      </c>
    </row>
    <row r="69" spans="1:3" s="12" customFormat="1" ht="15.5" x14ac:dyDescent="0.35">
      <c r="A69" s="13" t="s">
        <v>1405</v>
      </c>
      <c r="B69" s="29">
        <f>SUMIFS(Auswertung!V:V,Auswertung!B:B,"FUND")</f>
        <v>7</v>
      </c>
      <c r="C69" s="23">
        <f>IF(ABS(B66)&gt;0,B69/B66,0)</f>
        <v>0.10294117647058823</v>
      </c>
    </row>
    <row r="70" spans="1:3" s="12" customFormat="1" ht="15.5" x14ac:dyDescent="0.35">
      <c r="A70" s="13" t="s">
        <v>1406</v>
      </c>
      <c r="B70" s="29">
        <f>SUMIFS(Auswertung!V:V,Auswertung!B:B,"CRYPTO")</f>
        <v>2</v>
      </c>
      <c r="C70" s="23">
        <f>IF(ABS(B66)&gt;0,B70/B66,0)</f>
        <v>2.9411764705882353E-2</v>
      </c>
    </row>
    <row r="71" spans="1:3" s="12" customFormat="1" ht="15.5" x14ac:dyDescent="0.35">
      <c r="A71" s="13"/>
      <c r="B71" s="29"/>
    </row>
    <row r="72" spans="1:3" s="12" customFormat="1" ht="15.5" x14ac:dyDescent="0.35">
      <c r="A72" s="13" t="s">
        <v>1298</v>
      </c>
      <c r="B72" s="14">
        <f>SUM(Auswertung!K:K)</f>
        <v>-10216.23</v>
      </c>
    </row>
    <row r="73" spans="1:3" s="12" customFormat="1" ht="15.5" x14ac:dyDescent="0.35">
      <c r="A73" s="13" t="s">
        <v>1299</v>
      </c>
      <c r="B73" s="14">
        <f>SUMIFS(Auswertung!K:K,Auswertung!B:B,"STOCK") + SUMIFS(Auswertung!K:K,Auswertung!B:B,"FUND")</f>
        <v>-8993.14</v>
      </c>
      <c r="C73" s="23">
        <f>IF(ABS(B72)&gt;0,B73/B72,0)</f>
        <v>0.88027971179192321</v>
      </c>
    </row>
    <row r="74" spans="1:3" s="12" customFormat="1" ht="15.5" x14ac:dyDescent="0.35">
      <c r="A74" s="13" t="s">
        <v>1319</v>
      </c>
      <c r="B74" s="14">
        <f>SUMIFS(Auswertung!K:K,Auswertung!B:B,"STOCK")</f>
        <v>-2743.7400000000007</v>
      </c>
      <c r="C74" s="23">
        <f>IF(ABS(B72)&gt;0,B74/B72,0)</f>
        <v>0.26856678050513749</v>
      </c>
    </row>
    <row r="75" spans="1:3" s="12" customFormat="1" ht="15.5" x14ac:dyDescent="0.35">
      <c r="A75" s="13" t="s">
        <v>1320</v>
      </c>
      <c r="B75" s="14">
        <f>SUMIFS(Auswertung!K:K,Auswertung!B:B,"FUND")</f>
        <v>-6249.4</v>
      </c>
      <c r="C75" s="23">
        <f>IF(ABS(B72)&gt;0,B75/B72,0)</f>
        <v>0.61171293128678583</v>
      </c>
    </row>
    <row r="76" spans="1:3" s="12" customFormat="1" ht="15.5" x14ac:dyDescent="0.35">
      <c r="A76" s="13" t="s">
        <v>1300</v>
      </c>
      <c r="B76" s="14">
        <f>SUMIFS(Auswertung!K:K,Auswertung!B:B,"CRYPTO")</f>
        <v>-1223.0899999999999</v>
      </c>
      <c r="C76" s="23">
        <f>IF(ABS(B72)&gt;0,B76/B72,0)</f>
        <v>0.11972028820807676</v>
      </c>
    </row>
    <row r="77" spans="1:3" s="12" customFormat="1" ht="15.5" x14ac:dyDescent="0.35">
      <c r="A77" s="13"/>
      <c r="B77" s="14"/>
    </row>
    <row r="78" spans="1:3" s="12" customFormat="1" ht="15.5" x14ac:dyDescent="0.35">
      <c r="A78" s="13" t="s">
        <v>1333</v>
      </c>
      <c r="B78" s="14">
        <f>SUM(Auswertung!S:S) + SUM(Daten!M:M)</f>
        <v>1431.8038390300001</v>
      </c>
    </row>
    <row r="79" spans="1:3" s="12" customFormat="1" ht="15.5" x14ac:dyDescent="0.35">
      <c r="A79" s="13" t="s">
        <v>1334</v>
      </c>
      <c r="B79" s="14">
        <f>SUMIFS(Auswertung!S:S,Auswertung!B:B,"STOCK") + SUMIFS(Auswertung!S:S,Auswertung!B:B,"FUND") + SUMIFS(Daten!M:M,Daten!F:F,"STOCK")+SUMIFS(Daten!M:M,Daten!F:F,"FUND")</f>
        <v>1350.07383903</v>
      </c>
      <c r="C79" s="23">
        <f>IF(ABS(B78)&gt;0,B79/B78,0)</f>
        <v>0.94291815835933968</v>
      </c>
    </row>
    <row r="80" spans="1:3" s="12" customFormat="1" ht="15.5" x14ac:dyDescent="0.35">
      <c r="A80" s="13" t="s">
        <v>1335</v>
      </c>
      <c r="B80" s="14">
        <f>SUMIFS(Auswertung!S:S,Auswertung!B:B,"STOCK") + SUMIFS(Daten!M:M,Daten!F:F,"STOCK")</f>
        <v>1024.4236081299998</v>
      </c>
      <c r="C80" s="23">
        <f>IF(ABS(B78)&gt;0,B80/B78,0)</f>
        <v>0.71547762354374822</v>
      </c>
    </row>
    <row r="81" spans="1:3" s="12" customFormat="1" ht="15.5" x14ac:dyDescent="0.35">
      <c r="A81" s="13" t="s">
        <v>1336</v>
      </c>
      <c r="B81" s="14">
        <f>SUMIFS(Auswertung!S:S,Auswertung!B:B,"FUND") + SUMIFS(Daten!M:M,Daten!F:F,"FUND")</f>
        <v>325.65023090000011</v>
      </c>
      <c r="C81" s="23">
        <f>IF(ABS(B78)&gt;0,B81/B78,0)</f>
        <v>0.22744053481559137</v>
      </c>
    </row>
    <row r="82" spans="1:3" s="12" customFormat="1" ht="15.5" x14ac:dyDescent="0.35">
      <c r="A82" s="13" t="s">
        <v>1337</v>
      </c>
      <c r="B82" s="14">
        <f>SUMIFS(Auswertung!S:S,Auswertung!B:B,"CRYPTO") + SUMIFS(Daten!M:M,Daten!F:F,"CRYPTO")</f>
        <v>65.260000000000105</v>
      </c>
      <c r="C82" s="23">
        <f>IF(ABS(B78)&gt;0,B82/B78,0)</f>
        <v>4.5578869270396428E-2</v>
      </c>
    </row>
    <row r="83" spans="1:3" s="12" customFormat="1" ht="15.5" x14ac:dyDescent="0.35">
      <c r="A83" s="13"/>
      <c r="B83" s="14"/>
    </row>
    <row r="84" spans="1:3" s="12" customFormat="1" ht="15.5" x14ac:dyDescent="0.35">
      <c r="A84" s="13" t="s">
        <v>1278</v>
      </c>
      <c r="B84" s="14">
        <f xml:space="preserve"> SUM(Daten!M:M)</f>
        <v>-92.79</v>
      </c>
    </row>
    <row r="85" spans="1:3" s="12" customFormat="1" ht="15.5" x14ac:dyDescent="0.35">
      <c r="A85" s="13" t="s">
        <v>1392</v>
      </c>
      <c r="B85" s="14">
        <f xml:space="preserve"> SUMIFS(Daten!M:M,Daten!F:F,"STOCK")+SUMIFS(Daten!M:M,Daten!F:F,"FUND") + SUMIFS(Daten!M:M,Daten!E:E,"TAX_OPTIMIZATION")</f>
        <v>-92.789999999999992</v>
      </c>
    </row>
    <row r="86" spans="1:3" s="12" customFormat="1" ht="15.5" x14ac:dyDescent="0.35">
      <c r="A86" s="13" t="s">
        <v>1304</v>
      </c>
      <c r="B86" s="14">
        <f xml:space="preserve"> SUMIFS(Daten!M:M,Daten!F:F,"STOCK") + SUMIFS(Daten!M:M,Daten!E:E,"TAX_OPTIMIZATION")</f>
        <v>-54.009999999999991</v>
      </c>
    </row>
    <row r="87" spans="1:3" s="12" customFormat="1" ht="15.5" x14ac:dyDescent="0.35">
      <c r="A87" s="13" t="s">
        <v>1305</v>
      </c>
      <c r="B87" s="14">
        <f xml:space="preserve"> SUMIFS(Daten!M:M,Daten!F:F,"FUND")</f>
        <v>-38.78</v>
      </c>
    </row>
    <row r="88" spans="1:3" s="12" customFormat="1" ht="15.5" x14ac:dyDescent="0.35">
      <c r="A88" s="13" t="s">
        <v>1306</v>
      </c>
      <c r="B88" s="14">
        <f xml:space="preserve"> SUMIFS(Daten!M:M,Daten!F:F,"CRYPTO")</f>
        <v>0</v>
      </c>
    </row>
    <row r="89" spans="1:3" s="12" customFormat="1" ht="15.5" x14ac:dyDescent="0.35">
      <c r="A89" s="13" t="s">
        <v>1307</v>
      </c>
      <c r="B89" s="14">
        <f xml:space="preserve"> SUMIFS(Daten!M:M,Daten!E:E,"TAX_OPTIMIZATION")</f>
        <v>16.47</v>
      </c>
    </row>
    <row r="90" spans="1:3" s="12" customFormat="1" ht="15.5" x14ac:dyDescent="0.35">
      <c r="A90" s="13"/>
      <c r="B90" s="14"/>
    </row>
    <row r="91" spans="1:3" s="12" customFormat="1" ht="15.5" x14ac:dyDescent="0.35">
      <c r="A91" s="13" t="s">
        <v>1279</v>
      </c>
      <c r="B91" s="14">
        <f>SUMIFS(Auswertung!P:P,Auswertung!L:L,"OFFEN")</f>
        <v>10646.078795605426</v>
      </c>
    </row>
    <row r="92" spans="1:3" s="12" customFormat="1" ht="15.5" x14ac:dyDescent="0.35">
      <c r="A92" s="13" t="s">
        <v>1285</v>
      </c>
      <c r="B92" s="14">
        <f>SUMIFS(Auswertung!P:P,Auswertung!L:L,"OFFEN",Auswertung!B:B,"STOCK")
+SUMIFS(Auswertung!P:P,Auswertung!L:L,"OFFEN",Auswertung!B:B,"FUND")</f>
        <v>9312.2562504810994</v>
      </c>
      <c r="C92" s="23">
        <f>IF(ABS(B91)&gt;0,B92/B91,0)</f>
        <v>0.87471231701996111</v>
      </c>
    </row>
    <row r="93" spans="1:3" s="12" customFormat="1" ht="15.5" x14ac:dyDescent="0.35">
      <c r="A93" s="13" t="s">
        <v>1317</v>
      </c>
      <c r="B93" s="14">
        <f>SUMIFS(Auswertung!P:P,Auswertung!L:L,"OFFEN",Auswertung!B:B,"STOCK")</f>
        <v>2837.4814118690997</v>
      </c>
      <c r="C93" s="23">
        <f>IF(ABS(B91)&gt;0,B93/B91,0)</f>
        <v>0.26652831209932226</v>
      </c>
    </row>
    <row r="94" spans="1:3" s="12" customFormat="1" ht="15.5" x14ac:dyDescent="0.35">
      <c r="A94" s="13" t="s">
        <v>1318</v>
      </c>
      <c r="B94" s="14">
        <f>SUMIFS(Auswertung!P:P,Auswertung!L:L,"OFFEN",Auswertung!B:B,"FUND")</f>
        <v>6474.7748386120002</v>
      </c>
      <c r="C94" s="23">
        <f>IF(ABS(B91)&gt;0,B94/B91,0)</f>
        <v>0.60818400492063895</v>
      </c>
    </row>
    <row r="95" spans="1:3" s="12" customFormat="1" ht="15.5" x14ac:dyDescent="0.35">
      <c r="A95" s="13" t="s">
        <v>1286</v>
      </c>
      <c r="B95" s="14">
        <f>SUMIFS(Auswertung!P:P,Auswertung!L:L,"OFFEN",Auswertung!B:B,"CRYPTO")</f>
        <v>1333.8225451243225</v>
      </c>
      <c r="C95" s="23">
        <f>IF(ABS(B91)&gt;0,B95/B91,0)</f>
        <v>0.12528768298003848</v>
      </c>
    </row>
    <row r="96" spans="1:3" s="12" customFormat="1" ht="15.5" x14ac:dyDescent="0.35">
      <c r="A96" s="13"/>
      <c r="B96" s="14"/>
    </row>
    <row r="97" spans="1:3" s="12" customFormat="1" ht="15.5" x14ac:dyDescent="0.35">
      <c r="A97" s="13" t="s">
        <v>1281</v>
      </c>
      <c r="B97" s="14">
        <f xml:space="preserve"> SUMIFS(Daten!K:K,Daten!E:E,"TRANSFER_INSTANT_INBOUND")
+ SUMIFS(Daten!K:K,Daten!E:E,"TRANSFER_IN")
+ SUMIFS(Daten!K:K,Daten!E:E,"GIFT")
+ SUMIFS(Daten!K:K,Daten!E:E,"DIVIDEND")
+ SUMIFS(Daten!K:K,Daten!E:E,"CUSTOMER_INPAYMENT")</f>
        <v>22671.31</v>
      </c>
    </row>
    <row r="98" spans="1:3" s="12" customFormat="1" ht="15.5" x14ac:dyDescent="0.35">
      <c r="A98" s="13" t="s">
        <v>1282</v>
      </c>
      <c r="B98" s="14">
        <f xml:space="preserve"> SUMIFS(Daten!K:K,Daten!E:E,"TRANSFER_INSTANT_OUTBOUND") + SUMIFS(Daten!K:K,Daten!E:E,"TRANSFER_OUT") + SUMIFS(Daten!K:K,Daten!E:E,"TRANSFER_OUTBOUND")</f>
        <v>-12471.23</v>
      </c>
    </row>
    <row r="99" spans="1:3" s="12" customFormat="1" ht="15.5" x14ac:dyDescent="0.35">
      <c r="A99" s="13"/>
      <c r="B99" s="14"/>
    </row>
    <row r="100" spans="1:3" s="12" customFormat="1" ht="15.5" x14ac:dyDescent="0.35">
      <c r="A100" s="13" t="s">
        <v>1283</v>
      </c>
      <c r="B100" s="14">
        <f>SUMIFS(Daten!K:K,Daten!E:E,"BUY")+SUMIFS(Daten!L:L,Daten!E:E,"BUY")</f>
        <v>-24884.110000000004</v>
      </c>
    </row>
    <row r="101" spans="1:3" s="12" customFormat="1" ht="15.5" x14ac:dyDescent="0.35">
      <c r="A101" s="13" t="s">
        <v>1308</v>
      </c>
      <c r="B101" s="14">
        <f>SUMIFS(Daten!K:K,Daten!E:E,"BUY",Daten!F:F,"STOCK")+SUMIFS(Daten!L:L,Daten!E:E,"BUY",Daten!F:F,"STOCK")</f>
        <v>-13100.289999999999</v>
      </c>
      <c r="C101" s="23">
        <f>IF(ABS(B100)&gt;0,B101/B100,0)</f>
        <v>0.52645202098849408</v>
      </c>
    </row>
    <row r="102" spans="1:3" s="12" customFormat="1" ht="15.5" x14ac:dyDescent="0.35">
      <c r="A102" s="13" t="s">
        <v>1309</v>
      </c>
      <c r="B102" s="14">
        <f>SUMIFS(Daten!K:K,Daten!E:E,"BUY",Daten!F:F,"FUND")+SUMIFS(Daten!L:L,Daten!E:E,"BUY",Daten!F:F,"FUND")</f>
        <v>-9702.1699999999983</v>
      </c>
      <c r="C102" s="23">
        <f>IF(ABS(B100)&gt;0,B102/B100,0)</f>
        <v>0.38989419352349741</v>
      </c>
    </row>
    <row r="103" spans="1:3" s="12" customFormat="1" ht="15.5" x14ac:dyDescent="0.35">
      <c r="A103" s="13" t="s">
        <v>1310</v>
      </c>
      <c r="B103" s="14">
        <f>SUMIFS(Daten!K:K,Daten!E:E,"BUY",Daten!F:F,"CRYPTO")+SUMIFS(Daten!L:L,Daten!E:E,"BUY",Daten!F:F,"CRYPTO")</f>
        <v>-2081.65</v>
      </c>
      <c r="C103" s="23">
        <f>IF(ABS(B100)&gt;0,B103/B100,0)</f>
        <v>8.3653785488008198E-2</v>
      </c>
    </row>
    <row r="104" spans="1:3" s="12" customFormat="1" ht="15.5" x14ac:dyDescent="0.35">
      <c r="A104" s="13"/>
      <c r="B104" s="14"/>
    </row>
    <row r="105" spans="1:3" s="12" customFormat="1" ht="15.5" x14ac:dyDescent="0.35">
      <c r="A105" s="13" t="s">
        <v>1284</v>
      </c>
      <c r="B105" s="14">
        <f>SUMIFS(Daten!K:K,Daten!E:E,"SELL")-SUMIFS(Daten!L:L,Daten!E:E,"SELL")</f>
        <v>14912.820000000002</v>
      </c>
    </row>
    <row r="106" spans="1:3" s="12" customFormat="1" ht="15.5" x14ac:dyDescent="0.35">
      <c r="A106" s="13" t="s">
        <v>1311</v>
      </c>
      <c r="B106" s="14">
        <f>SUMIFS(Daten!K:K,Daten!E:E,"SELL",Daten!F:F,"STOCK")-SUMIFS(Daten!L:L,Daten!E:E,"SELL",Daten!F:F,"STOCK")</f>
        <v>10544.71</v>
      </c>
      <c r="C106" s="23">
        <f>IF(ABS(B105)&gt;0,B106/B105,0)</f>
        <v>0.70709027534698321</v>
      </c>
    </row>
    <row r="107" spans="1:3" s="12" customFormat="1" ht="15.5" x14ac:dyDescent="0.35">
      <c r="A107" s="13" t="s">
        <v>1312</v>
      </c>
      <c r="B107" s="14">
        <f>SUMIFS(Daten!K:K,Daten!E:E,"SELL",Daten!F:F,"FUND")-SUMIFS(Daten!L:L,Daten!E:E,"SELL",Daten!F:F,"FUND")</f>
        <v>3505.55</v>
      </c>
      <c r="C107" s="23">
        <f>IF(ABS(B105)&gt;0,B107/B105,0)</f>
        <v>0.23506955760211681</v>
      </c>
    </row>
    <row r="108" spans="1:3" s="12" customFormat="1" ht="15.5" x14ac:dyDescent="0.35">
      <c r="A108" s="13" t="s">
        <v>1313</v>
      </c>
      <c r="B108" s="14">
        <f>SUMIFS(Daten!K:K,Daten!E:E,"SELL",Daten!F:F,"CRYPTO")-SUMIFS(Daten!L:L,Daten!E:E,"SELL",Daten!F:F,"CRYPTO")</f>
        <v>862.56000000000006</v>
      </c>
      <c r="C108" s="23">
        <f>IF(ABS(B105)&gt;0,B108/B105,0)</f>
        <v>5.7840167050899831E-2</v>
      </c>
    </row>
    <row r="109" spans="1:3" s="12" customFormat="1" ht="15.5" x14ac:dyDescent="0.35">
      <c r="A109" s="13"/>
      <c r="B109" s="14"/>
    </row>
    <row r="110" spans="1:3" s="12" customFormat="1" ht="15.5" x14ac:dyDescent="0.35">
      <c r="A110" s="13" t="s">
        <v>1322</v>
      </c>
      <c r="B110" s="14">
        <f>SUMIFS(Auswertung!Q:Q,Auswertung!L:L,"OFFEN")</f>
        <v>11628.164720510898</v>
      </c>
    </row>
    <row r="111" spans="1:3" s="12" customFormat="1" ht="15.5" x14ac:dyDescent="0.35">
      <c r="A111" s="13" t="s">
        <v>1323</v>
      </c>
      <c r="B111" s="14">
        <f>SUMIFS(Auswertung!Q:Q,Auswertung!L:L,"OFFEN",Auswertung!B:B,"STOCK")
+SUMIFS(Auswertung!Q:Q,Auswertung!L:L,"OFFEN",Auswertung!B:B,"FUND")</f>
        <v>10339.424717189999</v>
      </c>
      <c r="C111" s="23">
        <f>IF(ABS(B110)&gt;0,B111/B110,0)</f>
        <v>0.88917081635009065</v>
      </c>
    </row>
    <row r="112" spans="1:3" s="12" customFormat="1" ht="15.5" x14ac:dyDescent="0.35">
      <c r="A112" s="13" t="s">
        <v>1324</v>
      </c>
      <c r="B112" s="14">
        <f>SUMIFS(Auswertung!Q:Q,Auswertung!L:L,"OFFEN",Auswertung!B:B,"STOCK")</f>
        <v>3764.3060693300004</v>
      </c>
      <c r="C112" s="23">
        <f>IF(ABS(B110)&gt;0,B112/B110,0)</f>
        <v>0.32372314632679289</v>
      </c>
    </row>
    <row r="113" spans="1:4" s="12" customFormat="1" ht="15.5" x14ac:dyDescent="0.35">
      <c r="A113" s="13" t="s">
        <v>1325</v>
      </c>
      <c r="B113" s="14">
        <f>SUMIFS(Auswertung!Q:Q,Auswertung!L:L,"OFFEN",Auswertung!B:B,"FUND")</f>
        <v>6575.1186478599984</v>
      </c>
      <c r="C113" s="23">
        <f>IF(ABS(B110)&gt;0,B113/B110,0)</f>
        <v>0.56544767002329777</v>
      </c>
    </row>
    <row r="114" spans="1:4" s="12" customFormat="1" ht="15.5" x14ac:dyDescent="0.35">
      <c r="A114" s="13" t="s">
        <v>1326</v>
      </c>
      <c r="B114" s="14">
        <f>SUMIFS(Auswertung!Q:Q,Auswertung!L:L,"OFFEN",Auswertung!B:B,"CRYPTO")</f>
        <v>1288.7400033209001</v>
      </c>
      <c r="C114" s="23">
        <f>IF(ABS(B110)&gt;0,B114/B110,0)</f>
        <v>0.11082918364990943</v>
      </c>
    </row>
    <row r="115" spans="1:4" s="12" customFormat="1" ht="15.5" x14ac:dyDescent="0.35">
      <c r="A115" s="13"/>
      <c r="B115" s="14"/>
    </row>
    <row r="116" spans="1:4" s="12" customFormat="1" ht="15.5" x14ac:dyDescent="0.35">
      <c r="A116" s="13" t="s">
        <v>1339</v>
      </c>
      <c r="B116" s="14">
        <f>SUMIFS(Auswertung!O:O,Auswertung!O:O,"&lt;0",Auswertung!L:L,"OFFEN")</f>
        <v>-1433.5941544528857</v>
      </c>
      <c r="C116" s="23"/>
    </row>
    <row r="117" spans="1:4" s="12" customFormat="1" ht="15.5" x14ac:dyDescent="0.35">
      <c r="A117" s="13" t="s">
        <v>1340</v>
      </c>
      <c r="B117" s="14">
        <f>SUMIFS(Auswertung!O:O,Auswertung!O:O,"&lt;0",Auswertung!B:B,"STOCK",Auswertung!L:L,"OFFEN")
+SUMIFS(Auswertung!O:O,Auswertung!O:O,"&lt;0",Auswertung!B:B,"FUND",Auswertung!L:L,"OFFEN")</f>
        <v>-1369.3704759271002</v>
      </c>
      <c r="C117" s="23">
        <f>IF(ABS(B116)&gt;0,B117/B116,0)</f>
        <v>0.9552009344302218</v>
      </c>
    </row>
    <row r="118" spans="1:4" s="12" customFormat="1" ht="15.5" x14ac:dyDescent="0.35">
      <c r="A118" s="13" t="s">
        <v>1358</v>
      </c>
      <c r="B118" s="14">
        <f>SUMIFS(Auswertung!O:O,Auswertung!O:O,"&lt;0",Auswertung!B:B,"STOCK",Auswertung!L:L,"OFFEN")</f>
        <v>-932.91805352910001</v>
      </c>
      <c r="C118" s="23">
        <f>IF(ABS(B116)&gt;0,B118/B116,0)</f>
        <v>0.65075464393556848</v>
      </c>
    </row>
    <row r="119" spans="1:4" s="12" customFormat="1" ht="15.5" x14ac:dyDescent="0.35">
      <c r="A119" s="13" t="s">
        <v>1359</v>
      </c>
      <c r="B119" s="14">
        <f>SUMIFS(Auswertung!O:O,Auswertung!O:O,"&lt;0",Auswertung!B:B,"FUND",Auswertung!L:L,"OFFEN")</f>
        <v>-436.45242239800018</v>
      </c>
      <c r="C119" s="23">
        <f>IF(ABS(B116)&gt;0,B119/B116,0)</f>
        <v>0.30444629049465333</v>
      </c>
    </row>
    <row r="120" spans="1:4" s="12" customFormat="1" ht="15.5" x14ac:dyDescent="0.35">
      <c r="A120" s="13" t="s">
        <v>1341</v>
      </c>
      <c r="B120" s="14">
        <f>SUMIFS(Auswertung!O:O,Auswertung!O:O,"&lt;0",Auswertung!B:B,"CRYPTO",Auswertung!L:L,"OFFEN")</f>
        <v>-64.223678525785289</v>
      </c>
      <c r="C120" s="23">
        <f>IF(ABS(B116)&gt;0,B120/B116,0)</f>
        <v>4.4799065569778009E-2</v>
      </c>
    </row>
    <row r="121" spans="1:4" s="12" customFormat="1" ht="15.5" x14ac:dyDescent="0.35">
      <c r="A121" s="13"/>
      <c r="B121" s="14"/>
    </row>
    <row r="122" spans="1:4" s="12" customFormat="1" ht="15.5" x14ac:dyDescent="0.35">
      <c r="A122" s="13" t="s">
        <v>1342</v>
      </c>
      <c r="B122" s="14">
        <f>SUMIFS(Auswertung!O:O,Auswertung!O:O,"&gt;0",Auswertung!L:L,"OFFEN")</f>
        <v>451.50822954740784</v>
      </c>
      <c r="C122" s="23"/>
    </row>
    <row r="123" spans="1:4" s="12" customFormat="1" ht="15.5" x14ac:dyDescent="0.35">
      <c r="A123" s="13" t="s">
        <v>1343</v>
      </c>
      <c r="B123" s="14">
        <f>SUMIFS(Auswertung!O:O,Auswertung!O:O,"&gt;0",Auswertung!B:B,"STOCK",Auswertung!L:L,"OFFEN")
+SUMIFS(Auswertung!O:O,Auswertung!O:O,"&gt;0",Auswertung!B:B,"FUND",Auswertung!L:L,"OFFEN")</f>
        <v>342.20200921819998</v>
      </c>
      <c r="C123" s="23">
        <f>IF(ABS(B122)&gt;0,B123/B122,0)</f>
        <v>0.75790868653983012</v>
      </c>
    </row>
    <row r="124" spans="1:4" s="12" customFormat="1" ht="15.5" x14ac:dyDescent="0.35">
      <c r="A124" s="13" t="s">
        <v>1360</v>
      </c>
      <c r="B124" s="14">
        <f>SUMIFS(Auswertung!O:O,Auswertung!O:O,"&gt;0",Auswertung!B:B,"STOCK",Auswertung!L:L,"OFFEN")</f>
        <v>6.093396068199997</v>
      </c>
      <c r="C124" s="23">
        <f>IF(ABS(B122)&gt;0,B124/B122,0)</f>
        <v>1.3495647851885272E-2</v>
      </c>
    </row>
    <row r="125" spans="1:4" s="12" customFormat="1" ht="15.5" x14ac:dyDescent="0.35">
      <c r="A125" s="13" t="s">
        <v>1361</v>
      </c>
      <c r="B125" s="14">
        <f xml:space="preserve"> SUMIFS(Auswertung!O:O,Auswertung!O:O,"&gt;0",Auswertung!B:B,"FUND",Auswertung!L:L,"OFFEN")</f>
        <v>336.10861315</v>
      </c>
      <c r="C125" s="23">
        <f>IF(ABS(B122)&gt;0,B125/B122,0)</f>
        <v>0.74441303868794484</v>
      </c>
    </row>
    <row r="126" spans="1:4" s="12" customFormat="1" ht="15.5" x14ac:dyDescent="0.35">
      <c r="A126" s="13" t="s">
        <v>1344</v>
      </c>
      <c r="B126" s="14">
        <f>SUMIFS(Auswertung!O:O,Auswertung!O:O,"&gt;0",Auswertung!B:B,"CRYPTO",Auswertung!L:L,"OFFEN")</f>
        <v>109.30622032920785</v>
      </c>
      <c r="C126" s="23">
        <f>IF(ABS(B122)&gt;0,B126/B122,0)</f>
        <v>0.24209131346016988</v>
      </c>
    </row>
    <row r="127" spans="1:4" s="12" customFormat="1" ht="15.5" x14ac:dyDescent="0.35">
      <c r="A127" s="13"/>
      <c r="B127" s="14"/>
    </row>
    <row r="128" spans="1:4" s="12" customFormat="1" ht="15.5" x14ac:dyDescent="0.35">
      <c r="A128" s="13" t="s">
        <v>1345</v>
      </c>
      <c r="B128" s="14">
        <f>SUMIFS(Auswertung!O:O,Auswertung!L:L,"OFFEN")</f>
        <v>-982.08592490547778</v>
      </c>
      <c r="C128" s="22">
        <f>B91-B110</f>
        <v>-982.08592490547198</v>
      </c>
      <c r="D128" s="22">
        <f>B116+B122</f>
        <v>-982.0859249054779</v>
      </c>
    </row>
    <row r="129" spans="1:5" s="12" customFormat="1" ht="15.5" x14ac:dyDescent="0.35">
      <c r="A129" s="13" t="s">
        <v>1346</v>
      </c>
      <c r="B129" s="14">
        <f>SUMIFS(Auswertung!O:O,Auswertung!B:B,"STOCK",Auswertung!L:L,"OFFEN")
+SUMIFS(Auswertung!O:O,Auswertung!B:B,"FUND",Auswertung!L:L,"OFFEN")</f>
        <v>-1027.1684667089003</v>
      </c>
      <c r="C129" s="22">
        <f>B92-B111</f>
        <v>-1027.1684667088994</v>
      </c>
      <c r="D129" s="22">
        <f>B117+B123</f>
        <v>-1027.1684667089003</v>
      </c>
      <c r="E129" s="23">
        <f>IF(ABS(B128)&gt;0,B129/B128,0)</f>
        <v>1.045904885367094</v>
      </c>
    </row>
    <row r="130" spans="1:5" s="12" customFormat="1" ht="15.5" x14ac:dyDescent="0.35">
      <c r="A130" s="13" t="s">
        <v>1364</v>
      </c>
      <c r="B130" s="14">
        <f>SUMIFS(Auswertung!O:O,Auswertung!B:B,"STOCK",Auswertung!L:L,"OFFEN")</f>
        <v>-926.82465746089997</v>
      </c>
      <c r="C130" s="22">
        <f>B93-B112</f>
        <v>-926.82465746090065</v>
      </c>
      <c r="D130" s="22">
        <f>B118+B124</f>
        <v>-926.82465746089997</v>
      </c>
      <c r="E130" s="23">
        <f>IF(ABS(B128)&gt;0,B130/B128,0)</f>
        <v>0.94373072045615913</v>
      </c>
    </row>
    <row r="131" spans="1:5" s="12" customFormat="1" ht="15.5" x14ac:dyDescent="0.35">
      <c r="A131" s="13" t="s">
        <v>1365</v>
      </c>
      <c r="B131" s="14">
        <f>SUMIFS(Auswertung!O:O,Auswertung!B:B,"FUND",Auswertung!L:L,"OFFEN")</f>
        <v>-100.34380924800018</v>
      </c>
      <c r="C131" s="22">
        <f>B94-B113</f>
        <v>-100.34380924799825</v>
      </c>
      <c r="D131" s="22">
        <f>B119+B125</f>
        <v>-100.34380924800018</v>
      </c>
      <c r="E131" s="23">
        <f>IF(ABS(B128)&gt;0,B131/B128,0)</f>
        <v>0.10217416491093477</v>
      </c>
    </row>
    <row r="132" spans="1:5" s="12" customFormat="1" ht="15.5" x14ac:dyDescent="0.35">
      <c r="A132" s="13" t="s">
        <v>1347</v>
      </c>
      <c r="B132" s="14">
        <f>SUMIFS(Auswertung!O:O,Auswertung!B:B,"CRYPTO",Auswertung!L:L,"OFFEN")</f>
        <v>45.082541803422544</v>
      </c>
      <c r="C132" s="22">
        <f>B95-B114</f>
        <v>45.082541803422373</v>
      </c>
      <c r="D132" s="22">
        <f>B120+B126</f>
        <v>45.082541803422558</v>
      </c>
      <c r="E132" s="23">
        <f>IF(ABS(B128)&gt;0,B132/B128,0)</f>
        <v>-4.5904885367094105E-2</v>
      </c>
    </row>
    <row r="133" spans="1:5" s="12" customFormat="1" ht="15.5" x14ac:dyDescent="0.35">
      <c r="A133" s="13"/>
      <c r="B133" s="14"/>
      <c r="C133" s="22"/>
      <c r="D133" s="22"/>
    </row>
    <row r="134" spans="1:5" s="12" customFormat="1" ht="15.5" x14ac:dyDescent="0.35">
      <c r="A134" s="13" t="s">
        <v>1369</v>
      </c>
      <c r="B134" s="14">
        <f>B78+B128</f>
        <v>449.71791412452228</v>
      </c>
      <c r="C134" s="22"/>
      <c r="D134" s="22"/>
    </row>
    <row r="135" spans="1:5" s="12" customFormat="1" ht="15.5" x14ac:dyDescent="0.35">
      <c r="A135" s="13" t="s">
        <v>1370</v>
      </c>
      <c r="B135" s="14">
        <f>B79+B129</f>
        <v>322.90537232109978</v>
      </c>
      <c r="C135" s="22"/>
      <c r="D135" s="22"/>
    </row>
    <row r="136" spans="1:5" s="12" customFormat="1" ht="15.5" x14ac:dyDescent="0.35">
      <c r="A136" s="13" t="s">
        <v>1371</v>
      </c>
      <c r="B136" s="14">
        <f>B82+B132</f>
        <v>110.34254180342265</v>
      </c>
      <c r="C136" s="22"/>
      <c r="D136" s="22"/>
    </row>
    <row r="137" spans="1:5" s="12" customFormat="1" ht="15.5" x14ac:dyDescent="0.35">
      <c r="A137" s="13"/>
      <c r="B137" s="14"/>
    </row>
    <row r="138" spans="1:5" s="12" customFormat="1" ht="15.5" x14ac:dyDescent="0.35">
      <c r="A138" s="13" t="s">
        <v>1329</v>
      </c>
      <c r="B138" s="14">
        <f>B72+B91</f>
        <v>429.84879560542686</v>
      </c>
      <c r="C138" s="22"/>
    </row>
    <row r="139" spans="1:5" s="12" customFormat="1" ht="15.5" x14ac:dyDescent="0.35">
      <c r="A139" s="13" t="s">
        <v>1327</v>
      </c>
      <c r="B139" s="14">
        <f>B73+B92</f>
        <v>319.1162504811</v>
      </c>
      <c r="C139" s="22"/>
      <c r="D139" s="22"/>
    </row>
    <row r="140" spans="1:5" s="12" customFormat="1" ht="15.5" x14ac:dyDescent="0.35">
      <c r="A140" s="13" t="s">
        <v>1328</v>
      </c>
      <c r="B140" s="14">
        <f>B76+B95</f>
        <v>110.73254512432254</v>
      </c>
      <c r="C140" s="22"/>
    </row>
    <row r="141" spans="1:5" s="12" customFormat="1" ht="15.5" x14ac:dyDescent="0.35">
      <c r="A141" s="13"/>
      <c r="B141" s="14"/>
    </row>
    <row r="142" spans="1:5" s="12" customFormat="1" ht="15.5" x14ac:dyDescent="0.35">
      <c r="A142" s="13" t="s">
        <v>1332</v>
      </c>
      <c r="B142" s="15">
        <f>IF(ABS(B72)&gt;0,-B138/B72,0)</f>
        <v>4.2075089891812037E-2</v>
      </c>
      <c r="C142" s="23">
        <f>IF(ABS(B72)&gt;0,-B134/B72,0)</f>
        <v>4.4019948075221714E-2</v>
      </c>
    </row>
    <row r="143" spans="1:5" s="12" customFormat="1" ht="15.5" x14ac:dyDescent="0.35">
      <c r="A143" s="13" t="s">
        <v>1330</v>
      </c>
      <c r="B143" s="15">
        <f>IF(ABS(B73)&gt;0,-B139/B73,0)</f>
        <v>3.5484408169015498E-2</v>
      </c>
      <c r="C143" s="23">
        <f>IF(ABS(B73)&gt;0,-B135/B73,0)</f>
        <v>3.590574285745577E-2</v>
      </c>
    </row>
    <row r="144" spans="1:5" s="12" customFormat="1" ht="15.5" x14ac:dyDescent="0.35">
      <c r="A144" s="13" t="s">
        <v>1331</v>
      </c>
      <c r="B144" s="15">
        <f>IF(ABS(B76)&gt;0,-B140/B76,0)</f>
        <v>9.0535075198327639E-2</v>
      </c>
      <c r="C144" s="23">
        <f>IF(ABS(B76)&gt;0,-B136/B76,0)</f>
        <v>9.0216207967870443E-2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6"/>
  <sheetViews>
    <sheetView topLeftCell="A4" zoomScale="118" zoomScaleNormal="118" workbookViewId="0">
      <selection activeCell="A20" sqref="A20"/>
    </sheetView>
  </sheetViews>
  <sheetFormatPr baseColWidth="10" defaultRowHeight="14.5" x14ac:dyDescent="0.35"/>
  <cols>
    <col min="1" max="1" width="41.36328125" bestFit="1" customWidth="1"/>
    <col min="2" max="3" width="13.1796875" bestFit="1" customWidth="1"/>
    <col min="4" max="4" width="12" bestFit="1" customWidth="1"/>
    <col min="5" max="7" width="13.1796875" bestFit="1" customWidth="1"/>
    <col min="8" max="9" width="12" bestFit="1" customWidth="1"/>
    <col min="10" max="10" width="11.81640625" bestFit="1" customWidth="1"/>
    <col min="11" max="11" width="12" bestFit="1" customWidth="1"/>
    <col min="12" max="12" width="27.2695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6953125" bestFit="1" customWidth="1"/>
    <col min="34" max="34" width="15.54296875" bestFit="1" customWidth="1"/>
  </cols>
  <sheetData>
    <row r="3" spans="1:12" x14ac:dyDescent="0.35">
      <c r="A3" s="33" t="s">
        <v>1432</v>
      </c>
      <c r="B3" t="s">
        <v>1434</v>
      </c>
      <c r="C3" t="s">
        <v>1433</v>
      </c>
      <c r="E3" t="s">
        <v>1433</v>
      </c>
      <c r="G3" t="s">
        <v>1433</v>
      </c>
      <c r="J3" t="s">
        <v>1434</v>
      </c>
      <c r="L3" t="s">
        <v>1441</v>
      </c>
    </row>
    <row r="4" spans="1:12" x14ac:dyDescent="0.35">
      <c r="A4" s="9" t="s">
        <v>64</v>
      </c>
      <c r="B4" s="35">
        <v>1288.7400033209001</v>
      </c>
      <c r="C4" s="35">
        <v>1333.8225451243225</v>
      </c>
      <c r="E4" s="35">
        <v>10646.078795605426</v>
      </c>
      <c r="G4" s="35">
        <v>10646.078795605426</v>
      </c>
      <c r="J4" s="35">
        <v>11628.164720510898</v>
      </c>
      <c r="L4" s="35">
        <v>1524.59383903</v>
      </c>
    </row>
    <row r="5" spans="1:12" x14ac:dyDescent="0.35">
      <c r="A5" s="9" t="s">
        <v>464</v>
      </c>
      <c r="B5" s="35">
        <v>6575.1186478599984</v>
      </c>
      <c r="C5" s="35">
        <v>6474.7748386120002</v>
      </c>
      <c r="I5" t="s">
        <v>1435</v>
      </c>
    </row>
    <row r="6" spans="1:12" x14ac:dyDescent="0.35">
      <c r="A6" s="9" t="s">
        <v>32</v>
      </c>
      <c r="B6" s="35">
        <v>3764.3060693300004</v>
      </c>
      <c r="C6" s="35">
        <v>2837.4814118690997</v>
      </c>
      <c r="E6" s="36">
        <f>GETPIVOTDATA("Aktuelle Position €",$E$3)</f>
        <v>10646.078795605426</v>
      </c>
      <c r="G6" s="36">
        <f>GETPIVOTDATA("Aktuelle Position €",$G$3)</f>
        <v>10646.078795605426</v>
      </c>
      <c r="H6" s="36"/>
      <c r="I6" s="36">
        <f>G6-J6</f>
        <v>-982.08592490547198</v>
      </c>
      <c r="J6" s="36">
        <f>GETPIVOTDATA("Aktuell Investiert €",$J$3)</f>
        <v>11628.164720510898</v>
      </c>
      <c r="L6" s="36">
        <f>GETPIVOTDATA("Realisierte P&amp;L Verkäufe €",$L$3)</f>
        <v>1524.59383903</v>
      </c>
    </row>
    <row r="7" spans="1:12" x14ac:dyDescent="0.35">
      <c r="A7" s="9" t="s">
        <v>1431</v>
      </c>
      <c r="B7" s="35">
        <v>11628.1647205109</v>
      </c>
      <c r="C7" s="35">
        <v>10646.078795605423</v>
      </c>
    </row>
    <row r="13" spans="1:12" x14ac:dyDescent="0.35">
      <c r="A13" s="33" t="s">
        <v>1432</v>
      </c>
      <c r="B13" t="s">
        <v>1433</v>
      </c>
      <c r="E13" s="33" t="s">
        <v>1432</v>
      </c>
      <c r="F13" t="s">
        <v>1433</v>
      </c>
    </row>
    <row r="14" spans="1:12" x14ac:dyDescent="0.35">
      <c r="A14" s="9" t="s">
        <v>64</v>
      </c>
      <c r="B14" s="35">
        <v>1333.8225451243225</v>
      </c>
      <c r="E14" s="9" t="s">
        <v>64</v>
      </c>
      <c r="F14" s="35">
        <v>1333.8225451243225</v>
      </c>
    </row>
    <row r="15" spans="1:12" x14ac:dyDescent="0.35">
      <c r="A15" s="34" t="s">
        <v>359</v>
      </c>
      <c r="B15" s="35">
        <v>18.528819300825948</v>
      </c>
      <c r="E15" s="9" t="s">
        <v>464</v>
      </c>
      <c r="F15" s="35">
        <v>6474.7748386120002</v>
      </c>
    </row>
    <row r="16" spans="1:12" x14ac:dyDescent="0.35">
      <c r="A16" s="34" t="s">
        <v>72</v>
      </c>
      <c r="B16" s="35">
        <v>171.24184024402223</v>
      </c>
      <c r="E16" s="9" t="s">
        <v>32</v>
      </c>
      <c r="F16" s="35">
        <v>2837.4814118690997</v>
      </c>
    </row>
    <row r="17" spans="1:6" x14ac:dyDescent="0.35">
      <c r="A17" s="34" t="s">
        <v>107</v>
      </c>
      <c r="B17" s="35">
        <v>297.49342008864937</v>
      </c>
      <c r="E17" s="9" t="s">
        <v>1431</v>
      </c>
      <c r="F17" s="35">
        <v>10646.078795605423</v>
      </c>
    </row>
    <row r="18" spans="1:6" x14ac:dyDescent="0.35">
      <c r="A18" s="34" t="s">
        <v>1421</v>
      </c>
      <c r="B18" s="35">
        <v>114.69022786993962</v>
      </c>
    </row>
    <row r="19" spans="1:6" x14ac:dyDescent="0.35">
      <c r="A19" s="34" t="s">
        <v>118</v>
      </c>
      <c r="B19" s="35">
        <v>85.820013968126744</v>
      </c>
    </row>
    <row r="20" spans="1:6" x14ac:dyDescent="0.35">
      <c r="A20" s="34" t="s">
        <v>355</v>
      </c>
      <c r="B20" s="35">
        <v>21.473963184993803</v>
      </c>
    </row>
    <row r="21" spans="1:6" x14ac:dyDescent="0.35">
      <c r="A21" s="34" t="s">
        <v>114</v>
      </c>
      <c r="B21" s="35">
        <v>43.923112283645963</v>
      </c>
    </row>
    <row r="22" spans="1:6" x14ac:dyDescent="0.35">
      <c r="A22" s="34" t="s">
        <v>65</v>
      </c>
      <c r="B22" s="35">
        <v>320.24536693808699</v>
      </c>
    </row>
    <row r="23" spans="1:6" x14ac:dyDescent="0.35">
      <c r="A23" s="34" t="s">
        <v>69</v>
      </c>
      <c r="B23" s="35">
        <v>260.40578124603189</v>
      </c>
    </row>
    <row r="24" spans="1:6" x14ac:dyDescent="0.35">
      <c r="A24" s="9" t="s">
        <v>464</v>
      </c>
      <c r="B24" s="35">
        <v>6474.7748386120002</v>
      </c>
    </row>
    <row r="25" spans="1:6" x14ac:dyDescent="0.35">
      <c r="A25" s="34" t="s">
        <v>1154</v>
      </c>
      <c r="B25" s="35">
        <v>725.22000255</v>
      </c>
    </row>
    <row r="26" spans="1:6" x14ac:dyDescent="0.35">
      <c r="A26" s="34" t="s">
        <v>526</v>
      </c>
      <c r="B26" s="35">
        <v>1389.4732215000001</v>
      </c>
    </row>
    <row r="27" spans="1:6" x14ac:dyDescent="0.35">
      <c r="A27" s="34" t="s">
        <v>815</v>
      </c>
      <c r="B27" s="35">
        <v>730.03160405000006</v>
      </c>
    </row>
    <row r="28" spans="1:6" x14ac:dyDescent="0.35">
      <c r="A28" s="34" t="s">
        <v>1018</v>
      </c>
      <c r="B28" s="35">
        <v>378.06584928000001</v>
      </c>
    </row>
    <row r="29" spans="1:6" x14ac:dyDescent="0.35">
      <c r="A29" s="34" t="s">
        <v>1004</v>
      </c>
      <c r="B29" s="35">
        <v>500.22189013199994</v>
      </c>
    </row>
    <row r="30" spans="1:6" x14ac:dyDescent="0.35">
      <c r="A30" s="34" t="s">
        <v>799</v>
      </c>
      <c r="B30" s="35">
        <v>632.64</v>
      </c>
    </row>
    <row r="31" spans="1:6" x14ac:dyDescent="0.35">
      <c r="A31" s="34" t="s">
        <v>1237</v>
      </c>
      <c r="B31" s="35">
        <v>392.08331764999997</v>
      </c>
    </row>
    <row r="32" spans="1:6" x14ac:dyDescent="0.35">
      <c r="A32" s="34" t="s">
        <v>1178</v>
      </c>
      <c r="B32" s="35">
        <v>558.91923018</v>
      </c>
    </row>
    <row r="33" spans="1:2" x14ac:dyDescent="0.35">
      <c r="A33" s="34" t="s">
        <v>1011</v>
      </c>
      <c r="B33" s="35">
        <v>362.97934574999999</v>
      </c>
    </row>
    <row r="34" spans="1:2" x14ac:dyDescent="0.35">
      <c r="A34" s="34" t="s">
        <v>955</v>
      </c>
      <c r="B34" s="35">
        <v>385.890106</v>
      </c>
    </row>
    <row r="35" spans="1:2" x14ac:dyDescent="0.35">
      <c r="A35" s="34" t="s">
        <v>948</v>
      </c>
      <c r="B35" s="35">
        <v>419.25027151999996</v>
      </c>
    </row>
    <row r="36" spans="1:2" x14ac:dyDescent="0.35">
      <c r="A36" s="9" t="s">
        <v>32</v>
      </c>
      <c r="B36" s="35">
        <v>2837.4814118690997</v>
      </c>
    </row>
    <row r="37" spans="1:2" x14ac:dyDescent="0.35">
      <c r="A37" s="34" t="s">
        <v>262</v>
      </c>
      <c r="B37" s="35">
        <v>25.680621308199974</v>
      </c>
    </row>
    <row r="38" spans="1:2" x14ac:dyDescent="0.35">
      <c r="A38" s="34" t="s">
        <v>300</v>
      </c>
      <c r="B38" s="35">
        <v>45.3</v>
      </c>
    </row>
    <row r="39" spans="1:2" x14ac:dyDescent="0.35">
      <c r="A39" s="34" t="s">
        <v>167</v>
      </c>
      <c r="B39" s="35">
        <v>802.65576200319981</v>
      </c>
    </row>
    <row r="40" spans="1:2" x14ac:dyDescent="0.35">
      <c r="A40" s="34" t="s">
        <v>154</v>
      </c>
      <c r="B40" s="35">
        <v>452.85972004309997</v>
      </c>
    </row>
    <row r="41" spans="1:2" x14ac:dyDescent="0.35">
      <c r="A41" s="34" t="s">
        <v>664</v>
      </c>
      <c r="B41" s="35">
        <v>223.38166970600003</v>
      </c>
    </row>
    <row r="42" spans="1:2" x14ac:dyDescent="0.35">
      <c r="A42" s="34" t="s">
        <v>747</v>
      </c>
      <c r="B42" s="35">
        <v>429.39986739800003</v>
      </c>
    </row>
    <row r="43" spans="1:2" x14ac:dyDescent="0.35">
      <c r="A43" s="34" t="s">
        <v>1182</v>
      </c>
      <c r="B43" s="35">
        <v>227.31988664000002</v>
      </c>
    </row>
    <row r="44" spans="1:2" x14ac:dyDescent="0.35">
      <c r="A44" s="34" t="s">
        <v>515</v>
      </c>
      <c r="B44" s="35">
        <v>535.81075955000006</v>
      </c>
    </row>
    <row r="45" spans="1:2" x14ac:dyDescent="0.35">
      <c r="A45" s="34" t="s">
        <v>1444</v>
      </c>
      <c r="B45" s="35">
        <v>95.073125220600005</v>
      </c>
    </row>
    <row r="46" spans="1:2" x14ac:dyDescent="0.35">
      <c r="A46" s="9" t="s">
        <v>1431</v>
      </c>
      <c r="B46" s="35">
        <v>10646.078795605423</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B1" workbookViewId="0">
      <selection activeCell="C23" sqref="C23"/>
    </sheetView>
  </sheetViews>
  <sheetFormatPr baseColWidth="10" defaultRowHeight="14.5" x14ac:dyDescent="0.35"/>
  <cols>
    <col min="1" max="1" width="43.1796875" bestFit="1" customWidth="1"/>
    <col min="2" max="2" width="19.1796875" style="38" bestFit="1" customWidth="1"/>
    <col min="3" max="3" width="26.1796875" style="5" bestFit="1" customWidth="1"/>
    <col min="4" max="4" width="14.26953125" style="5" bestFit="1" customWidth="1"/>
  </cols>
  <sheetData>
    <row r="8" spans="1:4" x14ac:dyDescent="0.35">
      <c r="A8" s="33" t="s">
        <v>1432</v>
      </c>
      <c r="B8" s="28" t="s">
        <v>1440</v>
      </c>
      <c r="C8" s="5" t="s">
        <v>1436</v>
      </c>
      <c r="D8" s="5" t="s">
        <v>1433</v>
      </c>
    </row>
    <row r="9" spans="1:4" x14ac:dyDescent="0.35">
      <c r="A9" s="9" t="s">
        <v>64</v>
      </c>
      <c r="B9" s="28"/>
      <c r="C9" s="37"/>
      <c r="D9" s="37"/>
    </row>
    <row r="10" spans="1:4" x14ac:dyDescent="0.35">
      <c r="A10" s="34" t="s">
        <v>359</v>
      </c>
      <c r="B10" s="28">
        <v>160.77442500000001</v>
      </c>
      <c r="C10" s="37">
        <v>0.11524730566336</v>
      </c>
      <c r="D10" s="37">
        <v>18.528819300825948</v>
      </c>
    </row>
    <row r="11" spans="1:4" x14ac:dyDescent="0.35">
      <c r="A11" s="34" t="s">
        <v>72</v>
      </c>
      <c r="B11" s="28">
        <v>714.061285</v>
      </c>
      <c r="C11" s="37">
        <v>0.23981392611703101</v>
      </c>
      <c r="D11" s="37">
        <v>171.24184024402223</v>
      </c>
    </row>
    <row r="12" spans="1:4" x14ac:dyDescent="0.35">
      <c r="A12" s="34" t="s">
        <v>107</v>
      </c>
      <c r="B12" s="28">
        <v>24.110118</v>
      </c>
      <c r="C12" s="37">
        <v>12.3389450059369</v>
      </c>
      <c r="D12" s="37">
        <v>297.49342008864937</v>
      </c>
    </row>
    <row r="13" spans="1:4" x14ac:dyDescent="0.35">
      <c r="A13" s="34" t="s">
        <v>1421</v>
      </c>
      <c r="B13" s="28">
        <v>1356.0241370000001</v>
      </c>
      <c r="C13" s="37">
        <v>8.4578308557010304E-2</v>
      </c>
      <c r="D13" s="37">
        <v>114.69022786993962</v>
      </c>
    </row>
    <row r="14" spans="1:4" x14ac:dyDescent="0.35">
      <c r="A14" s="34" t="s">
        <v>118</v>
      </c>
      <c r="B14" s="28">
        <v>80.193626999999992</v>
      </c>
      <c r="C14" s="37">
        <v>1.0701600261592701</v>
      </c>
      <c r="D14" s="37">
        <v>85.820013968126744</v>
      </c>
    </row>
    <row r="15" spans="1:4" x14ac:dyDescent="0.35">
      <c r="A15" s="34" t="s">
        <v>355</v>
      </c>
      <c r="B15" s="28">
        <v>223.93145699999999</v>
      </c>
      <c r="C15" s="37">
        <v>9.5895250594443301E-2</v>
      </c>
      <c r="D15" s="37">
        <v>21.473963184993803</v>
      </c>
    </row>
    <row r="16" spans="1:4" x14ac:dyDescent="0.35">
      <c r="A16" s="34" t="s">
        <v>114</v>
      </c>
      <c r="B16" s="28">
        <v>24.9</v>
      </c>
      <c r="C16" s="37">
        <v>1.76398041299783</v>
      </c>
      <c r="D16" s="37">
        <v>43.923112283645963</v>
      </c>
    </row>
    <row r="17" spans="1:4" x14ac:dyDescent="0.35">
      <c r="A17" s="34" t="s">
        <v>65</v>
      </c>
      <c r="B17" s="28">
        <v>3</v>
      </c>
      <c r="C17" s="37">
        <v>106.748455646029</v>
      </c>
      <c r="D17" s="37">
        <v>320.24536693808699</v>
      </c>
    </row>
    <row r="18" spans="1:4" x14ac:dyDescent="0.35">
      <c r="A18" s="34" t="s">
        <v>69</v>
      </c>
      <c r="B18" s="28">
        <v>194.73171099999999</v>
      </c>
      <c r="C18" s="37">
        <v>1.33725411186898</v>
      </c>
      <c r="D18" s="37">
        <v>260.40578124603189</v>
      </c>
    </row>
    <row r="19" spans="1:4" x14ac:dyDescent="0.35">
      <c r="A19" s="9" t="s">
        <v>1437</v>
      </c>
      <c r="B19" s="28">
        <v>2781.7267600000005</v>
      </c>
      <c r="C19" s="37">
        <v>123.79432999392384</v>
      </c>
      <c r="D19" s="37">
        <v>1333.8225451243225</v>
      </c>
    </row>
    <row r="20" spans="1:4" x14ac:dyDescent="0.35">
      <c r="A20" s="9"/>
      <c r="B20" s="28"/>
      <c r="C20" s="37"/>
      <c r="D20" s="37"/>
    </row>
    <row r="21" spans="1:4" x14ac:dyDescent="0.35">
      <c r="A21" s="9" t="s">
        <v>464</v>
      </c>
      <c r="B21" s="28"/>
      <c r="C21" s="37"/>
      <c r="D21" s="37"/>
    </row>
    <row r="22" spans="1:4" x14ac:dyDescent="0.35">
      <c r="A22" s="34" t="s">
        <v>1154</v>
      </c>
      <c r="B22" s="28">
        <v>14.461017</v>
      </c>
      <c r="C22" s="37">
        <v>50.15</v>
      </c>
      <c r="D22" s="37">
        <v>725.22000255</v>
      </c>
    </row>
    <row r="23" spans="1:4" x14ac:dyDescent="0.35">
      <c r="A23" s="34" t="s">
        <v>526</v>
      </c>
      <c r="B23" s="28">
        <v>1.8623150000000002</v>
      </c>
      <c r="C23" s="37">
        <v>746.1</v>
      </c>
      <c r="D23" s="37">
        <v>1389.4732215000001</v>
      </c>
    </row>
    <row r="24" spans="1:4" x14ac:dyDescent="0.35">
      <c r="A24" s="34" t="s">
        <v>815</v>
      </c>
      <c r="B24" s="28">
        <v>2.3372229999999998</v>
      </c>
      <c r="C24" s="37">
        <v>312.35000000000002</v>
      </c>
      <c r="D24" s="37">
        <v>730.03160405000006</v>
      </c>
    </row>
    <row r="25" spans="1:4" x14ac:dyDescent="0.35">
      <c r="A25" s="34" t="s">
        <v>1018</v>
      </c>
      <c r="B25" s="28">
        <v>7.1821020000000004</v>
      </c>
      <c r="C25" s="37">
        <v>52.64</v>
      </c>
      <c r="D25" s="37">
        <v>378.06584928000001</v>
      </c>
    </row>
    <row r="26" spans="1:4" x14ac:dyDescent="0.35">
      <c r="A26" s="34" t="s">
        <v>1004</v>
      </c>
      <c r="B26" s="28">
        <v>102.799402</v>
      </c>
      <c r="C26" s="37">
        <v>4.8659999999999997</v>
      </c>
      <c r="D26" s="37">
        <v>500.22189013199994</v>
      </c>
    </row>
    <row r="27" spans="1:4" x14ac:dyDescent="0.35">
      <c r="A27" s="34" t="s">
        <v>799</v>
      </c>
      <c r="B27" s="28">
        <v>4</v>
      </c>
      <c r="C27" s="37">
        <v>158.16</v>
      </c>
      <c r="D27" s="37">
        <v>632.64</v>
      </c>
    </row>
    <row r="28" spans="1:4" x14ac:dyDescent="0.35">
      <c r="A28" s="34" t="s">
        <v>1237</v>
      </c>
      <c r="B28" s="28">
        <v>8.3333329999999997</v>
      </c>
      <c r="C28" s="37">
        <v>47.05</v>
      </c>
      <c r="D28" s="37">
        <v>392.08331764999997</v>
      </c>
    </row>
    <row r="29" spans="1:4" x14ac:dyDescent="0.35">
      <c r="A29" s="34" t="s">
        <v>1178</v>
      </c>
      <c r="B29" s="28">
        <v>10.354191</v>
      </c>
      <c r="C29" s="37">
        <v>53.98</v>
      </c>
      <c r="D29" s="37">
        <v>558.91923018</v>
      </c>
    </row>
    <row r="30" spans="1:4" x14ac:dyDescent="0.35">
      <c r="A30" s="34" t="s">
        <v>1011</v>
      </c>
      <c r="B30" s="28">
        <v>8.7359650000000002</v>
      </c>
      <c r="C30" s="37">
        <v>41.55</v>
      </c>
      <c r="D30" s="37">
        <v>362.97934574999999</v>
      </c>
    </row>
    <row r="31" spans="1:4" x14ac:dyDescent="0.35">
      <c r="A31" s="34" t="s">
        <v>955</v>
      </c>
      <c r="B31" s="28">
        <v>14.728630000000001</v>
      </c>
      <c r="C31" s="37">
        <v>26.2</v>
      </c>
      <c r="D31" s="37">
        <v>385.890106</v>
      </c>
    </row>
    <row r="32" spans="1:4" x14ac:dyDescent="0.35">
      <c r="A32" s="34" t="s">
        <v>948</v>
      </c>
      <c r="B32" s="28">
        <v>5.9082619999999997</v>
      </c>
      <c r="C32" s="37">
        <v>70.959999999999994</v>
      </c>
      <c r="D32" s="37">
        <v>419.25027151999996</v>
      </c>
    </row>
    <row r="33" spans="1:4" x14ac:dyDescent="0.35">
      <c r="A33" s="9" t="s">
        <v>1438</v>
      </c>
      <c r="B33" s="28">
        <v>180.70244000000002</v>
      </c>
      <c r="C33" s="37">
        <v>1564.0060000000001</v>
      </c>
      <c r="D33" s="37">
        <v>6474.7748386120002</v>
      </c>
    </row>
    <row r="34" spans="1:4" x14ac:dyDescent="0.35">
      <c r="A34" s="9"/>
      <c r="B34" s="28"/>
      <c r="C34" s="37"/>
      <c r="D34" s="37"/>
    </row>
    <row r="35" spans="1:4" x14ac:dyDescent="0.35">
      <c r="A35" s="9" t="s">
        <v>32</v>
      </c>
      <c r="B35" s="28"/>
      <c r="C35" s="37"/>
      <c r="D35" s="37"/>
    </row>
    <row r="36" spans="1:4" x14ac:dyDescent="0.35">
      <c r="A36" s="34" t="s">
        <v>262</v>
      </c>
      <c r="B36" s="28">
        <v>0.58191399999999938</v>
      </c>
      <c r="C36" s="37">
        <v>44.131300000000003</v>
      </c>
      <c r="D36" s="37">
        <v>25.680621308199974</v>
      </c>
    </row>
    <row r="37" spans="1:4" x14ac:dyDescent="0.35">
      <c r="A37" s="34" t="s">
        <v>300</v>
      </c>
      <c r="B37" s="28">
        <v>30</v>
      </c>
      <c r="C37" s="37">
        <v>1.51</v>
      </c>
      <c r="D37" s="37">
        <v>45.3</v>
      </c>
    </row>
    <row r="38" spans="1:4" x14ac:dyDescent="0.35">
      <c r="A38" s="34" t="s">
        <v>167</v>
      </c>
      <c r="B38" s="28">
        <v>731.28258199999993</v>
      </c>
      <c r="C38" s="37">
        <v>1.0975999999999999</v>
      </c>
      <c r="D38" s="37">
        <v>802.65576200319981</v>
      </c>
    </row>
    <row r="39" spans="1:4" x14ac:dyDescent="0.35">
      <c r="A39" s="34" t="s">
        <v>154</v>
      </c>
      <c r="B39" s="28">
        <v>32.327956999999998</v>
      </c>
      <c r="C39" s="37">
        <v>14.0083</v>
      </c>
      <c r="D39" s="37">
        <v>452.85972004309997</v>
      </c>
    </row>
    <row r="40" spans="1:4" x14ac:dyDescent="0.35">
      <c r="A40" s="34" t="s">
        <v>664</v>
      </c>
      <c r="B40" s="28">
        <v>29.728729000000001</v>
      </c>
      <c r="C40" s="37">
        <v>7.5140000000000002</v>
      </c>
      <c r="D40" s="37">
        <v>223.38166970600003</v>
      </c>
    </row>
    <row r="41" spans="1:4" x14ac:dyDescent="0.35">
      <c r="A41" s="34" t="s">
        <v>747</v>
      </c>
      <c r="B41" s="28">
        <v>7.1999240000000002</v>
      </c>
      <c r="C41" s="37">
        <v>59.639499999999998</v>
      </c>
      <c r="D41" s="37">
        <v>429.39986739800003</v>
      </c>
    </row>
    <row r="42" spans="1:4" x14ac:dyDescent="0.35">
      <c r="A42" s="34" t="s">
        <v>1182</v>
      </c>
      <c r="B42" s="28">
        <v>7.7689640000000004</v>
      </c>
      <c r="C42" s="37">
        <v>29.26</v>
      </c>
      <c r="D42" s="37">
        <v>227.31988664000002</v>
      </c>
    </row>
    <row r="43" spans="1:4" x14ac:dyDescent="0.35">
      <c r="A43" s="34" t="s">
        <v>515</v>
      </c>
      <c r="B43" s="28">
        <v>62.851702000000003</v>
      </c>
      <c r="C43" s="37">
        <v>8.5250000000000004</v>
      </c>
      <c r="D43" s="37">
        <v>535.81075955000006</v>
      </c>
    </row>
    <row r="44" spans="1:4" x14ac:dyDescent="0.35">
      <c r="A44" s="34" t="s">
        <v>1444</v>
      </c>
      <c r="B44" s="28">
        <v>8.5034010000000002</v>
      </c>
      <c r="C44" s="37">
        <v>11.1806</v>
      </c>
      <c r="D44" s="37">
        <v>95.073125220600005</v>
      </c>
    </row>
    <row r="45" spans="1:4" x14ac:dyDescent="0.35">
      <c r="A45" s="9" t="s">
        <v>1439</v>
      </c>
      <c r="B45" s="28">
        <v>910.24517300000002</v>
      </c>
      <c r="C45" s="37">
        <v>176.8663</v>
      </c>
      <c r="D45" s="37">
        <v>2837.4814118690997</v>
      </c>
    </row>
    <row r="46" spans="1:4" x14ac:dyDescent="0.35">
      <c r="A46" s="9"/>
      <c r="B46" s="28"/>
      <c r="C46" s="37"/>
      <c r="D46" s="37"/>
    </row>
    <row r="47" spans="1:4" x14ac:dyDescent="0.35">
      <c r="A47" s="9" t="s">
        <v>1431</v>
      </c>
      <c r="B47" s="28">
        <v>3872.6743729999998</v>
      </c>
      <c r="C47" s="37">
        <v>1864.6666299939238</v>
      </c>
      <c r="D47" s="37">
        <v>10646.078795605423</v>
      </c>
    </row>
    <row r="48" spans="1:4" x14ac:dyDescent="0.35">
      <c r="B48"/>
      <c r="C48"/>
      <c r="D48"/>
    </row>
    <row r="49" customFormat="1" x14ac:dyDescent="0.35"/>
    <row r="50" customFormat="1" x14ac:dyDescent="0.35"/>
    <row r="51" customFormat="1" x14ac:dyDescent="0.35"/>
    <row r="52" customFormat="1" x14ac:dyDescent="0.35"/>
    <row r="53" customFormat="1" x14ac:dyDescent="0.35"/>
    <row r="54" customFormat="1" x14ac:dyDescent="0.35"/>
    <row r="55" customFormat="1" x14ac:dyDescent="0.35"/>
    <row r="56" customFormat="1" x14ac:dyDescent="0.35"/>
    <row r="57" customFormat="1" x14ac:dyDescent="0.35"/>
    <row r="58" customFormat="1" x14ac:dyDescent="0.35"/>
    <row r="59" customFormat="1" x14ac:dyDescent="0.35"/>
    <row r="60" customFormat="1" x14ac:dyDescent="0.35"/>
    <row r="61" customFormat="1" x14ac:dyDescent="0.35"/>
    <row r="62" customFormat="1" x14ac:dyDescent="0.35"/>
    <row r="63" customFormat="1" x14ac:dyDescent="0.35"/>
    <row r="64" customFormat="1" x14ac:dyDescent="0.35"/>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row r="139" customFormat="1" x14ac:dyDescent="0.35"/>
    <row r="140" customFormat="1" x14ac:dyDescent="0.35"/>
    <row r="141" customFormat="1" x14ac:dyDescent="0.35"/>
    <row r="142" customFormat="1" x14ac:dyDescent="0.35"/>
    <row r="143" customFormat="1" x14ac:dyDescent="0.35"/>
    <row r="144" customFormat="1" x14ac:dyDescent="0.35"/>
    <row r="145" customFormat="1" x14ac:dyDescent="0.35"/>
    <row r="146" customFormat="1" x14ac:dyDescent="0.35"/>
    <row r="147" customFormat="1" x14ac:dyDescent="0.35"/>
    <row r="148" customFormat="1" x14ac:dyDescent="0.35"/>
    <row r="149" customFormat="1" x14ac:dyDescent="0.35"/>
    <row r="150" customFormat="1" x14ac:dyDescent="0.35"/>
    <row r="151" customFormat="1" x14ac:dyDescent="0.35"/>
    <row r="152" customFormat="1" x14ac:dyDescent="0.35"/>
    <row r="153" customFormat="1" x14ac:dyDescent="0.35"/>
    <row r="154" customFormat="1" x14ac:dyDescent="0.35"/>
    <row r="155" customFormat="1" x14ac:dyDescent="0.35"/>
    <row r="156" customFormat="1" x14ac:dyDescent="0.35"/>
    <row r="157" customFormat="1" x14ac:dyDescent="0.35"/>
    <row r="158" customFormat="1" x14ac:dyDescent="0.35"/>
    <row r="159" customFormat="1" x14ac:dyDescent="0.35"/>
    <row r="160" customFormat="1" x14ac:dyDescent="0.35"/>
    <row r="161" customFormat="1" x14ac:dyDescent="0.35"/>
    <row r="162" customFormat="1" x14ac:dyDescent="0.35"/>
    <row r="163" customFormat="1" x14ac:dyDescent="0.35"/>
    <row r="164" customFormat="1" x14ac:dyDescent="0.35"/>
    <row r="165" customFormat="1" x14ac:dyDescent="0.35"/>
    <row r="166" customFormat="1" x14ac:dyDescent="0.35"/>
    <row r="167" customFormat="1" x14ac:dyDescent="0.35"/>
    <row r="168" customFormat="1" x14ac:dyDescent="0.35"/>
    <row r="169" customFormat="1" x14ac:dyDescent="0.35"/>
    <row r="170" customFormat="1" x14ac:dyDescent="0.35"/>
    <row r="171" customFormat="1" x14ac:dyDescent="0.35"/>
    <row r="172" customFormat="1" x14ac:dyDescent="0.35"/>
    <row r="173" customFormat="1" x14ac:dyDescent="0.35"/>
    <row r="174" customFormat="1" x14ac:dyDescent="0.35"/>
    <row r="175" customFormat="1" x14ac:dyDescent="0.35"/>
    <row r="176" customFormat="1" x14ac:dyDescent="0.35"/>
    <row r="177" customFormat="1" x14ac:dyDescent="0.35"/>
    <row r="178" customFormat="1" x14ac:dyDescent="0.35"/>
    <row r="179" customFormat="1" x14ac:dyDescent="0.35"/>
    <row r="180" customFormat="1" x14ac:dyDescent="0.35"/>
    <row r="181" customFormat="1" x14ac:dyDescent="0.35"/>
    <row r="182" customFormat="1" x14ac:dyDescent="0.35"/>
    <row r="183" customFormat="1" x14ac:dyDescent="0.35"/>
    <row r="184" customFormat="1" x14ac:dyDescent="0.35"/>
    <row r="185" customFormat="1" x14ac:dyDescent="0.35"/>
    <row r="186" customFormat="1" x14ac:dyDescent="0.35"/>
    <row r="187" customFormat="1" x14ac:dyDescent="0.35"/>
    <row r="188" customFormat="1" x14ac:dyDescent="0.35"/>
    <row r="189" customFormat="1" x14ac:dyDescent="0.35"/>
    <row r="190" customFormat="1" x14ac:dyDescent="0.35"/>
    <row r="191" customFormat="1" x14ac:dyDescent="0.35"/>
    <row r="192" customFormat="1" x14ac:dyDescent="0.35"/>
    <row r="193" customFormat="1" x14ac:dyDescent="0.35"/>
    <row r="194" customFormat="1" x14ac:dyDescent="0.35"/>
    <row r="195" customFormat="1" x14ac:dyDescent="0.35"/>
    <row r="196" customFormat="1" x14ac:dyDescent="0.35"/>
    <row r="197" customFormat="1" x14ac:dyDescent="0.35"/>
    <row r="198" customFormat="1" x14ac:dyDescent="0.35"/>
    <row r="199" customFormat="1" x14ac:dyDescent="0.35"/>
    <row r="200" customFormat="1" x14ac:dyDescent="0.35"/>
    <row r="201" customFormat="1" x14ac:dyDescent="0.35"/>
    <row r="202" customFormat="1" x14ac:dyDescent="0.35"/>
    <row r="203" customFormat="1" x14ac:dyDescent="0.35"/>
    <row r="204" customFormat="1" x14ac:dyDescent="0.35"/>
    <row r="205" customFormat="1" x14ac:dyDescent="0.35"/>
    <row r="206" customFormat="1" x14ac:dyDescent="0.35"/>
    <row r="207" customFormat="1" x14ac:dyDescent="0.35"/>
    <row r="208" customFormat="1" x14ac:dyDescent="0.35"/>
    <row r="209" customFormat="1" x14ac:dyDescent="0.35"/>
    <row r="210" customFormat="1" x14ac:dyDescent="0.35"/>
    <row r="211" customFormat="1" x14ac:dyDescent="0.35"/>
    <row r="212" customFormat="1" x14ac:dyDescent="0.35"/>
    <row r="213" customFormat="1" x14ac:dyDescent="0.35"/>
    <row r="214" customFormat="1" x14ac:dyDescent="0.35"/>
    <row r="215" customFormat="1" x14ac:dyDescent="0.35"/>
    <row r="216" customFormat="1" x14ac:dyDescent="0.35"/>
    <row r="217" customFormat="1" x14ac:dyDescent="0.35"/>
    <row r="218" customFormat="1" x14ac:dyDescent="0.35"/>
    <row r="219" customFormat="1" x14ac:dyDescent="0.35"/>
    <row r="220" customFormat="1" x14ac:dyDescent="0.35"/>
    <row r="221" customFormat="1" x14ac:dyDescent="0.35"/>
    <row r="222" customFormat="1" x14ac:dyDescent="0.35"/>
    <row r="223" customFormat="1" x14ac:dyDescent="0.35"/>
    <row r="224" customFormat="1" x14ac:dyDescent="0.35"/>
    <row r="225" customFormat="1" x14ac:dyDescent="0.35"/>
    <row r="226" customFormat="1" x14ac:dyDescent="0.35"/>
    <row r="227" customFormat="1" x14ac:dyDescent="0.35"/>
    <row r="228" customFormat="1" x14ac:dyDescent="0.35"/>
    <row r="229" customFormat="1" x14ac:dyDescent="0.35"/>
    <row r="230" customFormat="1" x14ac:dyDescent="0.35"/>
    <row r="231" customFormat="1" x14ac:dyDescent="0.35"/>
    <row r="232" customFormat="1" x14ac:dyDescent="0.35"/>
    <row r="233" customFormat="1" x14ac:dyDescent="0.35"/>
    <row r="234" customFormat="1" x14ac:dyDescent="0.35"/>
    <row r="235" customFormat="1" x14ac:dyDescent="0.35"/>
    <row r="236" customFormat="1" x14ac:dyDescent="0.35"/>
    <row r="237" customFormat="1" x14ac:dyDescent="0.35"/>
    <row r="238" customFormat="1" x14ac:dyDescent="0.35"/>
    <row r="239" customFormat="1" x14ac:dyDescent="0.35"/>
    <row r="240" customFormat="1" x14ac:dyDescent="0.35"/>
    <row r="241" customFormat="1" x14ac:dyDescent="0.35"/>
    <row r="242" customFormat="1" x14ac:dyDescent="0.35"/>
    <row r="243" customFormat="1" x14ac:dyDescent="0.35"/>
    <row r="244" customFormat="1" x14ac:dyDescent="0.35"/>
    <row r="245" customFormat="1" x14ac:dyDescent="0.35"/>
    <row r="246" customFormat="1" x14ac:dyDescent="0.35"/>
    <row r="247" customFormat="1" x14ac:dyDescent="0.35"/>
    <row r="248" customFormat="1" x14ac:dyDescent="0.35"/>
    <row r="249" customFormat="1" x14ac:dyDescent="0.35"/>
    <row r="250" customFormat="1" x14ac:dyDescent="0.35"/>
    <row r="251" customFormat="1" x14ac:dyDescent="0.35"/>
    <row r="252" customFormat="1" x14ac:dyDescent="0.35"/>
    <row r="253" customFormat="1" x14ac:dyDescent="0.35"/>
    <row r="254" customFormat="1" x14ac:dyDescent="0.35"/>
    <row r="255" customFormat="1" x14ac:dyDescent="0.35"/>
    <row r="256" customFormat="1" x14ac:dyDescent="0.35"/>
    <row r="257" customFormat="1" x14ac:dyDescent="0.3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topLeftCell="A4" workbookViewId="0"/>
  </sheetViews>
  <sheetFormatPr baseColWidth="10" defaultRowHeight="14.5" x14ac:dyDescent="0.3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4.5" x14ac:dyDescent="0.3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topLeftCell="A6" workbookViewId="0">
      <selection activeCell="A12" sqref="A12"/>
    </sheetView>
  </sheetViews>
  <sheetFormatPr baseColWidth="10" defaultRowHeight="14.5" x14ac:dyDescent="0.35"/>
  <cols>
    <col min="1" max="1" width="28.81640625" customWidth="1"/>
    <col min="2" max="2" width="37.1796875" customWidth="1"/>
  </cols>
  <sheetData>
    <row r="1" spans="1:2" ht="17" thickBot="1" x14ac:dyDescent="0.4">
      <c r="A1" s="2" t="s">
        <v>1259</v>
      </c>
      <c r="B1" s="2" t="s">
        <v>1260</v>
      </c>
    </row>
    <row r="2" spans="1:2" ht="17" thickBot="1" x14ac:dyDescent="0.4">
      <c r="A2" s="2" t="s">
        <v>1261</v>
      </c>
      <c r="B2" s="3" t="s">
        <v>1262</v>
      </c>
    </row>
    <row r="3" spans="1:2" ht="17" thickBot="1" x14ac:dyDescent="0.4">
      <c r="A3" s="2" t="s">
        <v>1263</v>
      </c>
      <c r="B3" s="3" t="s">
        <v>1264</v>
      </c>
    </row>
    <row r="4" spans="1:2" ht="33.5" thickBot="1" x14ac:dyDescent="0.4">
      <c r="A4" s="2" t="s">
        <v>1265</v>
      </c>
      <c r="B4" s="3" t="s">
        <v>1315</v>
      </c>
    </row>
    <row r="5" spans="1:2" ht="33.5" thickBot="1" x14ac:dyDescent="0.4">
      <c r="A5" s="2" t="s">
        <v>1266</v>
      </c>
      <c r="B5" s="3" t="s">
        <v>1316</v>
      </c>
    </row>
    <row r="6" spans="1:2" ht="33.5" thickBot="1" x14ac:dyDescent="0.4">
      <c r="A6" s="2" t="s">
        <v>1267</v>
      </c>
      <c r="B6" s="3" t="s">
        <v>1268</v>
      </c>
    </row>
    <row r="7" spans="1:2" ht="17" thickBot="1" x14ac:dyDescent="0.4">
      <c r="A7" s="2" t="s">
        <v>1269</v>
      </c>
      <c r="B7" s="3" t="s">
        <v>1270</v>
      </c>
    </row>
    <row r="8" spans="1:2" ht="17" thickBot="1" x14ac:dyDescent="0.4">
      <c r="A8" s="2" t="s">
        <v>1271</v>
      </c>
      <c r="B8" s="3" t="s">
        <v>1272</v>
      </c>
    </row>
    <row r="9" spans="1:2" ht="17" thickBot="1" x14ac:dyDescent="0.4">
      <c r="A9" s="2" t="s">
        <v>1256</v>
      </c>
      <c r="B9" s="3" t="s">
        <v>1273</v>
      </c>
    </row>
    <row r="10" spans="1:2" ht="33.5" thickBot="1" x14ac:dyDescent="0.4">
      <c r="A10" s="2" t="s">
        <v>1274</v>
      </c>
      <c r="B10" s="3" t="s">
        <v>1275</v>
      </c>
    </row>
    <row r="11" spans="1:2" ht="33.5" thickBot="1" x14ac:dyDescent="0.4">
      <c r="A11" s="2" t="s">
        <v>1276</v>
      </c>
      <c r="B11" s="3" t="s">
        <v>1277</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9D26-F51A-42B4-A3C7-A26D19B92DFD}">
  <dimension ref="A1:B7"/>
  <sheetViews>
    <sheetView workbookViewId="0">
      <selection activeCell="B4" sqref="B4"/>
    </sheetView>
  </sheetViews>
  <sheetFormatPr baseColWidth="10" defaultRowHeight="14.5" x14ac:dyDescent="0.35"/>
  <cols>
    <col min="1" max="1" width="22.453125" bestFit="1" customWidth="1"/>
  </cols>
  <sheetData>
    <row r="1" spans="1:2" x14ac:dyDescent="0.35">
      <c r="A1" t="s">
        <v>1452</v>
      </c>
    </row>
    <row r="2" spans="1:2" x14ac:dyDescent="0.35">
      <c r="A2" t="s">
        <v>1448</v>
      </c>
      <c r="B2" s="19">
        <v>96.11</v>
      </c>
    </row>
    <row r="3" spans="1:2" x14ac:dyDescent="0.35">
      <c r="A3" t="s">
        <v>1449</v>
      </c>
      <c r="B3">
        <v>7.237006</v>
      </c>
    </row>
    <row r="4" spans="1:2" x14ac:dyDescent="0.35">
      <c r="A4" t="s">
        <v>1450</v>
      </c>
      <c r="B4" s="19">
        <v>50</v>
      </c>
    </row>
    <row r="5" spans="1:2" x14ac:dyDescent="0.35">
      <c r="A5" t="s">
        <v>1451</v>
      </c>
      <c r="B5" s="41">
        <f>IF(ABS(B3)&gt;0,(B2*B3+B4)/B3,0)</f>
        <v>103.01893444056839</v>
      </c>
    </row>
    <row r="6" spans="1:2" x14ac:dyDescent="0.35">
      <c r="A6" t="s">
        <v>1454</v>
      </c>
      <c r="B6" s="43">
        <f>B4/B5</f>
        <v>0.48534767197427181</v>
      </c>
    </row>
    <row r="7" spans="1:2" x14ac:dyDescent="0.35">
      <c r="A7" t="s">
        <v>1453</v>
      </c>
      <c r="B7" s="42">
        <f>IF(ABS(B3)&gt;0,B4/(B3*B2),0)</f>
        <v>7.1885698060226599E-2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Daten</vt:lpstr>
      <vt:lpstr>Auswertung</vt:lpstr>
      <vt:lpstr>Dashboard</vt:lpstr>
      <vt:lpstr>Pivot</vt:lpstr>
      <vt:lpstr>Portfolio</vt:lpstr>
      <vt:lpstr>Auswertung_2026</vt:lpstr>
      <vt:lpstr>Auswertung_2025</vt:lpstr>
      <vt:lpstr>Definitions</vt:lpstr>
      <vt:lpstr>Berechnungen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2026-10-05T15:39:03Z</dcterms:modified>
</cp:coreProperties>
</file>