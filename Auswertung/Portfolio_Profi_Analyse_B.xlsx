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3BFBCEE6-871A-4FF7-BC83-5229D7C6457B}" xr6:coauthVersionLast="47" xr6:coauthVersionMax="47" xr10:uidLastSave="{00000000-0000-0000-0000-000000000000}"/>
  <bookViews>
    <workbookView xWindow="-385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111"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0" i="2" l="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2" i="2"/>
  <c r="U17" i="2"/>
  <c r="T17" i="2"/>
  <c r="S17" i="2"/>
  <c r="V17" i="2" s="1"/>
  <c r="L6" i="7"/>
  <c r="G6" i="7"/>
  <c r="E6" i="7"/>
  <c r="J6" i="7"/>
  <c r="I6" i="7" l="1"/>
  <c r="J17" i="2"/>
  <c r="F17" i="2"/>
  <c r="P17" i="2"/>
  <c r="K17" i="2"/>
  <c r="R17" i="2" s="1"/>
  <c r="O17" i="2"/>
  <c r="B55" i="4"/>
  <c r="B54" i="4"/>
  <c r="T2" i="2"/>
  <c r="U36" i="2"/>
  <c r="U37" i="2"/>
  <c r="U38" i="2"/>
  <c r="U39" i="2"/>
  <c r="U40" i="2"/>
  <c r="U41" i="2"/>
  <c r="U42" i="2"/>
  <c r="U45" i="2"/>
  <c r="U46" i="2"/>
  <c r="U43" i="2"/>
  <c r="U44" i="2"/>
  <c r="U47" i="2"/>
  <c r="U48" i="2"/>
  <c r="U49" i="2"/>
  <c r="U50" i="2"/>
  <c r="U51" i="2"/>
  <c r="U52" i="2"/>
  <c r="U53" i="2"/>
  <c r="U54" i="2"/>
  <c r="U55" i="2"/>
  <c r="U56" i="2"/>
  <c r="U57" i="2"/>
  <c r="U58" i="2"/>
  <c r="U59" i="2"/>
  <c r="U60" i="2"/>
  <c r="U61" i="2"/>
  <c r="U62" i="2"/>
  <c r="U30" i="2"/>
  <c r="U27" i="2"/>
  <c r="U34" i="2"/>
  <c r="U31" i="2"/>
  <c r="U32" i="2"/>
  <c r="U33" i="2"/>
  <c r="U35" i="2"/>
  <c r="U4" i="2"/>
  <c r="U5" i="2"/>
  <c r="U6" i="2"/>
  <c r="U3" i="2"/>
  <c r="U7" i="2"/>
  <c r="U8" i="2"/>
  <c r="U9" i="2"/>
  <c r="U10" i="2"/>
  <c r="U11" i="2"/>
  <c r="U12" i="2"/>
  <c r="U13" i="2"/>
  <c r="U21" i="2"/>
  <c r="U14" i="2"/>
  <c r="U15" i="2"/>
  <c r="U16" i="2"/>
  <c r="U18" i="2"/>
  <c r="U19" i="2"/>
  <c r="U20" i="2"/>
  <c r="U22" i="2"/>
  <c r="U23" i="2"/>
  <c r="U24" i="2"/>
  <c r="U25" i="2"/>
  <c r="U26" i="2"/>
  <c r="U28" i="2"/>
  <c r="U29" i="2"/>
  <c r="U2" i="2"/>
  <c r="T4" i="2"/>
  <c r="T5" i="2"/>
  <c r="T6" i="2"/>
  <c r="T3" i="2"/>
  <c r="T7" i="2"/>
  <c r="T8" i="2"/>
  <c r="T9" i="2"/>
  <c r="T10" i="2"/>
  <c r="T11" i="2"/>
  <c r="T12" i="2"/>
  <c r="T13" i="2"/>
  <c r="T21" i="2"/>
  <c r="T14" i="2"/>
  <c r="T15" i="2"/>
  <c r="T16" i="2"/>
  <c r="T18" i="2"/>
  <c r="T19" i="2"/>
  <c r="T20" i="2"/>
  <c r="T22" i="2"/>
  <c r="T23" i="2"/>
  <c r="T24" i="2"/>
  <c r="T25" i="2"/>
  <c r="T26" i="2"/>
  <c r="T28" i="2"/>
  <c r="T29" i="2"/>
  <c r="T30" i="2"/>
  <c r="T27" i="2"/>
  <c r="T34" i="2"/>
  <c r="T31" i="2"/>
  <c r="T32" i="2"/>
  <c r="T33" i="2"/>
  <c r="T35" i="2"/>
  <c r="T36" i="2"/>
  <c r="T37" i="2"/>
  <c r="T38" i="2"/>
  <c r="T39" i="2"/>
  <c r="T40" i="2"/>
  <c r="T41" i="2"/>
  <c r="T42" i="2"/>
  <c r="T45" i="2"/>
  <c r="T46" i="2"/>
  <c r="T43" i="2"/>
  <c r="T44" i="2"/>
  <c r="T47" i="2"/>
  <c r="T48" i="2"/>
  <c r="T49" i="2"/>
  <c r="T50" i="2"/>
  <c r="T51" i="2"/>
  <c r="T52" i="2"/>
  <c r="T53" i="2"/>
  <c r="T54" i="2"/>
  <c r="T55" i="2"/>
  <c r="T56" i="2"/>
  <c r="T57" i="2"/>
  <c r="T58" i="2"/>
  <c r="T59" i="2"/>
  <c r="T60" i="2"/>
  <c r="T61" i="2"/>
  <c r="T62"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W17" i="2" l="1"/>
  <c r="N17" i="2"/>
  <c r="Q17" i="2" s="1"/>
  <c r="D43" i="4"/>
  <c r="B70" i="4"/>
  <c r="B69" i="4"/>
  <c r="B68" i="4"/>
  <c r="B66" i="4"/>
  <c r="B67" i="4"/>
  <c r="C67" i="4" s="1"/>
  <c r="B63" i="4"/>
  <c r="B62" i="4"/>
  <c r="B64" i="4"/>
  <c r="B60" i="4"/>
  <c r="B61" i="4"/>
  <c r="C51" i="4"/>
  <c r="C49" i="4"/>
  <c r="C50" i="4"/>
  <c r="D45" i="4"/>
  <c r="D44" i="4"/>
  <c r="D46" i="4"/>
  <c r="B58" i="4"/>
  <c r="B52" i="4"/>
  <c r="C52" i="4" s="1"/>
  <c r="AC83" i="2"/>
  <c r="AD84" i="2" s="1"/>
  <c r="AC84" i="2"/>
  <c r="AC85" i="2"/>
  <c r="AD83" i="2"/>
  <c r="B108" i="4"/>
  <c r="B107" i="4"/>
  <c r="B106" i="4"/>
  <c r="B105" i="4"/>
  <c r="B103" i="4"/>
  <c r="B102" i="4"/>
  <c r="B101" i="4"/>
  <c r="B100" i="4"/>
  <c r="S19" i="2"/>
  <c r="V19" i="2" s="1"/>
  <c r="B89" i="4"/>
  <c r="B88" i="4"/>
  <c r="B6" i="4"/>
  <c r="B5" i="4"/>
  <c r="B4" i="4"/>
  <c r="B3" i="4"/>
  <c r="C3" i="4" s="1"/>
  <c r="B98" i="4"/>
  <c r="C69" i="4" l="1"/>
  <c r="C61" i="4"/>
  <c r="C64" i="4"/>
  <c r="C62" i="4"/>
  <c r="C63" i="4"/>
  <c r="C68" i="4"/>
  <c r="C70" i="4"/>
  <c r="C58" i="4"/>
  <c r="C57" i="4"/>
  <c r="C56" i="4"/>
  <c r="C55" i="4"/>
  <c r="C101" i="4"/>
  <c r="C108" i="4"/>
  <c r="C106" i="4"/>
  <c r="C107" i="4"/>
  <c r="C103" i="4"/>
  <c r="C102" i="4"/>
  <c r="C6" i="4"/>
  <c r="C5" i="4"/>
  <c r="C4" i="4"/>
  <c r="S62" i="2" l="1"/>
  <c r="V62" i="2" s="1"/>
  <c r="S55" i="2"/>
  <c r="V55" i="2" s="1"/>
  <c r="S51" i="2"/>
  <c r="V51" i="2" s="1"/>
  <c r="S47" i="2"/>
  <c r="V47" i="2" s="1"/>
  <c r="S44" i="2"/>
  <c r="V44" i="2" s="1"/>
  <c r="S41" i="2"/>
  <c r="V41" i="2" s="1"/>
  <c r="S40" i="2"/>
  <c r="V40" i="2" s="1"/>
  <c r="S39" i="2"/>
  <c r="V39" i="2" s="1"/>
  <c r="S33" i="2"/>
  <c r="V33" i="2" s="1"/>
  <c r="S32" i="2"/>
  <c r="V32" i="2" s="1"/>
  <c r="S31" i="2"/>
  <c r="V31" i="2" s="1"/>
  <c r="S30" i="2"/>
  <c r="V30" i="2" s="1"/>
  <c r="S29" i="2"/>
  <c r="V29" i="2" s="1"/>
  <c r="S28" i="2"/>
  <c r="V28" i="2" s="1"/>
  <c r="S16" i="2"/>
  <c r="V16" i="2" s="1"/>
  <c r="S15" i="2"/>
  <c r="V15" i="2" s="1"/>
  <c r="S13" i="2"/>
  <c r="V13" i="2" s="1"/>
  <c r="S12" i="2"/>
  <c r="V12" i="2" s="1"/>
  <c r="S11" i="2"/>
  <c r="V11" i="2" s="1"/>
  <c r="S10" i="2"/>
  <c r="V10" i="2" s="1"/>
  <c r="S9" i="2"/>
  <c r="V9" i="2" s="1"/>
  <c r="S7" i="2"/>
  <c r="V7" i="2" s="1"/>
  <c r="J2" i="2"/>
  <c r="S2" i="2"/>
  <c r="V2" i="2" s="1"/>
  <c r="B43" i="4" l="1"/>
  <c r="B42" i="4"/>
  <c r="B24" i="4"/>
  <c r="B18" i="4"/>
  <c r="B28" i="4"/>
  <c r="B22" i="4"/>
  <c r="B37" i="4"/>
  <c r="B32" i="4"/>
  <c r="B38" i="4"/>
  <c r="B31" i="4"/>
  <c r="B44" i="4"/>
  <c r="B21" i="4"/>
  <c r="B27" i="4"/>
  <c r="C27" i="4" s="1"/>
  <c r="B39" i="4"/>
  <c r="B33" i="4"/>
  <c r="B34" i="4"/>
  <c r="B36" i="4"/>
  <c r="B30" i="4"/>
  <c r="B40" i="4"/>
  <c r="B26" i="4"/>
  <c r="C26" i="4" s="1"/>
  <c r="B20" i="4"/>
  <c r="B25" i="4"/>
  <c r="C25" i="4" s="1"/>
  <c r="B19" i="4"/>
  <c r="B45" i="4"/>
  <c r="J21" i="2"/>
  <c r="AC78" i="2"/>
  <c r="J4" i="2"/>
  <c r="J3" i="2"/>
  <c r="J55" i="2"/>
  <c r="B46" i="4"/>
  <c r="J36" i="2"/>
  <c r="F2" i="2"/>
  <c r="J39" i="2"/>
  <c r="J14" i="2"/>
  <c r="F54" i="2"/>
  <c r="P54" i="2" s="1"/>
  <c r="F4" i="2"/>
  <c r="P4" i="2" s="1"/>
  <c r="F11" i="2"/>
  <c r="P11" i="2" s="1"/>
  <c r="F56" i="2"/>
  <c r="P56" i="2" s="1"/>
  <c r="J47" i="2"/>
  <c r="F21" i="2"/>
  <c r="F20" i="2"/>
  <c r="P20" i="2" s="1"/>
  <c r="F33" i="2"/>
  <c r="P33" i="2" s="1"/>
  <c r="F50" i="2"/>
  <c r="P50" i="2" s="1"/>
  <c r="F43" i="2"/>
  <c r="P43" i="2" s="1"/>
  <c r="F44" i="2"/>
  <c r="P44" i="2" s="1"/>
  <c r="J49" i="2"/>
  <c r="F8" i="2"/>
  <c r="P8" i="2" s="1"/>
  <c r="F31" i="2"/>
  <c r="P31" i="2" s="1"/>
  <c r="F48" i="2"/>
  <c r="P48" i="2" s="1"/>
  <c r="F27" i="2"/>
  <c r="P27" i="2" s="1"/>
  <c r="F62" i="2"/>
  <c r="P62" i="2" s="1"/>
  <c r="F16" i="2"/>
  <c r="P16" i="2" s="1"/>
  <c r="F47" i="2"/>
  <c r="P47" i="2" s="1"/>
  <c r="J6" i="2"/>
  <c r="F12" i="2"/>
  <c r="P12" i="2" s="1"/>
  <c r="J20" i="2"/>
  <c r="F29" i="2"/>
  <c r="P29" i="2" s="1"/>
  <c r="J37" i="2"/>
  <c r="F60" i="2"/>
  <c r="P60" i="2" s="1"/>
  <c r="F25" i="2"/>
  <c r="P25" i="2" s="1"/>
  <c r="J12" i="2"/>
  <c r="F18" i="2"/>
  <c r="P18" i="2" s="1"/>
  <c r="J29" i="2"/>
  <c r="F35" i="2"/>
  <c r="P35" i="2" s="1"/>
  <c r="J54" i="2"/>
  <c r="F10" i="2"/>
  <c r="P10" i="2" s="1"/>
  <c r="J18" i="2"/>
  <c r="F26" i="2"/>
  <c r="P26" i="2" s="1"/>
  <c r="F7" i="2"/>
  <c r="P7" i="2" s="1"/>
  <c r="F23" i="2"/>
  <c r="P23" i="2" s="1"/>
  <c r="J31" i="2"/>
  <c r="F39" i="2"/>
  <c r="P39" i="2" s="1"/>
  <c r="J48" i="2"/>
  <c r="F55" i="2"/>
  <c r="P55" i="2" s="1"/>
  <c r="J10" i="2"/>
  <c r="F15" i="2"/>
  <c r="P15" i="2" s="1"/>
  <c r="J26" i="2"/>
  <c r="F32" i="2"/>
  <c r="P32" i="2" s="1"/>
  <c r="J42" i="2"/>
  <c r="F49" i="2"/>
  <c r="P49" i="2" s="1"/>
  <c r="J58" i="2"/>
  <c r="J15" i="2"/>
  <c r="F24" i="2"/>
  <c r="P24" i="2" s="1"/>
  <c r="J32" i="2"/>
  <c r="F40" i="2"/>
  <c r="P40" i="2" s="1"/>
  <c r="J11" i="2"/>
  <c r="J28" i="2"/>
  <c r="J45" i="2"/>
  <c r="J59" i="2"/>
  <c r="F5" i="2"/>
  <c r="P5" i="2" s="1"/>
  <c r="J13" i="2"/>
  <c r="F19" i="2"/>
  <c r="P19" i="2" s="1"/>
  <c r="J30" i="2"/>
  <c r="F36" i="2"/>
  <c r="J46" i="2"/>
  <c r="F51" i="2"/>
  <c r="P51" i="2" s="1"/>
  <c r="J60" i="2"/>
  <c r="J57" i="2"/>
  <c r="J7" i="2"/>
  <c r="J23" i="2"/>
  <c r="F61" i="2"/>
  <c r="P61" i="2" s="1"/>
  <c r="J19" i="2"/>
  <c r="F28" i="2"/>
  <c r="P28" i="2" s="1"/>
  <c r="F45" i="2"/>
  <c r="P45" i="2" s="1"/>
  <c r="J51" i="2"/>
  <c r="F58" i="2"/>
  <c r="P58" i="2" s="1"/>
  <c r="J9" i="2"/>
  <c r="F6" i="2"/>
  <c r="P6" i="2" s="1"/>
  <c r="J27" i="2"/>
  <c r="F37" i="2"/>
  <c r="J43" i="2"/>
  <c r="F52" i="2"/>
  <c r="P52" i="2" s="1"/>
  <c r="J61" i="2"/>
  <c r="J25" i="2"/>
  <c r="J8" i="2"/>
  <c r="F14" i="2"/>
  <c r="P14" i="2" s="1"/>
  <c r="J24" i="2"/>
  <c r="F34" i="2"/>
  <c r="P34" i="2" s="1"/>
  <c r="J40" i="2"/>
  <c r="J52" i="2"/>
  <c r="F59" i="2"/>
  <c r="P59" i="2" s="1"/>
  <c r="J5" i="2"/>
  <c r="F9" i="2"/>
  <c r="P9" i="2" s="1"/>
  <c r="J16" i="2"/>
  <c r="J33" i="2"/>
  <c r="F41" i="2"/>
  <c r="P41" i="2" s="1"/>
  <c r="F3" i="2"/>
  <c r="P3" i="2" s="1"/>
  <c r="F22" i="2"/>
  <c r="P22" i="2" s="1"/>
  <c r="J34" i="2"/>
  <c r="F38" i="2"/>
  <c r="P38" i="2" s="1"/>
  <c r="J44" i="2"/>
  <c r="F53" i="2"/>
  <c r="P53" i="2" s="1"/>
  <c r="J62" i="2"/>
  <c r="J56" i="2"/>
  <c r="J41" i="2"/>
  <c r="F13" i="2"/>
  <c r="P13" i="2" s="1"/>
  <c r="J22" i="2"/>
  <c r="F30" i="2"/>
  <c r="P30" i="2" s="1"/>
  <c r="J38" i="2"/>
  <c r="F46" i="2"/>
  <c r="P46" i="2" s="1"/>
  <c r="J53" i="2"/>
  <c r="J35" i="2"/>
  <c r="F42" i="2"/>
  <c r="P42" i="2" s="1"/>
  <c r="J50" i="2"/>
  <c r="F57" i="2"/>
  <c r="P57" i="2" s="1"/>
  <c r="K2" i="2" l="1"/>
  <c r="P2" i="2"/>
  <c r="C39" i="4"/>
  <c r="C37" i="4"/>
  <c r="C38" i="4"/>
  <c r="C40" i="4"/>
  <c r="C28" i="4"/>
  <c r="B72" i="4"/>
  <c r="C19" i="4"/>
  <c r="C31" i="4"/>
  <c r="C32" i="4"/>
  <c r="C20" i="4"/>
  <c r="B73" i="4"/>
  <c r="W2" i="2"/>
  <c r="C22" i="4"/>
  <c r="O2" i="2"/>
  <c r="P21" i="2"/>
  <c r="O21" i="2"/>
  <c r="P37" i="2"/>
  <c r="K37" i="2"/>
  <c r="P36" i="2"/>
  <c r="K36" i="2"/>
  <c r="C21" i="4"/>
  <c r="S4" i="2"/>
  <c r="S48" i="2"/>
  <c r="S38" i="2"/>
  <c r="S43" i="2"/>
  <c r="S35" i="2"/>
  <c r="S22" i="2"/>
  <c r="S58" i="2"/>
  <c r="S8" i="2"/>
  <c r="S50" i="2"/>
  <c r="S37" i="2"/>
  <c r="S18" i="2"/>
  <c r="S57" i="2"/>
  <c r="S60" i="2"/>
  <c r="S20" i="2"/>
  <c r="S21" i="2"/>
  <c r="S53" i="2"/>
  <c r="S3" i="2"/>
  <c r="S52" i="2"/>
  <c r="S25" i="2"/>
  <c r="S45" i="2"/>
  <c r="S5" i="2"/>
  <c r="S27" i="2"/>
  <c r="S24" i="2"/>
  <c r="S26" i="2"/>
  <c r="S56" i="2"/>
  <c r="S54" i="2"/>
  <c r="S14" i="2"/>
  <c r="S23" i="2"/>
  <c r="S61" i="2"/>
  <c r="S6" i="2"/>
  <c r="S59" i="2"/>
  <c r="S46" i="2"/>
  <c r="S49" i="2"/>
  <c r="S42" i="2"/>
  <c r="S34" i="2"/>
  <c r="S36" i="2"/>
  <c r="AC86" i="2"/>
  <c r="AD86" i="2"/>
  <c r="AC77" i="2"/>
  <c r="O15" i="2"/>
  <c r="O30" i="2"/>
  <c r="O60" i="2"/>
  <c r="O58" i="2"/>
  <c r="O55" i="2"/>
  <c r="O39" i="2"/>
  <c r="O32" i="2"/>
  <c r="O46" i="2"/>
  <c r="O9" i="2"/>
  <c r="O25" i="2"/>
  <c r="O59" i="2"/>
  <c r="O18" i="2"/>
  <c r="O6" i="2"/>
  <c r="O13" i="2"/>
  <c r="O29" i="2"/>
  <c r="O34" i="2"/>
  <c r="O28" i="2"/>
  <c r="O12" i="2"/>
  <c r="O23" i="2"/>
  <c r="O56" i="2"/>
  <c r="O61" i="2"/>
  <c r="O5" i="2"/>
  <c r="O33" i="2"/>
  <c r="O44" i="2"/>
  <c r="O19" i="2"/>
  <c r="O43" i="2"/>
  <c r="O50" i="2"/>
  <c r="O53" i="2"/>
  <c r="O14" i="2"/>
  <c r="O40" i="2"/>
  <c r="O7" i="2"/>
  <c r="O47" i="2"/>
  <c r="O11" i="2"/>
  <c r="O26" i="2"/>
  <c r="O4" i="2"/>
  <c r="O24" i="2"/>
  <c r="O62" i="2"/>
  <c r="O10" i="2"/>
  <c r="O27" i="2"/>
  <c r="O22" i="2"/>
  <c r="O52" i="2"/>
  <c r="O48" i="2"/>
  <c r="O45" i="2"/>
  <c r="O36" i="2"/>
  <c r="O16" i="2"/>
  <c r="O38" i="2"/>
  <c r="O57" i="2"/>
  <c r="O42" i="2"/>
  <c r="O3" i="2"/>
  <c r="O51" i="2"/>
  <c r="O49" i="2"/>
  <c r="O35" i="2"/>
  <c r="O31" i="2"/>
  <c r="O41" i="2"/>
  <c r="O37" i="2"/>
  <c r="O8" i="2"/>
  <c r="B75" i="4"/>
  <c r="C75" i="4" s="1"/>
  <c r="B74" i="4"/>
  <c r="B76" i="4"/>
  <c r="O54" i="2"/>
  <c r="K28" i="2"/>
  <c r="K33" i="2"/>
  <c r="K58" i="2"/>
  <c r="K55" i="2"/>
  <c r="K45" i="2"/>
  <c r="K53" i="2"/>
  <c r="K39" i="2"/>
  <c r="K7" i="2"/>
  <c r="K29" i="2"/>
  <c r="K34" i="2"/>
  <c r="K20" i="2"/>
  <c r="R20" i="2" s="1"/>
  <c r="K60" i="2"/>
  <c r="R60" i="2" s="1"/>
  <c r="K5" i="2"/>
  <c r="K12" i="2"/>
  <c r="R12" i="2" s="1"/>
  <c r="K57" i="2"/>
  <c r="K11" i="2"/>
  <c r="K52" i="2"/>
  <c r="K10" i="2"/>
  <c r="R10" i="2" s="1"/>
  <c r="K27" i="2"/>
  <c r="K49" i="2"/>
  <c r="K31" i="2"/>
  <c r="K43" i="2"/>
  <c r="K38" i="2"/>
  <c r="K23" i="2"/>
  <c r="K61" i="2"/>
  <c r="K22" i="2"/>
  <c r="K47" i="2"/>
  <c r="K62" i="2"/>
  <c r="K46" i="2"/>
  <c r="K35" i="2"/>
  <c r="K18" i="2"/>
  <c r="K8" i="2"/>
  <c r="K50" i="2"/>
  <c r="R50" i="2" s="1"/>
  <c r="K14" i="2"/>
  <c r="K26" i="2"/>
  <c r="K21" i="2"/>
  <c r="R21" i="2" s="1"/>
  <c r="K40" i="2"/>
  <c r="K42" i="2"/>
  <c r="K56" i="2"/>
  <c r="K3" i="2"/>
  <c r="R3" i="2" s="1"/>
  <c r="K24" i="2"/>
  <c r="K16" i="2"/>
  <c r="K4" i="2"/>
  <c r="R4" i="2" s="1"/>
  <c r="K41" i="2"/>
  <c r="K54" i="2"/>
  <c r="K51" i="2"/>
  <c r="K48" i="2"/>
  <c r="K30" i="2"/>
  <c r="K9" i="2"/>
  <c r="K32" i="2"/>
  <c r="K13" i="2"/>
  <c r="K6" i="2"/>
  <c r="K59" i="2"/>
  <c r="K19" i="2"/>
  <c r="K15" i="2"/>
  <c r="K25" i="2"/>
  <c r="K44" i="2"/>
  <c r="W35" i="2" l="1"/>
  <c r="R35" i="2"/>
  <c r="W6" i="2"/>
  <c r="R6" i="2"/>
  <c r="W27" i="2"/>
  <c r="R27" i="2"/>
  <c r="W32" i="2"/>
  <c r="R32" i="2"/>
  <c r="W33" i="2"/>
  <c r="R33" i="2"/>
  <c r="W52" i="2"/>
  <c r="R52" i="2"/>
  <c r="W8" i="2"/>
  <c r="R8" i="2"/>
  <c r="V8" i="2" s="1"/>
  <c r="W46" i="2"/>
  <c r="R46" i="2"/>
  <c r="V46" i="2" s="1"/>
  <c r="W45" i="2"/>
  <c r="R45" i="2"/>
  <c r="W59" i="2"/>
  <c r="R59" i="2"/>
  <c r="W49" i="2"/>
  <c r="R49" i="2"/>
  <c r="W41" i="2"/>
  <c r="R41" i="2"/>
  <c r="W36" i="2"/>
  <c r="R36" i="2"/>
  <c r="W26" i="2"/>
  <c r="R26" i="2"/>
  <c r="V26" i="2" s="1"/>
  <c r="W47" i="2"/>
  <c r="R47" i="2"/>
  <c r="W16" i="2"/>
  <c r="R16" i="2"/>
  <c r="W22" i="2"/>
  <c r="R22" i="2"/>
  <c r="W34" i="2"/>
  <c r="R34" i="2"/>
  <c r="W31" i="2"/>
  <c r="R31" i="2"/>
  <c r="W37" i="2"/>
  <c r="R37" i="2"/>
  <c r="V37" i="2" s="1"/>
  <c r="W30" i="2"/>
  <c r="R30" i="2"/>
  <c r="W23" i="2"/>
  <c r="R23" i="2"/>
  <c r="V23" i="2" s="1"/>
  <c r="W7" i="2"/>
  <c r="R7" i="2"/>
  <c r="W14" i="2"/>
  <c r="R14" i="2"/>
  <c r="W9" i="2"/>
  <c r="R9" i="2"/>
  <c r="W28" i="2"/>
  <c r="R28" i="2"/>
  <c r="W11" i="2"/>
  <c r="R11" i="2"/>
  <c r="W48" i="2"/>
  <c r="R48" i="2"/>
  <c r="V48" i="2" s="1"/>
  <c r="W18" i="2"/>
  <c r="R18" i="2"/>
  <c r="W57" i="2"/>
  <c r="R57" i="2"/>
  <c r="V57" i="2" s="1"/>
  <c r="W51" i="2"/>
  <c r="R51" i="2"/>
  <c r="W54" i="2"/>
  <c r="R54" i="2"/>
  <c r="V54" i="2" s="1"/>
  <c r="W5" i="2"/>
  <c r="R5" i="2"/>
  <c r="V5" i="2" s="1"/>
  <c r="W62" i="2"/>
  <c r="R62" i="2"/>
  <c r="W44" i="2"/>
  <c r="R44" i="2"/>
  <c r="W29" i="2"/>
  <c r="R29" i="2"/>
  <c r="W38" i="2"/>
  <c r="R38" i="2"/>
  <c r="V38" i="2" s="1"/>
  <c r="W39" i="2"/>
  <c r="R39" i="2"/>
  <c r="W40" i="2"/>
  <c r="R40" i="2"/>
  <c r="W55" i="2"/>
  <c r="R55" i="2"/>
  <c r="W13" i="2"/>
  <c r="R13" i="2"/>
  <c r="W58" i="2"/>
  <c r="R58" i="2"/>
  <c r="W24" i="2"/>
  <c r="R24" i="2"/>
  <c r="W61" i="2"/>
  <c r="R61" i="2"/>
  <c r="W25" i="2"/>
  <c r="R25" i="2"/>
  <c r="W15" i="2"/>
  <c r="R15" i="2"/>
  <c r="W56" i="2"/>
  <c r="R56" i="2"/>
  <c r="W19" i="2"/>
  <c r="R19" i="2"/>
  <c r="W42" i="2"/>
  <c r="R42" i="2"/>
  <c r="W43" i="2"/>
  <c r="R43" i="2"/>
  <c r="V43" i="2" s="1"/>
  <c r="W53" i="2"/>
  <c r="R53" i="2"/>
  <c r="N2" i="2"/>
  <c r="R2" i="2"/>
  <c r="W50" i="2"/>
  <c r="B110" i="4"/>
  <c r="B91" i="4"/>
  <c r="V4" i="2"/>
  <c r="W3" i="2"/>
  <c r="B8" i="4"/>
  <c r="C8" i="4" s="1"/>
  <c r="W20" i="2"/>
  <c r="N20" i="2"/>
  <c r="Q20" i="2" s="1"/>
  <c r="B92" i="4"/>
  <c r="C74" i="4"/>
  <c r="C33" i="4"/>
  <c r="W10" i="2"/>
  <c r="C34" i="4"/>
  <c r="N12" i="2"/>
  <c r="Q12" i="2" s="1"/>
  <c r="W12" i="2"/>
  <c r="N4" i="2"/>
  <c r="W4" i="2"/>
  <c r="V60" i="2"/>
  <c r="W60" i="2"/>
  <c r="N21" i="2"/>
  <c r="Q21" i="2" s="1"/>
  <c r="W21" i="2"/>
  <c r="C76" i="4"/>
  <c r="C73" i="4"/>
  <c r="V42" i="2"/>
  <c r="N42" i="2"/>
  <c r="N7" i="2"/>
  <c r="Q7" i="2" s="1"/>
  <c r="N38" i="2"/>
  <c r="V6" i="2"/>
  <c r="N6" i="2"/>
  <c r="N26" i="2"/>
  <c r="Q26" i="2" s="1"/>
  <c r="N55" i="2"/>
  <c r="Q55" i="2" s="1"/>
  <c r="N50" i="2"/>
  <c r="Q50" i="2" s="1"/>
  <c r="N30" i="2"/>
  <c r="Q30" i="2" s="1"/>
  <c r="N33" i="2"/>
  <c r="Q33" i="2" s="1"/>
  <c r="N48" i="2"/>
  <c r="V18" i="2"/>
  <c r="N18" i="2"/>
  <c r="V52" i="2"/>
  <c r="N52" i="2"/>
  <c r="N28" i="2"/>
  <c r="Q28" i="2" s="1"/>
  <c r="N16" i="2"/>
  <c r="Q16" i="2" s="1"/>
  <c r="N62" i="2"/>
  <c r="Q62" i="2" s="1"/>
  <c r="N60" i="2"/>
  <c r="N44" i="2"/>
  <c r="Q44" i="2" s="1"/>
  <c r="V20" i="2"/>
  <c r="N15" i="2"/>
  <c r="Q15" i="2" s="1"/>
  <c r="N3" i="2"/>
  <c r="V53" i="2"/>
  <c r="N53" i="2"/>
  <c r="N31" i="2"/>
  <c r="Q31" i="2" s="1"/>
  <c r="V49" i="2"/>
  <c r="N49" i="2"/>
  <c r="AB76" i="2"/>
  <c r="N9" i="2"/>
  <c r="Q9" i="2" s="1"/>
  <c r="V58" i="2"/>
  <c r="N58" i="2"/>
  <c r="N10" i="2"/>
  <c r="Q10" i="2" s="1"/>
  <c r="N51" i="2"/>
  <c r="Q51" i="2" s="1"/>
  <c r="V36" i="2"/>
  <c r="N36" i="2"/>
  <c r="N11" i="2"/>
  <c r="Q11" i="2" s="1"/>
  <c r="N54" i="2"/>
  <c r="V35" i="2"/>
  <c r="N35" i="2"/>
  <c r="N57" i="2"/>
  <c r="V24" i="2"/>
  <c r="N24" i="2"/>
  <c r="N47" i="2"/>
  <c r="Q47" i="2" s="1"/>
  <c r="V25" i="2"/>
  <c r="N25" i="2"/>
  <c r="V22" i="2"/>
  <c r="N22" i="2"/>
  <c r="V34" i="2"/>
  <c r="N34" i="2"/>
  <c r="V61" i="2"/>
  <c r="N61" i="2"/>
  <c r="N19" i="2"/>
  <c r="Q19" i="2" s="1"/>
  <c r="V59" i="2"/>
  <c r="N59" i="2"/>
  <c r="N32" i="2"/>
  <c r="Q32" i="2" s="1"/>
  <c r="V56" i="2"/>
  <c r="N56" i="2"/>
  <c r="N29" i="2"/>
  <c r="Q29" i="2" s="1"/>
  <c r="N23" i="2"/>
  <c r="N40" i="2"/>
  <c r="Q40" i="2" s="1"/>
  <c r="N39" i="2"/>
  <c r="Q39" i="2" s="1"/>
  <c r="N43" i="2"/>
  <c r="N13" i="2"/>
  <c r="Q13" i="2" s="1"/>
  <c r="V45" i="2"/>
  <c r="N45" i="2"/>
  <c r="V14" i="2"/>
  <c r="N14" i="2"/>
  <c r="V27" i="2"/>
  <c r="N27" i="2"/>
  <c r="N8" i="2"/>
  <c r="N41" i="2"/>
  <c r="Q41" i="2" s="1"/>
  <c r="N37" i="2"/>
  <c r="N46" i="2"/>
  <c r="N5" i="2"/>
  <c r="V21" i="2"/>
  <c r="AC76" i="2"/>
  <c r="B111" i="4"/>
  <c r="B114" i="4"/>
  <c r="B95" i="4"/>
  <c r="B113" i="4"/>
  <c r="B94" i="4"/>
  <c r="B112" i="4"/>
  <c r="B93" i="4"/>
  <c r="Q56" i="2"/>
  <c r="Q4" i="2"/>
  <c r="Q42" i="2"/>
  <c r="Q49" i="2"/>
  <c r="Q61" i="2"/>
  <c r="Q59" i="2"/>
  <c r="Q38" i="2"/>
  <c r="Q43" i="2"/>
  <c r="Q14" i="2"/>
  <c r="Q18" i="2"/>
  <c r="Q34" i="2"/>
  <c r="Q53" i="2"/>
  <c r="Q37" i="2"/>
  <c r="Q5" i="2"/>
  <c r="Q60" i="2"/>
  <c r="Q25" i="2"/>
  <c r="Q22" i="2"/>
  <c r="Q23" i="2"/>
  <c r="Q6" i="2"/>
  <c r="Q45" i="2"/>
  <c r="Q27" i="2"/>
  <c r="Q58" i="2"/>
  <c r="Q8" i="2"/>
  <c r="Q48" i="2"/>
  <c r="Q52" i="2"/>
  <c r="Q36" i="2"/>
  <c r="Q54" i="2"/>
  <c r="Q35" i="2"/>
  <c r="Q57" i="2"/>
  <c r="Q46" i="2"/>
  <c r="Q24" i="2"/>
  <c r="B15" i="4"/>
  <c r="B10" i="4"/>
  <c r="C10" i="4" s="1"/>
  <c r="B16" i="4"/>
  <c r="B11" i="4"/>
  <c r="C11" i="4" s="1"/>
  <c r="B13" i="4"/>
  <c r="B14" i="4"/>
  <c r="B9" i="4"/>
  <c r="C9" i="4" s="1"/>
  <c r="B138" i="4" l="1"/>
  <c r="B142" i="4" s="1"/>
  <c r="Q3" i="2"/>
  <c r="B129" i="4"/>
  <c r="B139" i="4"/>
  <c r="B143" i="4" s="1"/>
  <c r="C129" i="4"/>
  <c r="V50" i="2"/>
  <c r="B78" i="4"/>
  <c r="C128" i="4"/>
  <c r="Q2" i="2"/>
  <c r="B122" i="4"/>
  <c r="B116" i="4"/>
  <c r="B117" i="4"/>
  <c r="B128" i="4"/>
  <c r="B140" i="4"/>
  <c r="B144" i="4" s="1"/>
  <c r="V3" i="2"/>
  <c r="C130" i="4"/>
  <c r="B131" i="4"/>
  <c r="B132" i="4"/>
  <c r="B136" i="4" s="1"/>
  <c r="B130" i="4"/>
  <c r="C131" i="4"/>
  <c r="C132" i="4"/>
  <c r="C111" i="4"/>
  <c r="C114" i="4"/>
  <c r="C95" i="4"/>
  <c r="C112" i="4"/>
  <c r="C94" i="4"/>
  <c r="C92" i="4"/>
  <c r="C93" i="4"/>
  <c r="C113" i="4"/>
  <c r="B124" i="4"/>
  <c r="B118" i="4"/>
  <c r="B119" i="4"/>
  <c r="B125" i="4"/>
  <c r="B123" i="4"/>
  <c r="B81" i="4"/>
  <c r="B82" i="4"/>
  <c r="B80" i="4"/>
  <c r="B126" i="4"/>
  <c r="B79" i="4"/>
  <c r="B120" i="4"/>
  <c r="B134" i="4" l="1"/>
  <c r="C142" i="4" s="1"/>
  <c r="B135" i="4"/>
  <c r="C143" i="4" s="1"/>
  <c r="C123" i="4"/>
  <c r="C125" i="4"/>
  <c r="C124" i="4"/>
  <c r="C80" i="4"/>
  <c r="C81" i="4"/>
  <c r="C120" i="4"/>
  <c r="E132" i="4"/>
  <c r="E130" i="4"/>
  <c r="C119" i="4"/>
  <c r="E131" i="4"/>
  <c r="C118" i="4"/>
  <c r="C117" i="4"/>
  <c r="E129" i="4"/>
  <c r="C82" i="4"/>
  <c r="C126" i="4"/>
  <c r="C79" i="4"/>
  <c r="C144" i="4"/>
  <c r="D130" i="4"/>
  <c r="D129"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<sst xmlns="http://schemas.openxmlformats.org/spreadsheetml/2006/main" count="6104" uniqueCount="1443">
  <si>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</si>
  <si>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</si>
  <si>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</si>
  <si>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</si>
  <si>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</si>
  <si>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</si>
  <si>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</si>
  <si>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</si>
  <si>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</si>
  <si>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</si>
  <si>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</si>
  <si>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</si>
  <si>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</si>
  <si>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</si>
  <si>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</si>
  <si>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</si>
  <si>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</si>
  <si>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</si>
  <si>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</si>
  <si>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</si>
  <si>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</si>
  <si>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</si>
  <si>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</si>
  <si>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DEFAULT</t>
  </si>
  <si>
    <t>CASH</t>
  </si>
  <si>
    <t>TRANSFER_INSTANT_INBOUND</t>
  </si>
  <si>
    <t>EUR</t>
  </si>
  <si>
    <t>Incoming transfer from ROMEO TALLA FOTSING</t>
  </si>
  <si>
    <t>424eaa0e-2c58-4651-aa44-7b5a953a5a64</t>
  </si>
  <si>
    <t>e95f0d7f-e43e-4fd6-b6ab-5dc0b1a435ce</t>
  </si>
  <si>
    <t>TRADING</t>
  </si>
  <si>
    <t>BUY</t>
  </si>
  <si>
    <t>STOCK</t>
  </si>
  <si>
    <t>Hensoldt</t>
  </si>
  <si>
    <t>DE000HAG0005</t>
  </si>
  <si>
    <t>Buy trade DE000HAG0005 HENSOLDT AG INH O.N., quantity: 0.009325</t>
  </si>
  <si>
    <t>0727b23c-23a7-4222-a59d-0c9bc60ef4f3</t>
  </si>
  <si>
    <t>Buy trade DE000HAG0005 HENSOLDT AG INH O.N., quantity: 1</t>
  </si>
  <si>
    <t>a629c8cf-59e5-427d-9d60-e150262d0229</t>
  </si>
  <si>
    <t>53ff5df6-b9e9-4706-9b7e-909c42bd2b4b</t>
  </si>
  <si>
    <t>NVIDIA</t>
  </si>
  <si>
    <t>US67066G1040</t>
  </si>
  <si>
    <t>Buy trade US67066G1040 NVIDIA CORP.      DL-,001, quantity: 0.004184</t>
  </si>
  <si>
    <t>1cf6e467-defb-4230-8695-cfdce5f7c8b1</t>
  </si>
  <si>
    <t>Buy trade US67066G1040 NVIDIA CORP.      DL-,001, quantity: 1</t>
  </si>
  <si>
    <t>9758550e-bb56-4291-9669-769e8743d26a</t>
  </si>
  <si>
    <t>0d9897c9-c8fd-4778-968d-1a938e62e15e</t>
  </si>
  <si>
    <t>Siemens Energy</t>
  </si>
  <si>
    <t>DE000ENER6Y0</t>
  </si>
  <si>
    <t>Buy trade DE000ENER6Y0 SIEMENS ENERGY AG NA O.N., quantity: 1</t>
  </si>
  <si>
    <t>c7a53c80-2e60-48ab-9f12-9783bb111234</t>
  </si>
  <si>
    <t>Buy trade DE000ENER6Y0 SIEMENS ENERGY AG NA O.N., quantity: 0.017408</t>
  </si>
  <si>
    <t>747eaf82-a1bb-436c-be67-e001ace15c63</t>
  </si>
  <si>
    <t>982366f6-521f-44fe-bd80-efb1401d2fee</t>
  </si>
  <si>
    <t>af3b470a-85d9-43a5-a66f-f48c9956c0b5</t>
  </si>
  <si>
    <t>Infineon Technologies</t>
  </si>
  <si>
    <t>DE0006231004</t>
  </si>
  <si>
    <t>Buy trade DE0006231004 INFINEON TECH.AG NA O.N., quantity: 0.871199</t>
  </si>
  <si>
    <t>23d47dc4-4c9a-40f5-bef3-2d480cd8e83c</t>
  </si>
  <si>
    <t>Buy trade DE0006231004 INFINEON TECH.AG NA O.N., quantity: 1</t>
  </si>
  <si>
    <t>433c455d-7391-4e56-999a-61950885dbc2</t>
  </si>
  <si>
    <t>e582d7a8-1263-40e7-9c23-1bc6a34c6822</t>
  </si>
  <si>
    <t>e25dd191-37d8-403a-9c16-c0e3cbb411d0</t>
  </si>
  <si>
    <t>9cf1e7fa-4740-4383-a0c1-7766064d658d</t>
  </si>
  <si>
    <t>CRYPTO</t>
  </si>
  <si>
    <t>Solana</t>
  </si>
  <si>
    <t>SOL</t>
  </si>
  <si>
    <t>Buy trade XF000SOL0012 Solana, quantity: 1.004294</t>
  </si>
  <si>
    <t>afbcad62-3fc9-4099-9e9b-8900285f53e8</t>
  </si>
  <si>
    <t>XRP</t>
  </si>
  <si>
    <t>Buy trade XF000XRP0018 XRP, quantity: 4.324764</t>
  </si>
  <si>
    <t>230d489b-9016-478a-8352-d0c5a4b91285</t>
  </si>
  <si>
    <t>Cardano</t>
  </si>
  <si>
    <t>ADA</t>
  </si>
  <si>
    <t>Buy trade XF000ADA0018 Cardano, quantity: 13.490816</t>
  </si>
  <si>
    <t>b14b2296-7649-45b6-96d4-0adb5bf4ccd1</t>
  </si>
  <si>
    <t>ThyssenKrupp</t>
  </si>
  <si>
    <t>DE0007500001</t>
  </si>
  <si>
    <t>Buy trade DE0007500001 THYSSENKRUPP AG O.N., quantity: 2</t>
  </si>
  <si>
    <t>da29a441-a07c-49b7-9b99-80a529e4e573</t>
  </si>
  <si>
    <t>Buy trade DE0007500001 THYSSENKRUPP AG O.N., quantity: 0.186878</t>
  </si>
  <si>
    <t>969d0b29-b80f-44a2-9ae6-5cd0d9357879</t>
  </si>
  <si>
    <t>SELL</t>
  </si>
  <si>
    <t>Sell trade US67066G1040 NVIDIA CORP.      DL-,001, quantity: 0.026957</t>
  </si>
  <si>
    <t>70655a16-2cfd-4223-b0c9-8f308f9dd5d2</t>
  </si>
  <si>
    <t>Buy trade US67066G1040 NVIDIA CORP.      DL-,001, quantity: 0.350215</t>
  </si>
  <si>
    <t>9b0d29d2-6ed3-47ac-99ce-e87af3ec296e</t>
  </si>
  <si>
    <t>de466bec-4087-4c0a-8202-9aaf20516527</t>
  </si>
  <si>
    <t>4c71c45a-503c-4c74-96ce-9f37f9f8b41a</t>
  </si>
  <si>
    <t>RENK Group</t>
  </si>
  <si>
    <t>DE000RENK730</t>
  </si>
  <si>
    <t>Buy trade DE000RENK730 RENK GROUP AG INH O.N., quantity: 1</t>
  </si>
  <si>
    <t>b604100c-0247-458c-829f-5bd7424f8603</t>
  </si>
  <si>
    <t>Buy trade DE000RENK730 RENK GROUP AG INH O.N., quantity: 0.134894</t>
  </si>
  <si>
    <t>728d465d-af9d-4e7c-8d16-17bcdeade476</t>
  </si>
  <si>
    <t>Palantir Technologies</t>
  </si>
  <si>
    <t>US69608A1088</t>
  </si>
  <si>
    <t>Buy trade US69608A1088 PALANTIR TECHNOLOGIES INC, quantity: 0.052408</t>
  </si>
  <si>
    <t>33934593-6ada-44ba-a54e-3b261f040217</t>
  </si>
  <si>
    <t>Buy trade US69608A1088 PALANTIR TECHNOLOGIES INC, quantity: 1</t>
  </si>
  <si>
    <t>8ef7b29c-5d9e-4ffb-bfb7-9db3512a4693</t>
  </si>
  <si>
    <t>RWE</t>
  </si>
  <si>
    <t>DE0007037129</t>
  </si>
  <si>
    <t>Buy trade DE0007037129 RWE AG ST O.N., quantity: 1</t>
  </si>
  <si>
    <t>c7dc6691-719e-4fc2-ab45-33cbda29778b</t>
  </si>
  <si>
    <t>Buy trade DE0007037129 RWE AG ST O.N., quantity: 0.368332</t>
  </si>
  <si>
    <t>06d1bbf5-d51f-43e8-b726-11fcb04b32f9</t>
  </si>
  <si>
    <t>Chainlink</t>
  </si>
  <si>
    <t>LINK</t>
  </si>
  <si>
    <t>Buy trade XF000LINK010 Chainlink, quantity: 2.367195</t>
  </si>
  <si>
    <t>c99405ed-4454-4ee5-aa95-c21cee2c3fe4</t>
  </si>
  <si>
    <t>61d73e9b-080e-4b38-8e9c-cfa53831534d</t>
  </si>
  <si>
    <t>831bbaff-b1d8-4fce-ba2e-95946db4c5c9</t>
  </si>
  <si>
    <t>c3f80c0e-b161-4698-a026-5e62bb5941db</t>
  </si>
  <si>
    <t>Render</t>
  </si>
  <si>
    <t>XF0RENDER015</t>
  </si>
  <si>
    <t>Buy trade XF0RENDER015 Render Token, quantity: 3.17</t>
  </si>
  <si>
    <t>46bdf702-e375-4a1f-85a5-70d506e3a587</t>
  </si>
  <si>
    <t>Polkadot</t>
  </si>
  <si>
    <t>DOT</t>
  </si>
  <si>
    <t>Buy trade XF000DOT0011 Polkadot, quantity: 4.691738</t>
  </si>
  <si>
    <t>c890608d-0d09-41fc-9e89-ee26200b50dc</t>
  </si>
  <si>
    <t>61a8a189-a7cf-4d84-9a65-f99f55ab70b0</t>
  </si>
  <si>
    <t>Siltronic</t>
  </si>
  <si>
    <t>DE000WAF3001</t>
  </si>
  <si>
    <t>Buy trade DE000WAF3001 SILTRONIC AG NA O.N., quantity: 2</t>
  </si>
  <si>
    <t>843e4bdb-8491-4a40-9200-1811f4bccb8f</t>
  </si>
  <si>
    <t>Sell trade DE000WAF3001 SILTRONIC AG NA O.N., quantity: 1</t>
  </si>
  <si>
    <t>cbf4cb4f-76f8-44a7-a41c-d83a924513dc</t>
  </si>
  <si>
    <t>Sell trade DE000HAG0005 HENSOLDT AG INH O.N., quantity: 0.504662</t>
  </si>
  <si>
    <t>9ab2f83f-199c-4ca1-a957-b1b00150017e</t>
  </si>
  <si>
    <t>Sell trade US67066G1040 NVIDIA CORP.      DL-,001, quantity: 1</t>
  </si>
  <si>
    <t>52626e11-e7d6-4e38-b12e-b69767dc709b</t>
  </si>
  <si>
    <t>Sell trade US67066G1040 NVIDIA CORP.      DL-,001, quantity: 0.327442</t>
  </si>
  <si>
    <t>1c3be71a-9264-4229-8bf9-a62107f2cc26</t>
  </si>
  <si>
    <t>Sell trade US69608A1088 PALANTIR TECHNOLOGIES INC, quantity: 1</t>
  </si>
  <si>
    <t>90fc9d75-3c7d-4aa2-9bc8-fbb368cd4f73</t>
  </si>
  <si>
    <t>Sell trade US69608A1088 PALANTIR TECHNOLOGIES INC, quantity: 0.052408</t>
  </si>
  <si>
    <t>94edbb6f-65fb-4199-b573-d875dbd39b1a</t>
  </si>
  <si>
    <t>Sell trade DE000ENER6Y0 SIEMENS ENERGY AG NA O.N., quantity: 0.017408</t>
  </si>
  <si>
    <t>c77b1b6d-0a52-47f5-9e89-ba5cbb99cce9</t>
  </si>
  <si>
    <t>Sell trade DE000ENER6Y0 SIEMENS ENERGY AG NA O.N., quantity: 1</t>
  </si>
  <si>
    <t>62108128-f1d7-4402-bcfa-1a431975973b</t>
  </si>
  <si>
    <t>Sell trade DE000RENK730 RENK GROUP AG INH O.N., quantity: 1</t>
  </si>
  <si>
    <t>8130528c-7438-4c56-bd56-9c8d9db4981d</t>
  </si>
  <si>
    <t>Sell trade DE000RENK730 RENK GROUP AG INH O.N., quantity: 0.134894</t>
  </si>
  <si>
    <t>fc206dc8-7072-45b6-a758-df4c93091461</t>
  </si>
  <si>
    <t>Sell trade DE000HAG0005 HENSOLDT AG INH O.N., quantity: 0.504663</t>
  </si>
  <si>
    <t>4179a9f3-febc-42bd-909a-f314eac0a02b</t>
  </si>
  <si>
    <t>70ee0076-c41d-4cf9-9163-41abc36cf1eb</t>
  </si>
  <si>
    <t>Sell trade DE0007500001 THYSSENKRUPP AG O.N., quantity: 0.186878</t>
  </si>
  <si>
    <t>41494ede-1bcc-495f-9e3a-632c91b78360</t>
  </si>
  <si>
    <t>Sell trade DE0007500001 THYSSENKRUPP AG O.N., quantity: 2</t>
  </si>
  <si>
    <t>31914c2c-a85f-49f5-a3ee-8346e24e8cf2</t>
  </si>
  <si>
    <t>D-Wave Quantum</t>
  </si>
  <si>
    <t>US26740W1099</t>
  </si>
  <si>
    <t>Buy trade US26740W1099 D-WAVE QUATUM    DL-,0001, quantity: 4</t>
  </si>
  <si>
    <t>b0d8db12-40f9-40ef-a08e-4282f99648db</t>
  </si>
  <si>
    <t>Buy trade US26740W1099 D-WAVE QUATUM    DL-,0001, quantity: 0.3345</t>
  </si>
  <si>
    <t>e8af7d9f-3ebf-4b33-b4aa-fe094e0e7ba1</t>
  </si>
  <si>
    <t>2e0f9168-1066-423d-aac1-119d9c35d48c</t>
  </si>
  <si>
    <t>TRANSFER_INSTANT_OUTBOUND</t>
  </si>
  <si>
    <t>Outgoing transfer for ROMEO TALLA FOTSING</t>
  </si>
  <si>
    <t>f0a439b8-f85d-4b78-ba89-8d2ef510e8a9</t>
  </si>
  <si>
    <t>6c514324-6f4c-4ebf-ba57-957ab9778f81</t>
  </si>
  <si>
    <t>9df58345-e9a3-4ec8-9d96-9d7c9464fbfd</t>
  </si>
  <si>
    <t>de0f47bd-6050-4d2d-90f4-4ef569a2a7a2</t>
  </si>
  <si>
    <t>DroneShield</t>
  </si>
  <si>
    <t>AU000000DRO2</t>
  </si>
  <si>
    <t>Buy trade AU000000DRO2 DRONESHIELD LTD, quantity: 17.0</t>
  </si>
  <si>
    <t>e9d1ff9c-c984-44cf-819c-8f6e1583d1ab</t>
  </si>
  <si>
    <t>Buy trade AU000000DRO2 DRONESHIELD LTD, quantity: 0.857142</t>
  </si>
  <si>
    <t>f5260dcb-89e2-4ce1-895e-36e76b38e469</t>
  </si>
  <si>
    <t>Buy trade US26740W1099 D-WAVE QUATUM    DL-,0001, quantity: 2</t>
  </si>
  <si>
    <t>3fb17192-e942-4fcf-97e3-ebaf27ac9707</t>
  </si>
  <si>
    <t>Buy trade US26740W1099 D-WAVE QUATUM    DL-,0001, quantity: 0.364864</t>
  </si>
  <si>
    <t>2704b2b6-ebf1-4217-80c8-fedb081f9d3f</t>
  </si>
  <si>
    <t>dd9893cb-efdd-4a57-aaa1-f47196f8e9a6</t>
  </si>
  <si>
    <t>DIVIDEND</t>
  </si>
  <si>
    <t>USD</t>
  </si>
  <si>
    <t>Cash Dividend for ISIN US67066G1040</t>
  </si>
  <si>
    <t>543c1bc9-305b-4c82-acbb-80d06475a7e7</t>
  </si>
  <si>
    <t>Sell trade XF000SOL0012 Solana, quantity: 1.004294</t>
  </si>
  <si>
    <t>71e1f49a-908b-4af9-900d-ee1e7fb49247</t>
  </si>
  <si>
    <t>Sell trade DE0006231004 INFINEON TECH.AG NA O.N., quantity: 1</t>
  </si>
  <si>
    <t>0567ef5b-9b1c-46e5-aa2f-65ca1a47cc42</t>
  </si>
  <si>
    <t>Sell trade DE0006231004 INFINEON TECH.AG NA O.N., quantity: 0.871199</t>
  </si>
  <si>
    <t>ed8e8b30-f429-4bb8-833e-6464f7c09d12</t>
  </si>
  <si>
    <t>Sell trade DE0007037129 RWE AG ST O.N., quantity: 1</t>
  </si>
  <si>
    <t>780ce208-7f07-43f1-80d2-771b024017a4</t>
  </si>
  <si>
    <t>Sell trade DE0007037129 RWE AG ST O.N., quantity: 0.368332</t>
  </si>
  <si>
    <t>c0d03e66-34b5-4cc5-a1a7-d5a522e940d1</t>
  </si>
  <si>
    <t>Buy trade AU000000DRO2 DRONESHIELD LTD, quantity: 39.0</t>
  </si>
  <si>
    <t>7fe00626-6bbf-4c2f-9be5-d614a297e05e</t>
  </si>
  <si>
    <t>Buy trade AU000000DRO2 DRONESHIELD LTD, quantity: 0.378238</t>
  </si>
  <si>
    <t>0de11250-3d7b-4ad1-85cb-49bb5b6fe18e</t>
  </si>
  <si>
    <t>Buy trade AU000000DRO2 DRONESHIELD LTD, quantity: 6.0</t>
  </si>
  <si>
    <t>61c89198-4ff7-4093-9b53-9af514a6b72e</t>
  </si>
  <si>
    <t>Buy trade AU000000DRO2 DRONESHIELD LTD, quantity: 0.654991</t>
  </si>
  <si>
    <t>407e0b05-c948-490d-870f-df9dcfdb854f</t>
  </si>
  <si>
    <t>Buy trade AU000000DRO2 DRONESHIELD LTD, quantity: 59.0</t>
  </si>
  <si>
    <t>d0afae04-ccd5-43ea-b23d-af6e555caccc</t>
  </si>
  <si>
    <t>Buy trade AU000000DRO2 DRONESHIELD LTD, quantity: 0.336823</t>
  </si>
  <si>
    <t>f8b5b4c9-cd05-4610-a2a0-2b2c53958e92</t>
  </si>
  <si>
    <t>d1cd4309-2287-443e-bac9-8ddaff499ae4</t>
  </si>
  <si>
    <t>Plug Power</t>
  </si>
  <si>
    <t>US72919P2020</t>
  </si>
  <si>
    <t>Buy trade US72919P2020 PLUG POWER INC. DL-,01, quantity: 30</t>
  </si>
  <si>
    <t>b9a6d735-d0cd-4364-a2a8-63b1b1963969</t>
  </si>
  <si>
    <t>Buy trade US72919P2020 PLUG POWER INC. DL-,01, quantity: 0.562347</t>
  </si>
  <si>
    <t>476fa4a4-29d1-47b4-8916-a3bdee93f01e</t>
  </si>
  <si>
    <t>BTQ Technologies</t>
  </si>
  <si>
    <t>CA0558691014</t>
  </si>
  <si>
    <t>Buy trade CA0558691014 BTQ TECHNOLOGIES CORP., quantity: 0.967213</t>
  </si>
  <si>
    <t>25ff77af-b300-4b1d-bef3-cbc834003afd</t>
  </si>
  <si>
    <t>Buy trade CA0558691014 BTQ TECHNOLOGIES CORP., quantity: 11.0</t>
  </si>
  <si>
    <t>bde76b32-52df-4a4a-96d9-11d41a6b06c9</t>
  </si>
  <si>
    <t>Sell trade AU000000DRO2 DRONESHIELD LTD, quantity: 123.0</t>
  </si>
  <si>
    <t>a7b733e5-964c-445b-8826-1b676c1dbe56</t>
  </si>
  <si>
    <t>Sell trade AU000000DRO2 DRONESHIELD LTD, quantity: 0.227194</t>
  </si>
  <si>
    <t>dc2b5083-1450-41ad-908f-d465d932b914</t>
  </si>
  <si>
    <t>Sell trade US26740W1099 D-WAVE QUATUM    DL-,0001, quantity: 6</t>
  </si>
  <si>
    <t>29eb24f0-97e7-485f-add2-535c330b0fba</t>
  </si>
  <si>
    <t>Sell trade US26740W1099 D-WAVE QUATUM    DL-,0001, quantity: 0.699364</t>
  </si>
  <si>
    <t>41da30b5-cf30-42ae-ab1d-a819db75691a</t>
  </si>
  <si>
    <t>bd9b8b5b-a989-48ae-9336-6edccbeb937d</t>
  </si>
  <si>
    <t xml:space="preserve">UiPath </t>
  </si>
  <si>
    <t>US90364P1057</t>
  </si>
  <si>
    <t>Buy trade US90364P1057 UIPATH INC.   A DL-,00001, quantity: 0.211239</t>
  </si>
  <si>
    <t>bbad0a21-06b2-488d-b9f3-235db0c87a4c</t>
  </si>
  <si>
    <t>Buy trade US90364P1057 UIPATH INC.   A DL-,00001, quantity: 7.0</t>
  </si>
  <si>
    <t>0ba4e127-eff1-4ce8-80d3-51fc8f503d44</t>
  </si>
  <si>
    <t>175a0829-f92c-4255-8ab7-bd3e8a87d42a</t>
  </si>
  <si>
    <t>795b30d7-2a1d-42c8-b16a-a03486fcc4d9</t>
  </si>
  <si>
    <t>Buy trade XF000XRP0018 XRP, quantity: 10.314556</t>
  </si>
  <si>
    <t>7014c662-3be2-46cc-a9c9-ee39df4da837</t>
  </si>
  <si>
    <t>Buy trade XF000ADA0018 Cardano, quantity: 28.448976</t>
  </si>
  <si>
    <t>9a77e70f-a797-4e1f-b066-d2ddedd8fca1</t>
  </si>
  <si>
    <t>Buy trade XF000DOT0011 Polkadot, quantity: 7.140103</t>
  </si>
  <si>
    <t>ab532230-9c48-4908-917b-79750fa74442</t>
  </si>
  <si>
    <t>Buy trade XF0RENDER015 Render Token, quantity: 8.69</t>
  </si>
  <si>
    <t>bc75428a-02af-41ef-987c-ce6003a0c932</t>
  </si>
  <si>
    <t>Buy trade AU000000DRO2 DRONESHIELD LTD, quantity: 0.775137</t>
  </si>
  <si>
    <t>cd99ce49-e49b-4c4c-92c0-4c0428c1978a</t>
  </si>
  <si>
    <t>Buy trade AU000000DRO2 DRONESHIELD LTD, quantity: 108.0</t>
  </si>
  <si>
    <t>3da85001-f286-48e7-a1b1-9958631c1664</t>
  </si>
  <si>
    <t>Incoming transfer from ROMEO TALLA FOTSING (DE16300209005310514271)</t>
  </si>
  <si>
    <t>019aee09-5a28-7927-8993-f42134793bea</t>
  </si>
  <si>
    <t>019aedf6-7285-7bf7-a42b-a6b28d7cfa76</t>
  </si>
  <si>
    <t>019aedf4-7ab5-7bee-95a6-4e2951b5df11</t>
  </si>
  <si>
    <t>Buy trade XF000ADA0018 Cardano, quantity: 134.173077</t>
  </si>
  <si>
    <t>32077172-03ad-40a3-adf7-df97720afa17</t>
  </si>
  <si>
    <t>Buy trade XF000XRP0018 XRP, quantity: 26.372817</t>
  </si>
  <si>
    <t>c0a5bd9e-4f96-4aae-8efc-02335fd171d9</t>
  </si>
  <si>
    <t>Buy trade CA0558691014 BTQ TECHNOLOGIES CORP., quantity: 8.0</t>
  </si>
  <si>
    <t>a3277adf-8d14-44b2-be20-3489ebf38378</t>
  </si>
  <si>
    <t>Buy trade CA0558691014 BTQ TECHNOLOGIES CORP., quantity: 0.695652</t>
  </si>
  <si>
    <t>563adad6-c87f-4a6d-9533-5e2c8ae57537</t>
  </si>
  <si>
    <t>GIFT</t>
  </si>
  <si>
    <t>Gift lottery order: Transfer from marketing stock perk to recipient cash account for lottery e16b9a9c-8d4d-4e83-802c-ffe2560ba6b0</t>
  </si>
  <si>
    <t>019afd34-9947-7eca-8998-30cc305d5b1c</t>
  </si>
  <si>
    <t>019afcb7-9753-7e2a-886b-c96c3285d822</t>
  </si>
  <si>
    <t>Bayer</t>
  </si>
  <si>
    <t>DE000BAY0017</t>
  </si>
  <si>
    <t>Buy trade DE000BAY0017 BAYER AG O.N., quantity: 0.581914</t>
  </si>
  <si>
    <t>de01d30c-03a3-4e78-a600-5e2e0b3f3ba9</t>
  </si>
  <si>
    <t>Buy trade US26740W1099 D-WAVE QUATUM    DL-,0001, quantity: 0.27538</t>
  </si>
  <si>
    <t>21b41f69-1308-4d47-857d-39a154490a6e</t>
  </si>
  <si>
    <t>Buy trade US26740W1099 D-WAVE QUATUM    DL-,0001, quantity: 10.0</t>
  </si>
  <si>
    <t>bca0a9f2-b9a3-42f8-b82d-991180d5ba51</t>
  </si>
  <si>
    <t>019b045c-097e-78e6-9baf-b2ce8fe2f02e</t>
  </si>
  <si>
    <t>019b0332-ed3a-70dd-92f1-cc5fa2ec3a66</t>
  </si>
  <si>
    <t>Buy trade XF0RENDER015 Render Token, quantity: 13.04</t>
  </si>
  <si>
    <t>7dff909e-ba7d-4308-9f49-ff3eba93466a</t>
  </si>
  <si>
    <t>Buy trade XF000DOT0011 Polkadot, quantity: 10.857816</t>
  </si>
  <si>
    <t>ae3825d2-80ce-4336-b0d7-815f774a39d4</t>
  </si>
  <si>
    <t>Buy trade XF000LINK010 Chainlink, quantity: 3.513813</t>
  </si>
  <si>
    <t>8a76fb67-26ef-43a6-b6c4-ba1a451d7c7d</t>
  </si>
  <si>
    <t>Buy trade CA0558691014 BTQ TECHNOLOGIES CORP., quantity: 0.166666</t>
  </si>
  <si>
    <t>4ac82ffd-e8df-46b5-844b-4b0ca7cd1763</t>
  </si>
  <si>
    <t>Buy trade CA0558691014 BTQ TECHNOLOGIES CORP., quantity: 10.0</t>
  </si>
  <si>
    <t>d28eaf93-b986-4a65-937f-ac0aacd130a3</t>
  </si>
  <si>
    <t>Buy trade DE000BAY0017 BAYER AG O.N., quantity: 1</t>
  </si>
  <si>
    <t>ab0d2967-1920-4dc8-9561-917edb7fa438</t>
  </si>
  <si>
    <t>Buy trade DE000BAY0017 BAYER AG O.N., quantity: 0.02224</t>
  </si>
  <si>
    <t>4ee71448-88ce-45e8-8083-19a32493b161</t>
  </si>
  <si>
    <t>Buy trade US26740W1099 D-WAVE QUATUM    DL-,0001, quantity: 0.167424</t>
  </si>
  <si>
    <t>cdc7a0b4-7216-400c-8cc8-f1627e30e557</t>
  </si>
  <si>
    <t>Buy trade US26740W1099 D-WAVE QUATUM    DL-,0001, quantity: 5.0</t>
  </si>
  <si>
    <t>13bd4217-bf26-4141-885c-bbadca60938f</t>
  </si>
  <si>
    <t>019b0a45-d1f5-7ec1-88b3-0fcd5a31114c</t>
  </si>
  <si>
    <t>019b0768-6839-701d-9459-43a506c4146d</t>
  </si>
  <si>
    <t>019b07fc-ea08-70be-a192-9531a952aace</t>
  </si>
  <si>
    <t>Centrotherm Photovoltaics</t>
  </si>
  <si>
    <t>DE000A1TNMM9</t>
  </si>
  <si>
    <t>Buy trade DE000A1TNMM9 CENTROTHERM INTL O.N., quantity: 23.0</t>
  </si>
  <si>
    <t>b5e51c18-be0d-41b4-94fb-2d97cdf6f0d5</t>
  </si>
  <si>
    <t>Buy trade DE000A1TNMM9 CENTROTHERM INTL O.N., quantity: 0.832335</t>
  </si>
  <si>
    <t>b0125f4c-7ccd-436f-9d84-7d84cded2423</t>
  </si>
  <si>
    <t>019b2ba0-a136-73aa-bad7-4d2b7ee5d85e</t>
  </si>
  <si>
    <t>Deutsche Konsum REIT</t>
  </si>
  <si>
    <t>DE000A14KRD3</t>
  </si>
  <si>
    <t>Buy trade DE000A14KRD3 DT.KONSUM REIT-AG, quantity: 30</t>
  </si>
  <si>
    <t>7b635484-3ba9-4010-94dd-f901798769d4</t>
  </si>
  <si>
    <t>Volatus Aerospace</t>
  </si>
  <si>
    <t>CA92865M1023</t>
  </si>
  <si>
    <t>Buy trade CA92865M1023 VOLATUS AEROSPACE INC., quantity: 50</t>
  </si>
  <si>
    <t>9fddf3dc-eece-440f-a3d2-0639f2887d6e</t>
  </si>
  <si>
    <t>Vulcan Energy Resources</t>
  </si>
  <si>
    <t>AU0000066086</t>
  </si>
  <si>
    <t>Buy trade AU0000066086 VULCAN ENERGY RESOURCES, quantity: 0.345679</t>
  </si>
  <si>
    <t>f4cd3cdc-20d9-4737-a05b-51161221e242</t>
  </si>
  <si>
    <t>Buy trade AU0000066086 VULCAN ENERGY RESOURCES, quantity: 12.0</t>
  </si>
  <si>
    <t>f949bb83-0563-4939-9558-1e1eaf5b124b</t>
  </si>
  <si>
    <t>019b3318-b164-75ab-bcef-1f95e1e787b2</t>
  </si>
  <si>
    <t>Draganfly</t>
  </si>
  <si>
    <t>CA26142Q3044</t>
  </si>
  <si>
    <t>Buy trade CA26142Q3044 DRAGANFLY INC., quantity: 14.0</t>
  </si>
  <si>
    <t>1c077ffd-3ab1-4a53-9c2c-0df266c6c871</t>
  </si>
  <si>
    <t>Buy trade CA26142Q3044 DRAGANFLY INC., quantity: 0.90566</t>
  </si>
  <si>
    <t>19c551d9-13b7-4840-8a6f-40271b08bd6a</t>
  </si>
  <si>
    <t>Voltabox</t>
  </si>
  <si>
    <t>DE000A2E4LE9</t>
  </si>
  <si>
    <t>Buy trade DE000A2E4LE9 VOLTATRON AG INH. O.N., quantity: 0.401785</t>
  </si>
  <si>
    <t>baaee081-8028-4502-9d74-0f2cdca043ca</t>
  </si>
  <si>
    <t>Buy trade DE000A2E4LE9 VOLTATRON AG INH. O.N., quantity: 15.0</t>
  </si>
  <si>
    <t>4f2473ad-ea3c-4f79-979d-4efa2f408a1f</t>
  </si>
  <si>
    <t>019b3872-9e95-732d-9b6b-73e3d38c2d9a</t>
  </si>
  <si>
    <t>Red Cat</t>
  </si>
  <si>
    <t>US75644T1007</t>
  </si>
  <si>
    <t>Buy trade US75644T1007 RED CAT HDGS INC.DL -,001, quantity: 0.265129</t>
  </si>
  <si>
    <t>49e6afe5-ab7e-4f44-a5d9-8cbb54c1b528</t>
  </si>
  <si>
    <t>Buy trade US75644T1007 RED CAT HDGS INC.DL -,001, quantity: 14.0</t>
  </si>
  <si>
    <t>e56e4d44-b03f-4c8b-ab0f-cabc68b84cc9</t>
  </si>
  <si>
    <t>TeamViewer</t>
  </si>
  <si>
    <t>DE000A2YN900</t>
  </si>
  <si>
    <t>Buy trade DE000A2YN900 TEAMVIEWER SE  INH O.N., quantity: 0.737109</t>
  </si>
  <si>
    <t>9b6022db-d620-467d-af39-621aae1c4f72</t>
  </si>
  <si>
    <t>Buy trade DE000A2YN900 TEAMVIEWER SE  INH O.N., quantity: 16.0</t>
  </si>
  <si>
    <t>eefda062-65aa-409d-b4d7-920041a737dc</t>
  </si>
  <si>
    <t>Evotec</t>
  </si>
  <si>
    <t>DE0005664809</t>
  </si>
  <si>
    <t>Buy trade DE0005664809 EVOTEC SE  INH O.N., quantity: 0.553223</t>
  </si>
  <si>
    <t>4d5dd0bb-6962-49a2-853e-89463ee35b1f</t>
  </si>
  <si>
    <t>Buy trade DE0005664809 EVOTEC SE  INH O.N., quantity: 18.0</t>
  </si>
  <si>
    <t>794ba5ad-8e63-4afc-b0e4-8da103a6f9e0</t>
  </si>
  <si>
    <t>019b6a6c-a242-7912-84e0-77ffd21fd15a</t>
  </si>
  <si>
    <t>019b692a-87fa-7cb1-895c-06b887de397d</t>
  </si>
  <si>
    <t>Quantum eMotion</t>
  </si>
  <si>
    <t>CA74767K1030</t>
  </si>
  <si>
    <t>Buy trade CA74767K1030 QUANTUM EMOTION CORP., quantity: 28.0</t>
  </si>
  <si>
    <t>7f0761de-bf16-45f6-a154-be2e124356da</t>
  </si>
  <si>
    <t>Buy trade CA74767K1030 QUANTUM EMOTION CORP., quantity: 0.343949</t>
  </si>
  <si>
    <t>7ff8ba4a-322c-47a4-8849-dc67c4902a4e</t>
  </si>
  <si>
    <t>019b891d-3262-7d79-a62f-f4ef7d1278fd</t>
  </si>
  <si>
    <t>Polygon</t>
  </si>
  <si>
    <t>MATIC</t>
  </si>
  <si>
    <t>Buy trade XF000MATIC12 Polygon, quantity: 223.931457</t>
  </si>
  <si>
    <t>9f4df1cc-1283-4556-b648-917ff02f78fa</t>
  </si>
  <si>
    <t>Algorand</t>
  </si>
  <si>
    <t>ALGO</t>
  </si>
  <si>
    <t>Buy trade XF000ALGO013 Algorand, quantity: 160.774425</t>
  </si>
  <si>
    <t>679444b9-ef46-481b-8788-86ba2d39c6e2</t>
  </si>
  <si>
    <t>019b8d0e-5b7f-7cee-8bab-235fcadd3bad</t>
  </si>
  <si>
    <t>Metaplanet</t>
  </si>
  <si>
    <t>JP3481200008</t>
  </si>
  <si>
    <t>Buy trade JP3481200008 METAPLANET INC., quantity: 39.0</t>
  </si>
  <si>
    <t>6be5de2e-2373-47d4-810c-26c2df1a9a1c</t>
  </si>
  <si>
    <t>Buy trade JP3481200008 METAPLANET INC., quantity: 0.442231</t>
  </si>
  <si>
    <t>3053caac-1f61-4589-831b-7cf95887761d</t>
  </si>
  <si>
    <t>019b926e-3129-7d63-8cca-4b8a2ea22fe1</t>
  </si>
  <si>
    <t>Buy trade US72919P2020 PLUG POWER INC. DL-,01, quantity: 20</t>
  </si>
  <si>
    <t>f5963cf7-eb34-4239-82a8-e8a0eb0055c6</t>
  </si>
  <si>
    <t>Buy trade US72919P2020 PLUG POWER INC. DL-,01, quantity: 0.317145</t>
  </si>
  <si>
    <t>8aa94ed3-a8fe-478a-b9d1-0a2e79442055</t>
  </si>
  <si>
    <t>Buy trade CA0558691014 BTQ TECHNOLOGIES CORP., quantity: 0.925619</t>
  </si>
  <si>
    <t>bd8e040b-0234-4c82-a9b7-b3cab19610bf</t>
  </si>
  <si>
    <t>Buy trade CA0558691014 BTQ TECHNOLOGIES CORP., quantity: 3.0</t>
  </si>
  <si>
    <t>7d73f001-ba03-4769-942f-210e3d1d494c</t>
  </si>
  <si>
    <t>019b973d-14cd-73ee-b6d6-643eaeb20ba5</t>
  </si>
  <si>
    <t>WuXi Biologics</t>
  </si>
  <si>
    <t>KYG970081173</t>
  </si>
  <si>
    <t>Buy trade KYG970081173 WUXI BIOLOGICS-0,0000083, quantity: 0.00175</t>
  </si>
  <si>
    <t>a8d9ed97-38c9-4be1-bc46-bc2bfcec165c</t>
  </si>
  <si>
    <t>Buy trade KYG970081173 WUXI BIOLOGICS-0,0000083, quantity: 7.0</t>
  </si>
  <si>
    <t>b97a96c4-b526-412b-902c-a52deb2d8eec</t>
  </si>
  <si>
    <t>Sell trade AU000000DRO2 DRONESHIELD LTD, quantity: 0.387568</t>
  </si>
  <si>
    <t>a437b1c0-03a0-4dde-9c19-5449d6eb7224</t>
  </si>
  <si>
    <t>Sell trade AU000000DRO2 DRONESHIELD LTD, quantity: 54.0</t>
  </si>
  <si>
    <t>cb1de1bb-7a84-4230-a6c0-3efd1b26ee9e</t>
  </si>
  <si>
    <t>TAX_OPTIMIZATION</t>
  </si>
  <si>
    <t>Tax Optimisation</t>
  </si>
  <si>
    <t>019b9acb-a1d8-74ad-a75c-45ce3c56b710</t>
  </si>
  <si>
    <t>Sell trade US90364P1057 UIPATH INC.   A DL-,00001, quantity: 7</t>
  </si>
  <si>
    <t>4bf8acae-dece-415d-90a7-9da1dc02ac16</t>
  </si>
  <si>
    <t>Sell trade US26740W1099 D-WAVE QUATUM    DL-,0001, quantity: 15</t>
  </si>
  <si>
    <t>b3f95f4c-6b13-4383-8165-25f9b0a5b05e</t>
  </si>
  <si>
    <t>Outgoing transfer for ROMEO TALLA FOTSING (DE16300209005310514271)</t>
  </si>
  <si>
    <t>019ba6d9-1015-72e3-b9b9-54b97ecdbd8f</t>
  </si>
  <si>
    <t>Sell trade DE000A1TNMM9 CENTROTHERM INTL O.N., quantity: 0.832335</t>
  </si>
  <si>
    <t>7b2b9093-6b66-42f6-8519-e0e8715ba107</t>
  </si>
  <si>
    <t>Sell trade DE000A1TNMM9 CENTROTHERM INTL O.N., quantity: 23</t>
  </si>
  <si>
    <t>ff1770f3-9829-4972-af2f-a89feb8aa1f4</t>
  </si>
  <si>
    <t>Sell trade US75644T1007 RED CAT HDGS INC.DL -,001, quantity: 0.265129</t>
  </si>
  <si>
    <t>751ec297-acca-4b6a-9e13-3dd35f4efc37</t>
  </si>
  <si>
    <t>Sell trade US75644T1007 RED CAT HDGS INC.DL -,001, quantity: 14.0</t>
  </si>
  <si>
    <t>d1dce2a9-91b9-4821-9470-33a313a5e4a7</t>
  </si>
  <si>
    <t>Sell trade CA26142Q3044 DRAGANFLY INC., quantity: 14.0</t>
  </si>
  <si>
    <t>f2634665-d33a-40d0-aeda-a79db4c63447</t>
  </si>
  <si>
    <t>Sell trade CA26142Q3044 DRAGANFLY INC., quantity: 0.90566</t>
  </si>
  <si>
    <t>09ab24a4-cf98-4ca6-949d-2e16e3acdfb2</t>
  </si>
  <si>
    <t>36df53fc-e82f-48f7-b2dc-0128b9f0d1d2</t>
  </si>
  <si>
    <t>Sell trade AU000000DRO2 DRONESHIELD LTD, quantity: 0.387569</t>
  </si>
  <si>
    <t>7bd90bee-a4c5-4909-a23c-74770e6ce305</t>
  </si>
  <si>
    <t>Sell trade DE0005664809 EVOTEC SE  INH O.N., quantity: 0.553223</t>
  </si>
  <si>
    <t>2c83c880-40d5-45d2-a0a5-0900ab6366b9</t>
  </si>
  <si>
    <t>Sell trade DE0005664809 EVOTEC SE  INH O.N., quantity: 18.0</t>
  </si>
  <si>
    <t>43e51abb-04de-4380-bbb2-f04a133aa309</t>
  </si>
  <si>
    <t>Sell trade JP3481200008 METAPLANET INC., quantity: 39.0</t>
  </si>
  <si>
    <t>037ba9f8-f448-4977-8cd2-7f6338065f2d</t>
  </si>
  <si>
    <t>Sell trade JP3481200008 METAPLANET INC., quantity: 0.442231</t>
  </si>
  <si>
    <t>8082d260-b11b-4b35-a770-3c7e70e24cf9</t>
  </si>
  <si>
    <t>Sell trade US26740W1099 D-WAVE QUATUM    DL-,0001, quantity: 0.442804</t>
  </si>
  <si>
    <t>8216af38-1fa0-49f5-a54d-f2fba87df057</t>
  </si>
  <si>
    <t>Sell trade DE000A2E4LE9 VOLTATRON AG INH. O.N., quantity: 0.401785</t>
  </si>
  <si>
    <t>3c359c14-bd09-48b6-b20b-d6ffe04760b4</t>
  </si>
  <si>
    <t>Sell trade DE000A2E4LE9 VOLTATRON AG INH. O.N., quantity: 15.0</t>
  </si>
  <si>
    <t>09f2fffb-1598-4d0c-8c08-8f2478fd7111</t>
  </si>
  <si>
    <t>019bb5b1-2f76-75c1-a84c-95c673f1e267</t>
  </si>
  <si>
    <t>Sell trade DE000A2YN900 TEAMVIEWER SE  INH O.N., quantity: 16</t>
  </si>
  <si>
    <t>cc4b7527-6d95-49bc-8b20-d6dae12d49ab</t>
  </si>
  <si>
    <t>Sell trade DE000A2YN900 TEAMVIEWER SE  INH O.N., quantity: 0.737109</t>
  </si>
  <si>
    <t>802313ef-acea-4b4a-a770-1df07f80003a</t>
  </si>
  <si>
    <t>Sell trade US90364P1057 UIPATH INC.   A DL-,00001, quantity: 0.211239</t>
  </si>
  <si>
    <t>c37db99a-f771-478c-b961-d53177f29a8f</t>
  </si>
  <si>
    <t>Sell trade DE000BAY0017 BAYER AG O.N., quantity: 0.02224</t>
  </si>
  <si>
    <t>bc950b8d-88ec-4842-b9ec-620dd92e8a12</t>
  </si>
  <si>
    <t>Sell trade DE000BAY0017 BAYER AG O.N., quantity: 1</t>
  </si>
  <si>
    <t>152f3155-e8f7-47f5-9279-92854d3ee1b4</t>
  </si>
  <si>
    <t>Sell trade AU0000066086 VULCAN ENERGY RESOURCES, quantity: 0.345679</t>
  </si>
  <si>
    <t>53bbaa09-240c-41c7-a54d-956c248155d0</t>
  </si>
  <si>
    <t>Sell trade AU0000066086 VULCAN ENERGY RESOURCES, quantity: 12.0</t>
  </si>
  <si>
    <t>3920029f-936e-4446-ae03-0d8fceaa6c45</t>
  </si>
  <si>
    <t>Sell trade CA92865M1023 VOLATUS AEROSPACE INC., quantity: 50</t>
  </si>
  <si>
    <t>8e5a9775-b63c-4f69-bab5-46c9bb3d1703</t>
  </si>
  <si>
    <t>Sell trade KYG970081173 WUXI BIOLOGICS-0,0000083, quantity: 0.00175</t>
  </si>
  <si>
    <t>989e18f2-8e38-4d04-aafe-82ffc7864efd</t>
  </si>
  <si>
    <t>Sell trade KYG970081173 WUXI BIOLOGICS-0,0000083, quantity: 7.0</t>
  </si>
  <si>
    <t>2fc80e10-8253-4fd1-bd62-ddcef397e633</t>
  </si>
  <si>
    <t>019bbb10-7dbf-7490-ada0-966c8881f45f</t>
  </si>
  <si>
    <t>019bbe65-8061-7f69-adf5-44378045a337</t>
  </si>
  <si>
    <t>019bc109-5a5a-701c-9321-260e95fff351</t>
  </si>
  <si>
    <t>019bc639-a3ea-7d78-a083-a22c9b3f27d7</t>
  </si>
  <si>
    <t>Buy trade AU000000DRO2 DRONESHIELD LTD, quantity: 0.381526</t>
  </si>
  <si>
    <t>9966fa0b-1ebd-4068-bc57-d9b6cb4c930d</t>
  </si>
  <si>
    <t>Buy trade AU000000DRO2 DRONESHIELD LTD, quantity: 145.0</t>
  </si>
  <si>
    <t>d4a7e09b-7061-4ead-af3b-9099896f8f72</t>
  </si>
  <si>
    <t>Sell trade AU000000DRO2 DRONESHIELD LTD, quantity: 145</t>
  </si>
  <si>
    <t>c90e339e-5232-4872-a61e-4149b1d26025</t>
  </si>
  <si>
    <t>Buy trade AU000000DRO2 DRONESHIELD LTD, quantity: 143.0</t>
  </si>
  <si>
    <t>8a02f322-9560-4c32-8a51-f8f48734901b</t>
  </si>
  <si>
    <t>Buy trade AU000000DRO2 DRONESHIELD LTD, quantity: 0.798449</t>
  </si>
  <si>
    <t>52f804ad-a5a8-4cb5-998d-960362dbf3aa</t>
  </si>
  <si>
    <t>019bd829-3dfe-7733-a956-273a2ce6ca90</t>
  </si>
  <si>
    <t>FUND</t>
  </si>
  <si>
    <t>Core MSCI World USD (Acc)</t>
  </si>
  <si>
    <t>IE00B4L5Y983</t>
  </si>
  <si>
    <t>Buy trade IE00B4L5Y983 iShares III plc - iShares Core MSCI World UCITS ETF USD (Acc), quantity: 0.325673</t>
  </si>
  <si>
    <t>b7c1bc51-52c7-4264-97fa-9c4e7dfa7607</t>
  </si>
  <si>
    <t>Buy trade IE00B4L5Y983 iShares III plc - iShares Core MSCI World UCITS ETF USD (Acc), quantity: 1</t>
  </si>
  <si>
    <t>e7eac930-fb81-43cb-b4b4-459b4837c9fb</t>
  </si>
  <si>
    <t>BYD</t>
  </si>
  <si>
    <t>CNE100000296</t>
  </si>
  <si>
    <t>Buy trade CNE100000296 BYD, quantity: 10.0</t>
  </si>
  <si>
    <t>829585e4-fefc-4de7-9c02-6f912e654ad6</t>
  </si>
  <si>
    <t>Buy trade CNE100000296 BYD, quantity: 0.451094</t>
  </si>
  <si>
    <t>a748e057-0ec2-46e2-a36b-789c3ac4d4cb</t>
  </si>
  <si>
    <t>Tax Recalculation AU000000DRO2 DroneShield (Invoice No.: cb1d-e1bb)</t>
  </si>
  <si>
    <t>019bdc84-0943-7b81-884d-82c0c39a3583</t>
  </si>
  <si>
    <t>Tax Recalculation AU000000DRO2 DroneShield (Invoice No.: a437-b1c0)</t>
  </si>
  <si>
    <t>019bdc84-08ea-701a-a357-7f7ffcd5ec85</t>
  </si>
  <si>
    <t>019bd837-0c40-7df8-a2ca-aecbe6a03518</t>
  </si>
  <si>
    <t>019bd838-03fe-7edf-840d-1e2d7aec23be</t>
  </si>
  <si>
    <t>Sell trade AU000000DRO2 DRONESHIELD LTD, quantity: 144</t>
  </si>
  <si>
    <t>b3ffad8c-247d-475a-9a80-5f261e8db2f3</t>
  </si>
  <si>
    <t>019bdc84-0919-7c11-8692-5efd5386dbec</t>
  </si>
  <si>
    <t>019bdfc8-f5ce-7789-82d2-e53a1f65c6ec</t>
  </si>
  <si>
    <t>CORPORATE_ACTION</t>
  </si>
  <si>
    <t>INTERMEDIATE_SECURITIES_DISTRIBUTION</t>
  </si>
  <si>
    <t>SYNTHETIC</t>
  </si>
  <si>
    <t>DT.KONSUM REIT-AG</t>
  </si>
  <si>
    <t>DE000A41YD57</t>
  </si>
  <si>
    <t>INTERMEDIATE_SECURITIES_DISTRIBUTION DE000A41YD57</t>
  </si>
  <si>
    <t>5f819f6d-50b8-37b7-84d8-776659bc5613</t>
  </si>
  <si>
    <t>INTERMEDIATE_SECURITIES_DISTRIBUTION_CANCELLED</t>
  </si>
  <si>
    <t>3a6b38f6-d011-308c-93c8-c391337fb258</t>
  </si>
  <si>
    <t>cf3f2a76-5bb3-3dda-b64b-0cae861b635e</t>
  </si>
  <si>
    <t>Buy trade XF000LINK010 Chainlink, quantity: 5.023106</t>
  </si>
  <si>
    <t>f3430ffa-c2df-4273-ac21-81e6eadde68d</t>
  </si>
  <si>
    <t>Buy trade XF000XRP0018 XRP, quantity: 16.968933</t>
  </si>
  <si>
    <t>9f60898c-cc6b-455b-a71f-340df1055d44</t>
  </si>
  <si>
    <t>Buy trade AU000000DRO2 DRONESHIELD LTD, quantity: 75.0</t>
  </si>
  <si>
    <t>b9070420-9fb9-4e6f-a9f6-a696607e8c75</t>
  </si>
  <si>
    <t>Buy trade AU000000DRO2 DRONESHIELD LTD, quantity: 0.954198</t>
  </si>
  <si>
    <t>530a69e0-ccb4-4913-94da-a2f04e0e7767</t>
  </si>
  <si>
    <t>019bfb03-b3e8-7fbb-9ddc-f3b89afdce85</t>
  </si>
  <si>
    <t>019bf954-558a-729f-9a8a-15954193631c</t>
  </si>
  <si>
    <t>Buy trade AU000000DRO2 DRONESHIELD LTD, quantity: 3.0</t>
  </si>
  <si>
    <t>f09625db-efed-4eff-8034-3102924545d5</t>
  </si>
  <si>
    <t>Buy trade AU000000DRO2 DRONESHIELD LTD, quantity: 0.515625</t>
  </si>
  <si>
    <t>22261ef8-d8e0-439a-b1a4-44b2b3f33e3b</t>
  </si>
  <si>
    <t>019bfc4b-7523-7ae5-ad41-e88ab7736a79</t>
  </si>
  <si>
    <t>019bfc1e-2860-72ba-a6a3-f1363f43571e</t>
  </si>
  <si>
    <t>019bf8ac-a57d-749c-a86f-ddd1ce31ec4e</t>
  </si>
  <si>
    <t>019c0427-29bc-777b-beb9-c51fc33d951d</t>
  </si>
  <si>
    <t>Uranium Energy</t>
  </si>
  <si>
    <t>US9168961038</t>
  </si>
  <si>
    <t>Buy trade US9168961038 URANIUM ENERGY    DL-,001, quantity: 0.960765</t>
  </si>
  <si>
    <t>96d1a47b-6850-4dc6-9172-a52b3054f016</t>
  </si>
  <si>
    <t>Buy trade US9168961038 URANIUM ENERGY    DL-,001, quantity: 13</t>
  </si>
  <si>
    <t>baaf5584-ab57-400a-a698-d62464d83daa</t>
  </si>
  <si>
    <t>019c087d-c187-7ace-9387-14b18f02c4c5</t>
  </si>
  <si>
    <t>Buy trade AU000000DRO2 DRONESHIELD LTD, quantity: 19.0</t>
  </si>
  <si>
    <t>b211aea4-1843-4224-bc2b-998c14c55a8e</t>
  </si>
  <si>
    <t>Buy trade AU000000DRO2 DRONESHIELD LTD, quantity: 0.02439</t>
  </si>
  <si>
    <t>63eafcd9-9e10-4822-9e2c-917f0e1f1c31</t>
  </si>
  <si>
    <t>Core S&amp;P 500 USD (Acc)</t>
  </si>
  <si>
    <t>IE00B5BMR087</t>
  </si>
  <si>
    <t>Buy trade IE00B5BMR087 iShares VII plc - iShares Core S&amp;P 500 UCITS ETF USD (Acc), quantity: 0.414267</t>
  </si>
  <si>
    <t>a473d426-3eca-4776-816b-ecfe97be088f</t>
  </si>
  <si>
    <t>019c0a66-fd3b-72a1-b62a-efc0a3baaa29</t>
  </si>
  <si>
    <t>019c08a1-f486-7acd-a86e-69c6799f577c</t>
  </si>
  <si>
    <t>Buy trade CA0558691014 BTQ TECHNOLOGIES CORP., quantity: 0.1875</t>
  </si>
  <si>
    <t>d06ccc78-01c9-4920-885c-6ed8fdb740c2</t>
  </si>
  <si>
    <t>Buy trade CA0558691014 BTQ TECHNOLOGIES CORP., quantity: 12.0</t>
  </si>
  <si>
    <t>b5267254-2b25-43b0-80eb-24891b234434</t>
  </si>
  <si>
    <t>019c1610-a1b4-7574-b2d3-90f34af2570f</t>
  </si>
  <si>
    <t>Buy trade XF000SOL0012 Solana, quantity: 3.093239</t>
  </si>
  <si>
    <t>b8853279-e3e9-4b4e-9da0-a2691f519eef</t>
  </si>
  <si>
    <t>Sell trade CNE100000296 BYD, quantity: 10</t>
  </si>
  <si>
    <t>d6282aad-bad4-4894-b365-becb2134aa04</t>
  </si>
  <si>
    <t>ec670c04-31a8-41a7-a9af-c450b31c954f</t>
  </si>
  <si>
    <t>Buy trade US26740W1099 D-WAVE QUATUM    DL-,0001, quantity: 0.537744</t>
  </si>
  <si>
    <t>9ee64082-ea36-4109-ba21-86279c435042</t>
  </si>
  <si>
    <t>82b13b70-4004-43b6-8486-24b00082fe24</t>
  </si>
  <si>
    <t>Buy trade US26740W1099 D-WAVE QUATUM    DL-,0001, quantity: 0.009741</t>
  </si>
  <si>
    <t>c88479a9-cc74-46c1-943d-9fe8236c0882</t>
  </si>
  <si>
    <t>019c1e88-aa04-7bb7-9834-3149f03d26b6</t>
  </si>
  <si>
    <t>019c4852-9198-7642-88c1-6f0ad46c3a3a</t>
  </si>
  <si>
    <t>019c4d53-af0e-74c0-a373-efd5d66767e2</t>
  </si>
  <si>
    <t>9d91b8c7-55cb-44de-8dbe-94b32855bd51</t>
  </si>
  <si>
    <t>Buy trade IE00B4L5Y983 iShares III plc - iShares Core MSCI World UCITS ETF USD (Acc), quantity: 0.318739</t>
  </si>
  <si>
    <t>f09e1ecd-e99c-4c07-be36-de0b0fa5270b</t>
  </si>
  <si>
    <t>Buy trade AU000000DRO2 DRONESHIELD LTD, quantity: 9.0</t>
  </si>
  <si>
    <t>690beefb-7100-4c2b-9bcd-37fc329551e5</t>
  </si>
  <si>
    <t>Buy trade AU000000DRO2 DRONESHIELD LTD, quantity: 0.414225</t>
  </si>
  <si>
    <t>293f1cd6-0b1f-4320-aa4f-102f6689370a</t>
  </si>
  <si>
    <t>019c5222-90ea-7811-979b-5505c440b213</t>
  </si>
  <si>
    <t>019c512c-b057-71ad-a700-5a02a03d0556</t>
  </si>
  <si>
    <t>Buy trade IE00B5BMR087 iShares VII plc - iShares Core S&amp;P 500 UCITS ETF USD (Acc), quantity: 0.419963</t>
  </si>
  <si>
    <t>ab8e33f1-0fd4-467f-be87-aa237adab5c0</t>
  </si>
  <si>
    <t>019c65a2-ad1a-76de-8f62-55502176b33e</t>
  </si>
  <si>
    <t>Buy trade CA0558691014 BTQ TECHNOLOGIES CORP., quantity: 0.982905</t>
  </si>
  <si>
    <t>8b84f8be-df57-40f1-87c0-3ff4404974fa</t>
  </si>
  <si>
    <t>Buy trade CA0558691014 BTQ TECHNOLOGIES CORP., quantity: 5.0</t>
  </si>
  <si>
    <t>c780ad97-8dd9-4721-8176-3a1988f46f30</t>
  </si>
  <si>
    <t>019c6664-375c-7acf-a6e4-6f821b03d7d0</t>
  </si>
  <si>
    <t>Buy trade CNE100000296 BYD, quantity: 0.446564</t>
  </si>
  <si>
    <t>7dea49f5-6c4c-43a9-ac4b-cddde75e8bb5</t>
  </si>
  <si>
    <t>Buy trade CNE100000296 BYD, quantity: 9.0</t>
  </si>
  <si>
    <t>da6ec080-bc93-48d6-82a9-d5888da10a1c</t>
  </si>
  <si>
    <t>019c7526-966a-7c36-85b4-67f536ebb8d3</t>
  </si>
  <si>
    <t>Buy trade XF000SOL0012 Solana, quantity: 1</t>
  </si>
  <si>
    <t>f5592e61-dfdc-4870-b8a6-136aed4df1c4</t>
  </si>
  <si>
    <t>Buy trade CNE100000296 BYD, quantity: 0.679425</t>
  </si>
  <si>
    <t>8e9871a0-bb71-4312-804b-fe1d24693776</t>
  </si>
  <si>
    <t>Buy trade CNE100000296 BYD, quantity: 2.0</t>
  </si>
  <si>
    <t>f9c3407d-a908-430b-8ecd-ff8f25d43d52</t>
  </si>
  <si>
    <t>019c7bee-8304-7ca5-a3f4-a05903c3eef5</t>
  </si>
  <si>
    <t>019c7bfd-501d-7204-a11f-0aebebe8ade4</t>
  </si>
  <si>
    <t>019c7a59-3640-7cd1-9677-7ff713eeb2db</t>
  </si>
  <si>
    <t>Sell trade CA74767K1030 QUANTUM EMOTION CORP., quantity: 0.343949</t>
  </si>
  <si>
    <t>36d15a6e-3f6e-488d-a1f3-b87d323758f4</t>
  </si>
  <si>
    <t>Sell trade CA74767K1030 QUANTUM EMOTION CORP., quantity: 28.0</t>
  </si>
  <si>
    <t>80a39303-ee6e-4b4a-95d6-88059a9f6ae6</t>
  </si>
  <si>
    <t>019c8ec9-3f95-7729-bb4a-fae0fb93ab5a</t>
  </si>
  <si>
    <t>WORTHLESS</t>
  </si>
  <si>
    <t>WORTHLESS DE000A41YD57</t>
  </si>
  <si>
    <t>a7ce4baa-540c-31fa-bffe-5fcc8fbea0bf</t>
  </si>
  <si>
    <t>019cada3-6b52-7de7-b1c8-4977a24f7423</t>
  </si>
  <si>
    <t>BP</t>
  </si>
  <si>
    <t>GB0007980591</t>
  </si>
  <si>
    <t>Buy trade GB0007980591 BP PLC, quantity: 0.380583</t>
  </si>
  <si>
    <t>bec15860-8f84-4b69-b0ed-98229d9087ba</t>
  </si>
  <si>
    <t>Buy trade GB0007980591 BP PLC, quantity: 26.0</t>
  </si>
  <si>
    <t>c504b89d-3174-49d6-977b-53b8d0ec83ce</t>
  </si>
  <si>
    <t>019cd152-c553-717b-a8fc-e60c081a503d</t>
  </si>
  <si>
    <t>0883ee04-0b90-454e-b623-7ae4ac9f71b8</t>
  </si>
  <si>
    <t>Buy trade IE00B4L5Y983 iShares III plc - iShares Core MSCI World UCITS ETF USD (Acc), quantity: 0.354157</t>
  </si>
  <si>
    <t>d4363632-ac49-4c16-ae02-5ba997b1f427</t>
  </si>
  <si>
    <t>019cd153-a511-7cc4-bcd0-523654d7f69b</t>
  </si>
  <si>
    <t>Buy trade IE00B5BMR087 iShares VII plc - iShares Core S&amp;P 500 UCITS ETF USD (Acc), quantity: 0.420099</t>
  </si>
  <si>
    <t>88dbb420-b68f-401c-ae57-7a368c723a18</t>
  </si>
  <si>
    <t>019cdbee-6108-7d25-8721-9bce36fc0b19</t>
  </si>
  <si>
    <t>Eco Oil &amp; Gas</t>
  </si>
  <si>
    <t>CA27887W1005</t>
  </si>
  <si>
    <t>Buy trade CA27887W1005 ECO(ATLANTIC) OIL+GAS LTD, quantity: 0.620689</t>
  </si>
  <si>
    <t>9ce4b6e5-2193-4249-9ffd-7cba7d0a4f15</t>
  </si>
  <si>
    <t>Buy trade CA27887W1005 ECO(ATLANTIC) OIL+GAS LTD, quantity: 258.0</t>
  </si>
  <si>
    <t>934570e0-a167-41ad-99f4-9f302ce27d54</t>
  </si>
  <si>
    <t>Sell trade CNE100000296 BYD, quantity: 0.577083</t>
  </si>
  <si>
    <t>9477cfca-0f6b-4ead-939d-c6a9ffd3a72e</t>
  </si>
  <si>
    <t>Sell trade CNE100000296 BYD, quantity: 12.0</t>
  </si>
  <si>
    <t>348d5930-867e-4691-9109-b4fc7cfb8d5d</t>
  </si>
  <si>
    <t>Sell trade GB0007980591 BP PLC, quantity: 26.0</t>
  </si>
  <si>
    <t>19ba947e-03c3-4790-97a2-656473db8058</t>
  </si>
  <si>
    <t>Sell trade GB0007980591 BP PLC, quantity: 0.380583</t>
  </si>
  <si>
    <t>b88fed0d-1b65-4cbe-b479-284b4cce2258</t>
  </si>
  <si>
    <t>019cf5c3-89ef-7532-bb03-69b576100b38</t>
  </si>
  <si>
    <t>Sell trade CA27887W1005 ECO(ATLANTIC) OIL+GAS LTD, quantity: 258.0</t>
  </si>
  <si>
    <t>cb081404-7b81-4932-80fe-d332cbd78d47</t>
  </si>
  <si>
    <t>Sell trade CA27887W1005 ECO(ATLANTIC) OIL+GAS LTD, quantity: 0.620689</t>
  </si>
  <si>
    <t>fa17591c-8593-4cfc-9579-525c1f3eedf2</t>
  </si>
  <si>
    <t>019cf5e0-c6f6-721c-93b0-aee6bf2d8602</t>
  </si>
  <si>
    <t>Buy trade CA27887W1005 ECO(ATLANTIC) OIL+GAS LTD, quantity: 0.798449</t>
  </si>
  <si>
    <t>9a5e21f2-9e0e-4507-b6a0-a72a032e660c</t>
  </si>
  <si>
    <t>Buy trade CA27887W1005 ECO(ATLANTIC) OIL+GAS LTD, quantity: 193.0</t>
  </si>
  <si>
    <t>c5cd1e1d-3590-412f-90ed-3b3f2e830113</t>
  </si>
  <si>
    <t>019cfb98-fb55-7c74-aab1-20baade0bfd5</t>
  </si>
  <si>
    <t>019cfacf-fe53-7fc5-b504-bf588ee87d5a</t>
  </si>
  <si>
    <t>Buy trade GB0007980591 BP PLC, quantity: 0.466331</t>
  </si>
  <si>
    <t>784fab36-b450-45e0-a53b-b2c9f324cf96</t>
  </si>
  <si>
    <t>Buy trade GB0007980591 BP PLC, quantity: 31.0</t>
  </si>
  <si>
    <t>615b090a-cace-40bd-9b66-449b58b6fb9c</t>
  </si>
  <si>
    <t>Sell trade AU000000DRO2 DRONESHIELD LTD, quantity: 0.088413</t>
  </si>
  <si>
    <t>8e0a53d1-2759-4dea-b762-571ae8087609</t>
  </si>
  <si>
    <t>Sell trade AU000000DRO2 DRONESHIELD LTD, quantity: 108.0</t>
  </si>
  <si>
    <t>31f04d73-2d1c-4f42-aa28-b71fab58ebeb</t>
  </si>
  <si>
    <t>019cffb2-7b27-7086-93c0-d3aed20f77d1</t>
  </si>
  <si>
    <t>019d0595-d0a4-74e1-9a58-faa1c983cf51</t>
  </si>
  <si>
    <t>Patterson-UTI Energy</t>
  </si>
  <si>
    <t>US7034811015</t>
  </si>
  <si>
    <t>Buy trade US7034811015 PATTERS.-UTI       DL-,01, quantity: 20.0</t>
  </si>
  <si>
    <t>528f8705-ed32-4304-943f-ec4f4a0ab48a</t>
  </si>
  <si>
    <t>Buy trade US7034811015 PATTERS.-UTI       DL-,01, quantity: 0.618556</t>
  </si>
  <si>
    <t>4fdeae30-eb4d-4bda-8e6b-076a03c60038</t>
  </si>
  <si>
    <t>019d068b-2aef-7de1-9ce4-84723614c746</t>
  </si>
  <si>
    <t>Incoming transfer from Romeo Talla Fotsing und Josiane Tefouemewe Tsamo (DE04731500000040868242)</t>
  </si>
  <si>
    <t>019d0714-2622-766a-ada5-c54606a9dfab</t>
  </si>
  <si>
    <t>Outgoing transfer for Romeo Talla Fotsing (DE04731500000040868242)</t>
  </si>
  <si>
    <t>019d070e-6b68-7dba-8bb7-7ff3670dfa72</t>
  </si>
  <si>
    <t>Buy trade US26740W1099 D-WAVE QUATUM    DL-,0001, quantity: 0.573981</t>
  </si>
  <si>
    <t>157afce7-1a0b-4f68-a753-6e5c690a26eb</t>
  </si>
  <si>
    <t>Buy trade US26740W1099 D-WAVE QUATUM    DL-,0001, quantity: 3.0</t>
  </si>
  <si>
    <t>f7aeaf3f-ce6d-43ce-b436-0b235bea038f</t>
  </si>
  <si>
    <t>019d0ac8-ac40-7569-98ad-48e80b8ecf88</t>
  </si>
  <si>
    <t>Buy trade IE00B5BMR087 iShares VII plc - iShares Core S&amp;P 500 UCITS ETF USD (Acc), quantity: 0.041584</t>
  </si>
  <si>
    <t>9aa66d69-71d3-44ad-900d-c6a02aec8f61</t>
  </si>
  <si>
    <t>019d1983-a5fa-7aa6-97cc-8283e1f1dd12</t>
  </si>
  <si>
    <t>Buy trade IE00B5BMR087 iShares VII plc - iShares Core S&amp;P 500 UCITS ETF USD (Acc), quantity: 0.430418</t>
  </si>
  <si>
    <t>50e830f2-a4fe-497f-9b0a-9b2cae482178</t>
  </si>
  <si>
    <t>Outgoing transfer for Romeo Talla Fotsing und Josiane Tefouemewe Tsamo (DE04731500000040868242)</t>
  </si>
  <si>
    <t>019d1984-adf5-7ca5-9279-e3132d9de03d</t>
  </si>
  <si>
    <t>019d2bf1-8eb7-7769-96db-7e97a6a1eed3</t>
  </si>
  <si>
    <t>Lufthansa</t>
  </si>
  <si>
    <t>DE0008232125</t>
  </si>
  <si>
    <t>Buy trade DE0008232125 LUFTHANSA AG VNA O.N., quantity: 26</t>
  </si>
  <si>
    <t>a47627e3-8fd0-4790-8e32-86c8a5bf3ebe</t>
  </si>
  <si>
    <t>Buy trade DE0008232125 LUFTHANSA AG VNA O.N., quantity: 0.322716</t>
  </si>
  <si>
    <t>6288dc59-37e8-492b-a451-e1108b2ec907</t>
  </si>
  <si>
    <t>019d2c00-2765-731f-944b-3ce0021a75f6</t>
  </si>
  <si>
    <t>Buy trade CA27887W1005 ECO(ATLANTIC) OIL+GAS LTD, quantity: 0.032258</t>
  </si>
  <si>
    <t>9461b839-44f9-4167-b6d3-a5b5ea051e19</t>
  </si>
  <si>
    <t>Buy trade CA27887W1005 ECO(ATLANTIC) OIL+GAS LTD, quantity: 79.0</t>
  </si>
  <si>
    <t>6bf53a03-f087-4674-887f-a7fc6b010483</t>
  </si>
  <si>
    <t>019d2c1e-eee2-7f3b-9647-75d0ea3baed4</t>
  </si>
  <si>
    <t>Buy trade IE00B4L5Y983 iShares III plc - iShares Core MSCI World UCITS ETF USD (Acc), quantity: 0.376273</t>
  </si>
  <si>
    <t>5fba49d2-d26d-4aa4-8b32-f4cbd7d8768c</t>
  </si>
  <si>
    <t>6493fff6-86f5-40ad-b93b-940bf0fb1adb</t>
  </si>
  <si>
    <t>019d2ec7-5245-7fc9-b45a-2a47a643d202</t>
  </si>
  <si>
    <t>019d3dc6-a75a-723e-921e-eb3a41401d0a</t>
  </si>
  <si>
    <t>Buy trade XF000LINK010 Chainlink, quantity: 6.60787</t>
  </si>
  <si>
    <t>a1c71de7-6e79-4ca7-a2c5-988f2df2b09d</t>
  </si>
  <si>
    <t>019d4d93-6851-7908-a781-b17e6eb123ab</t>
  </si>
  <si>
    <t>019d4e7b-3977-7c3e-b719-e6f54207832a</t>
  </si>
  <si>
    <t>Buy trade XF000XRP0018 XRP, quantity: 43.611455</t>
  </si>
  <si>
    <t>0bd86f42-c866-4a17-ac32-9f1a08d06e40</t>
  </si>
  <si>
    <t>019d4e96-51ed-7865-812b-c05a72923419</t>
  </si>
  <si>
    <t>Buy trade XF000SOL0012 Solana, quantity: 1.010885</t>
  </si>
  <si>
    <t>745965e6-15ae-4c50-91c9-918c76db6e42</t>
  </si>
  <si>
    <t>019d4ff8-5598-77ac-a41d-1a53c8fb3516</t>
  </si>
  <si>
    <t>Wizz Air</t>
  </si>
  <si>
    <t>JE00BN574F90</t>
  </si>
  <si>
    <t>Buy trade JE00BN574F90 WIZZ AIR, quantity: 0.212295</t>
  </si>
  <si>
    <t>46c8c540-9f93-4a93-b8fc-fa5328454e3b</t>
  </si>
  <si>
    <t>Buy trade JE00BN574F90 WIZZ AIR, quantity: 19.0</t>
  </si>
  <si>
    <t>54428fb7-a742-43af-9d78-a87fc2c79bf8</t>
  </si>
  <si>
    <t>Sell trade JE00BN574F90 WIZZ AIR, quantity: 0.212295</t>
  </si>
  <si>
    <t>35a9fd28-feb8-46e2-9a10-6d4b421cc57c</t>
  </si>
  <si>
    <t>Sell trade JE00BN574F90 WIZZ AIR, quantity: 19.0</t>
  </si>
  <si>
    <t>b6335044-8bbf-4e2f-8d2d-bf29dbb4436e</t>
  </si>
  <si>
    <t>Sell trade DE0008232125 LUFTHANSA AG VNA O.N., quantity: 26</t>
  </si>
  <si>
    <t>7ba44b97-92aa-4ae1-9a11-06702803f5d6</t>
  </si>
  <si>
    <t>Sell trade DE0008232125 LUFTHANSA AG VNA O.N., quantity: 0.322716</t>
  </si>
  <si>
    <t>3970e5ea-55f5-475f-a315-ca87a1502a54</t>
  </si>
  <si>
    <t>019d76dd-f5fb-78b2-8800-65ab0bf05a7a</t>
  </si>
  <si>
    <t>019d7b3f-07b6-7334-b2c4-2113dcfd2be7</t>
  </si>
  <si>
    <t>Buy trade XF000ADA0018 Cardano, quantity: 227.93242</t>
  </si>
  <si>
    <t>fa09bae8-8851-45ba-bc24-1964855d676b</t>
  </si>
  <si>
    <t>019d7b40-2ad6-7d60-95ab-1815bd1b01f3</t>
  </si>
  <si>
    <t>Buy trade XF000DOT0011 Polkadot, quantity: 21.89042</t>
  </si>
  <si>
    <t>30c8499f-b2b0-4e09-98f7-7dca57604e06</t>
  </si>
  <si>
    <t>019d8239-ad11-7cdb-805d-f35f4c713ee2</t>
  </si>
  <si>
    <t>Sell trade CA27887W1005 ECO(ATLANTIC) OIL+GAS LTD, quantity: 0.830707</t>
  </si>
  <si>
    <t>1b3cd52d-77f4-478d-a62c-c3487514fcc5</t>
  </si>
  <si>
    <t>Sell trade CA27887W1005 ECO(ATLANTIC) OIL+GAS LTD, quantity: 272.0</t>
  </si>
  <si>
    <t>654dbfc5-3e74-416d-a886-854131646c22</t>
  </si>
  <si>
    <t>019d8dbb-03e1-7fc1-8a1b-c557e3bc5f3e</t>
  </si>
  <si>
    <t>DAX EUR (Acc)</t>
  </si>
  <si>
    <t>LU0274211480</t>
  </si>
  <si>
    <t>Buy trade LU0274211480 Xtrackers - Xtrackers DAX UCITS ETF 1C, quantity: 0.776198</t>
  </si>
  <si>
    <t>28b9bed7-6970-4bc4-98b4-61031dcd58dc</t>
  </si>
  <si>
    <t>Buy trade LU0274211480 Xtrackers - Xtrackers DAX UCITS ETF 1C, quantity: 1</t>
  </si>
  <si>
    <t>c1d06d44-b5ef-4cc0-b495-d10c9dced4aa</t>
  </si>
  <si>
    <t>019d8ff4-d3c8-7236-b2d1-6b89027b7443</t>
  </si>
  <si>
    <t>TRANSFER_OUT</t>
  </si>
  <si>
    <t>Outgoing transfer for Guetsa Kheri Talla (DE93100123454609710911)</t>
  </si>
  <si>
    <t>019d8fff-84e0-731c-9ec6-6a3124512e8a</t>
  </si>
  <si>
    <t>019d91d3-6642-7bab-807d-9f83c6eb983c</t>
  </si>
  <si>
    <t>TRANSFER_IN</t>
  </si>
  <si>
    <t>Incoming transfer from Guetsa Kheri Talla (DE93100123454609710911)</t>
  </si>
  <si>
    <t>019d91d3-0c8a-7b97-9671-b279dfc5725c</t>
  </si>
  <si>
    <t>Sell trade US26740W1099 D-WAVE QUATUM    DL-,0001, quantity: 14</t>
  </si>
  <si>
    <t>c5211efb-8711-40fe-9e10-c4c5699260fc</t>
  </si>
  <si>
    <t>Sell trade US26740W1099 D-WAVE QUATUM    DL-,0001, quantity: 0.121466</t>
  </si>
  <si>
    <t>ea340d3a-6b6e-46b3-a55f-6eac2b26177a</t>
  </si>
  <si>
    <t>Buy trade US26740W1099 D-WAVE QUATUM    DL-,0001, quantity: 0.464696</t>
  </si>
  <si>
    <t>70b8cd39-bc92-4b51-aa12-e1a5e1cb55e2</t>
  </si>
  <si>
    <t>Buy trade US26740W1099 D-WAVE QUATUM    DL-,0001, quantity: 13</t>
  </si>
  <si>
    <t>8c31a60f-221e-4aab-82c1-a52df33095ce</t>
  </si>
  <si>
    <t>019d955d-3074-7aba-974e-e62098116744</t>
  </si>
  <si>
    <t>Buy trade DE000BAY0017 BAYER AG O.N., quantity: 4</t>
  </si>
  <si>
    <t>b8413df8-a38b-4b53-b9e1-42fbd220c6b5</t>
  </si>
  <si>
    <t>Buy trade DE000BAY0017 BAYER AG O.N., quantity: 0.923305</t>
  </si>
  <si>
    <t>e709bce6-823f-4e7d-8a05-071baa944f5f</t>
  </si>
  <si>
    <t>019d977b-58a6-7264-aeb8-594b757b171f</t>
  </si>
  <si>
    <t>019d9b04-b541-7387-b9c8-b576d0a813af</t>
  </si>
  <si>
    <t>Netflix</t>
  </si>
  <si>
    <t>US64110L1061</t>
  </si>
  <si>
    <t>Buy trade US64110L1061 NETFLIX INC.      DL-,001, quantity: 0.43635</t>
  </si>
  <si>
    <t>e49cf297-fc8f-46dc-bd70-09b076fe262a</t>
  </si>
  <si>
    <t>Buy trade US64110L1061 NETFLIX INC.      DL-,001, quantity: 2</t>
  </si>
  <si>
    <t>c1318eea-5f78-4d21-8498-cc0587565a94</t>
  </si>
  <si>
    <t>019d9b6f-8400-7f00-8ea4-2a1ab2cc2d49</t>
  </si>
  <si>
    <t>019d9b70-168a-7c88-874f-0d99ef519719</t>
  </si>
  <si>
    <t>019d9d2e-31a2-7dd4-975d-2fcd9745e25e</t>
  </si>
  <si>
    <t>019d9d2e-e5ca-76cb-8a08-b5d606feb9a8</t>
  </si>
  <si>
    <t>Buy trade US7034811015 PATTERS.-UTI       DL-,01, quantity: 0.440905</t>
  </si>
  <si>
    <t>5539549b-2647-4d7e-84fc-f6dade548501</t>
  </si>
  <si>
    <t>Buy trade US7034811015 PATTERS.-UTI       DL-,01, quantity: 12.0</t>
  </si>
  <si>
    <t>70278dab-63e6-4376-9c56-de42fad7958b</t>
  </si>
  <si>
    <t>019db4da-02fb-7be2-912a-ff8f3657b606</t>
  </si>
  <si>
    <t>Sell trade US7034811015 PATTERS.-UTI       DL-,01, quantity: 0.059461</t>
  </si>
  <si>
    <t>5c6d2d20-e1ff-4a26-a5bb-74e9f142fc6f</t>
  </si>
  <si>
    <t>Sell trade US7034811015 PATTERS.-UTI       DL-,01, quantity: 33.0</t>
  </si>
  <si>
    <t>8870175f-c2ba-4256-b0e3-273ac493e914</t>
  </si>
  <si>
    <t>019dc430-f740-7953-8cfe-3b280036c13e</t>
  </si>
  <si>
    <t>019dd309-2b66-7623-b072-ff3f94978bdb</t>
  </si>
  <si>
    <t>Buy trade LU0274211480 Xtrackers - Xtrackers DAX UCITS ETF 1C, quantity: 0.442869</t>
  </si>
  <si>
    <t>6e0876da-e5dc-45af-bfb8-ec37b63d92bb</t>
  </si>
  <si>
    <t>Buy trade US72919P2020 PLUG POWER INC. DL-,01, quantity: 18</t>
  </si>
  <si>
    <t>129c8a66-6d7b-4eef-ad88-a1f5f197116b</t>
  </si>
  <si>
    <t>Buy trade US72919P2020 PLUG POWER INC. DL-,01, quantity: 0.45444</t>
  </si>
  <si>
    <t>ec7d2fa8-f6d7-45ea-a797-e3a8b505dc2e</t>
  </si>
  <si>
    <t>ROMEO TALLA FOTSING</t>
  </si>
  <si>
    <t>019dd5e2-d48a-7a62-a527-0700a1cd1bcc</t>
  </si>
  <si>
    <t>DE16300209005310514271</t>
  </si>
  <si>
    <t>Buy trade US26740W1099 D-WAVE QUATUM    DL-,0001, quantity: 0.385037</t>
  </si>
  <si>
    <t>5dd4ec5b-15c4-4ba8-aa25-bedca3051e5d</t>
  </si>
  <si>
    <t>Buy trade US26740W1099 D-WAVE QUATUM    DL-,0001, quantity: 6</t>
  </si>
  <si>
    <t>0440ca6d-36ca-468e-8185-9c97a8018d4a</t>
  </si>
  <si>
    <t>Cash Dividend for ISIN DE000BAY0017</t>
  </si>
  <si>
    <t>019dd84b-c7a4-76c6-9e0e-52028a47efc0</t>
  </si>
  <si>
    <t>019dd850-f1ed-7a13-9d3f-479d76734676</t>
  </si>
  <si>
    <t>Buy trade DE000BAY0017 BAYER AG O.N., quantity: 5</t>
  </si>
  <si>
    <t>b2617944-82ec-423a-a605-f09ce2996fc9</t>
  </si>
  <si>
    <t>Buy trade DE000BAY0017 BAYER AG O.N., quantity: 0.486968</t>
  </si>
  <si>
    <t>2bfc7d57-1ba5-45e9-b27a-0aa9dea6605a</t>
  </si>
  <si>
    <t>Buy trade US72919P2020 PLUG POWER INC. DL-,01, quantity: 0.935581</t>
  </si>
  <si>
    <t>cf3a22b5-b026-416c-98a8-aa5edf7c47b0</t>
  </si>
  <si>
    <t>Buy trade US72919P2020 PLUG POWER INC. DL-,01, quantity: 29</t>
  </si>
  <si>
    <t>6d87e23e-d187-404e-ac7e-f07eb25c0ce7</t>
  </si>
  <si>
    <t>019ddfe2-b29f-7bbe-a5ec-bdbad25d509d</t>
  </si>
  <si>
    <t>019ddfe1-86b1-736f-b121-58eb9af2920c</t>
  </si>
  <si>
    <t>Buy trade US9168961038 URANIUM ENERGY    DL-,001, quantity: 0.830853</t>
  </si>
  <si>
    <t>335b03b7-3aee-4460-b1b5-229d6f764786</t>
  </si>
  <si>
    <t>Buy trade US9168961038 URANIUM ENERGY    DL-,001, quantity: 7</t>
  </si>
  <si>
    <t>3bf299b4-f036-4622-92a1-c378bd2bce2e</t>
  </si>
  <si>
    <t>019ddfec-34a8-7d64-83d7-74d336a10784</t>
  </si>
  <si>
    <t>MSCI Robotics &amp; AI ESG Screened EUR (Acc)</t>
  </si>
  <si>
    <t>LU1861132840</t>
  </si>
  <si>
    <t>Buy trade LU1861132840 Amundi Index Solutions - Amundi MSCI Robotics &amp; AI UCITS ETF Acc, quantity: 4.0</t>
  </si>
  <si>
    <t>d00d7030-1fa9-40c9-bb2c-dfcb8fa86255</t>
  </si>
  <si>
    <t>Buy trade LU1861132840 Amundi Index Solutions - Amundi MSCI Robotics &amp; AI UCITS ETF Acc, quantity: 0.312031</t>
  </si>
  <si>
    <t>feacd1a3-a749-4962-8325-10b9cf794745</t>
  </si>
  <si>
    <t>019df7b1-4599-7d23-bd22-9540b5d9e0a3</t>
  </si>
  <si>
    <t>019df7be-26a6-714b-8d33-7c4d9e7296ce</t>
  </si>
  <si>
    <t>Romeo Talla Fotsing und Josiane Tefouemewe Tsamo</t>
  </si>
  <si>
    <t>019df7bf-13f4-7625-a99b-9cc11937f81a</t>
  </si>
  <si>
    <t>DE04731500000040868242</t>
  </si>
  <si>
    <t>019df835-c45e-7746-9d87-791e5ac6fcce</t>
  </si>
  <si>
    <t>Sell trade LU0274211480 Xtrackers - Xtrackers DAX UCITS ETF 1C, quantity: 2</t>
  </si>
  <si>
    <t>7d12fbcd-9d52-487c-89fb-e80b1138f853</t>
  </si>
  <si>
    <t>Sell trade LU0274211480 Xtrackers - Xtrackers DAX UCITS ETF 1C, quantity: 0.219067</t>
  </si>
  <si>
    <t>8ce0adac-392a-48c3-a367-6120dd8f12f5</t>
  </si>
  <si>
    <t>Core Stoxx Europe 600 EUR (Acc)</t>
  </si>
  <si>
    <t>LU0908500753</t>
  </si>
  <si>
    <t>Buy trade LU0908500753 Amundi Index Solutions - Amundi Core Stoxx Europe 600 UCITS ETF Acc, quantity: 1</t>
  </si>
  <si>
    <t>ae7cd5d1-eaa8-44d3-9990-ac6673a982e6</t>
  </si>
  <si>
    <t>Buy trade LU0908500753 Amundi Index Solutions - Amundi Core Stoxx Europe 600 UCITS ETF Acc, quantity: 0.692411</t>
  </si>
  <si>
    <t>078d75f3-d8b5-425c-80d7-4020032eaba6</t>
  </si>
  <si>
    <t>Sell trade US26740W1099 D-WAVE QUATUM    DL-,0001, quantity: 0.849733</t>
  </si>
  <si>
    <t>b40f0e0e-f020-4c7d-a394-531211107da5</t>
  </si>
  <si>
    <t>Sell trade US26740W1099 D-WAVE QUATUM    DL-,0001, quantity: 19</t>
  </si>
  <si>
    <t>620728c7-7008-4a6d-b650-62c80620f338</t>
  </si>
  <si>
    <t>Sell trade US72919P2020 PLUG POWER INC. DL-,01, quantity: 0.269513</t>
  </si>
  <si>
    <t>4dd3e2cc-0455-418b-952a-3c05c80d10ac</t>
  </si>
  <si>
    <t>Sell trade US72919P2020 PLUG POWER INC. DL-,01, quantity: 99</t>
  </si>
  <si>
    <t>5bea88e8-e986-4714-aacc-4d1fafd43bcf</t>
  </si>
  <si>
    <t>Buy trade GB0007980591 BP PLC, quantity: 15.0</t>
  </si>
  <si>
    <t>7c188116-0b5a-4678-a6f5-2dc91f205f88</t>
  </si>
  <si>
    <t>Buy trade GB0007980591 BP PLC, quantity: 0.805278</t>
  </si>
  <si>
    <t>a7ee9f9e-5645-489c-830b-69d8f59242f6</t>
  </si>
  <si>
    <t>Buy trade US26740W1099 D-WAVE QUATUM    DL-,0001, quantity: 18</t>
  </si>
  <si>
    <t>d4fef195-a36c-4cfd-8cd9-d5e28c1a05c9</t>
  </si>
  <si>
    <t>Buy trade US26740W1099 D-WAVE QUATUM    DL-,0001, quantity: 0.48917</t>
  </si>
  <si>
    <t>36ff94f2-58e0-456b-adbb-51f2570c05f7</t>
  </si>
  <si>
    <t>4297fffc-d9c4-4bc3-bf3a-4a5d6fdbad77</t>
  </si>
  <si>
    <t>Buy trade IE00B4L5Y983 iShares III plc - iShares Core MSCI World UCITS ETF USD (Acc), quantity: 0.256913</t>
  </si>
  <si>
    <t>8668f5b4-bc29-4e91-98e2-ebe0274b7016</t>
  </si>
  <si>
    <t>Buy trade US64110L1061 NETFLIX INC.      DL-,001, quantity: 0.537562</t>
  </si>
  <si>
    <t>ad5c8c33-8830-4940-9e48-d7baa0ce09b2</t>
  </si>
  <si>
    <t>019dfd4b-c68e-7065-b4f1-dd0674a1823b</t>
  </si>
  <si>
    <t>Buy trade IE00B5BMR087 iShares VII plc - iShares Core S&amp;P 500 UCITS ETF USD (Acc), quantity: 0.387283</t>
  </si>
  <si>
    <t>66c0cae3-67ac-4182-b9ad-3b8ae1d5c9ff</t>
  </si>
  <si>
    <t>Fotsing Kydan Talla</t>
  </si>
  <si>
    <t>Outgoing transfer for Fotsing Kydan Talla (DE67100123452517543211)</t>
  </si>
  <si>
    <t>019e01b8-6ef0-7fb5-9c29-b9a49c5bdfe2</t>
  </si>
  <si>
    <t>DE67100123452517543211</t>
  </si>
  <si>
    <t>019e01b7-d3dc-78d5-af51-1098c322db78</t>
  </si>
  <si>
    <t>Guetsa Kheri Talla</t>
  </si>
  <si>
    <t>019e01b9-8672-7e76-9c80-3afe411ba6d4</t>
  </si>
  <si>
    <t>DE93100123454609710911</t>
  </si>
  <si>
    <t>Tene Klever Talla</t>
  </si>
  <si>
    <t>Outgoing transfer for Tene Klever Talla (DE53100123454355905311)</t>
  </si>
  <si>
    <t>019e01ba-e23f-76ec-9c87-3d52ed1d4f7a</t>
  </si>
  <si>
    <t>DE53100123454355905311</t>
  </si>
  <si>
    <t>019e0300-90e4-7b24-bc69-fcec32e8518a</t>
  </si>
  <si>
    <t>019e0439-5569-7604-979d-1024076f80ea</t>
  </si>
  <si>
    <t>Buy trade US7034811015 PATTERS.-UTI       DL-,01, quantity: 0.556121</t>
  </si>
  <si>
    <t>e6c9e3ca-db65-4a93-bb05-4d8842904bd8</t>
  </si>
  <si>
    <t>Buy trade US7034811015 PATTERS.-UTI       DL-,01, quantity: 30.0</t>
  </si>
  <si>
    <t>396dc738-fa81-408a-9666-e9f3406db797</t>
  </si>
  <si>
    <t>019e1744-8218-743f-812b-6b5bbf64b7b3</t>
  </si>
  <si>
    <t>Pfizer</t>
  </si>
  <si>
    <t>US7170811035</t>
  </si>
  <si>
    <t>Buy trade US7170811035 PFIZER INC. DL-,05, quantity: 0.082652</t>
  </si>
  <si>
    <t>e2862c08-4179-497f-8447-51eeb8c18ec5</t>
  </si>
  <si>
    <t>Buy trade US7170811035 PFIZER INC. DL-,05, quantity: 9.0</t>
  </si>
  <si>
    <t>932130ce-99c7-4f0a-a55b-05fe84192591</t>
  </si>
  <si>
    <t>Sell trade US26740W1099 D-WAVE QUATUM    DL-,0001, quantity: 18</t>
  </si>
  <si>
    <t>7223938d-cb95-4c71-8243-12839cf2e9ca</t>
  </si>
  <si>
    <t>Sell trade US26740W1099 D-WAVE QUATUM    DL-,0001, quantity: 0.48917</t>
  </si>
  <si>
    <t>6e6c5928-46bc-4e1e-880d-34a21b7e999d</t>
  </si>
  <si>
    <t>Buy trade AU000000DRO2 DRONESHIELD LTD, quantity: 150.0</t>
  </si>
  <si>
    <t>bf302f9f-3ee0-40ed-a7e0-e42401561f8a</t>
  </si>
  <si>
    <t>Buy trade AU000000DRO2 DRONESHIELD LTD, quantity: 0.753768</t>
  </si>
  <si>
    <t>8b9f7a2f-0611-49b9-96f7-8050794b11b2</t>
  </si>
  <si>
    <t>Buy trade US64110L1061 NETFLIX INC.      DL-,001, quantity: 1</t>
  </si>
  <si>
    <t>9f902256-8efe-4f5f-a853-6b7165548272</t>
  </si>
  <si>
    <t>Buy trade US64110L1061 NETFLIX INC.      DL-,001, quantity: 0.226012</t>
  </si>
  <si>
    <t>44e10865-b532-41a4-8cf5-3b673abc4789</t>
  </si>
  <si>
    <t>Sell trade US7034811015 PATTERS.-UTI       DL-,01, quantity: 0.556121</t>
  </si>
  <si>
    <t>c0f467bf-799e-47d0-b19d-1fd8b27f9804</t>
  </si>
  <si>
    <t>Sell trade US7034811015 PATTERS.-UTI       DL-,01, quantity: 30.0</t>
  </si>
  <si>
    <t>876f34a2-28f1-4a5c-966f-2aabe31a1a3a</t>
  </si>
  <si>
    <t>Buy trade US26740W1099 D-WAVE QUATUM    DL-,0001, quantity: 19</t>
  </si>
  <si>
    <t>f3574165-9ae5-49a1-9e84-7af0037b3d01</t>
  </si>
  <si>
    <t>Buy trade US26740W1099 D-WAVE QUATUM    DL-,0001, quantity: 0.776119</t>
  </si>
  <si>
    <t>b26ea71d-6b38-4731-95ca-7b10ac0cc7ff</t>
  </si>
  <si>
    <t>019e3caa-6164-730f-876a-bfe7db368919</t>
  </si>
  <si>
    <t>Buy trade AU000000DRO2 DRONESHIELD LTD, quantity: 0.866528</t>
  </si>
  <si>
    <t>b5eb9da6-8a66-40ec-9666-e7a575807e43</t>
  </si>
  <si>
    <t>Buy trade AU000000DRO2 DRONESHIELD LTD, quantity: 25.0</t>
  </si>
  <si>
    <t>57953a32-0fa2-4daa-847b-661d5cfdf20c</t>
  </si>
  <si>
    <t>019e3ebc-6696-7972-b1c1-79e7b7b968ce</t>
  </si>
  <si>
    <t>Buy trade AU000000DRO2 DRONESHIELD LTD, quantity: 0.855153</t>
  </si>
  <si>
    <t>43d26ca8-4aab-4295-9383-53ebb62d490d</t>
  </si>
  <si>
    <t>Buy trade AU000000DRO2 DRONESHIELD LTD, quantity: 27.0</t>
  </si>
  <si>
    <t>43bf7cbe-87a1-4941-ab58-57a99aafc9b3</t>
  </si>
  <si>
    <t>019e3edf-d44f-7d33-aee7-c24036e8595a</t>
  </si>
  <si>
    <t>Buy trade CA0558691014 BTQ TECHNOLOGIES CORP., quantity: 40</t>
  </si>
  <si>
    <t>5cd4d867-a675-4e63-b4db-3a842cfc2265</t>
  </si>
  <si>
    <t>019e3efd-a50c-7113-8156-7e2eb657ab88</t>
  </si>
  <si>
    <t>7f6928a0-cb6d-49aa-8138-0cd39b2ee038</t>
  </si>
  <si>
    <t>Buy trade US26740W1099 D-WAVE QUATUM    DL-,0001, quantity: 0.080875</t>
  </si>
  <si>
    <t>3824fb67-995a-4f0e-931d-9c37e309150c</t>
  </si>
  <si>
    <t>019e4408-a069-7ad6-ba71-c5529e6226b3</t>
  </si>
  <si>
    <t>Buy trade AU000000DRO2 DRONESHIELD LTD, quantity: 0.743891</t>
  </si>
  <si>
    <t>bd7ba4ac-eb45-4d1b-9e28-8a47b8174324</t>
  </si>
  <si>
    <t>Buy trade AU000000DRO2 DRONESHIELD LTD, quantity: 28.0</t>
  </si>
  <si>
    <t>dc4bac1e-3f13-4cb0-9a35-7c9e55291296</t>
  </si>
  <si>
    <t>Sell trade US26740W1099 D-WAVE QUATUM    DL-,0001, quantity: 0.856994</t>
  </si>
  <si>
    <t>6deab65b-49c3-4720-b84b-251e945b3249</t>
  </si>
  <si>
    <t>Sell trade US26740W1099 D-WAVE QUATUM    DL-,0001, quantity: 25</t>
  </si>
  <si>
    <t>7508f863-8ec1-4f95-8766-3dfc8139b13a</t>
  </si>
  <si>
    <t>019e4b0f-aaee-79e9-869b-3630bf7b5a1e</t>
  </si>
  <si>
    <t>Sell trade GB0007980591 BP PLC, quantity: 47.0</t>
  </si>
  <si>
    <t>31f22158-5229-4c0d-ba60-34c69a14e7bd</t>
  </si>
  <si>
    <t>Sell trade GB0007980591 BP PLC, quantity: 0.271609</t>
  </si>
  <si>
    <t>fb43b49c-ff35-4bb2-8dd2-80a85db69dfd</t>
  </si>
  <si>
    <t>Sell trade US7170811035 PFIZER INC. DL-,05, quantity: 0.082652</t>
  </si>
  <si>
    <t>d36f3f94-3299-4b8d-ae45-8ad413ee3f92</t>
  </si>
  <si>
    <t>Sell trade US7170811035 PFIZER INC. DL-,05, quantity: 9.0</t>
  </si>
  <si>
    <t>052c6cc3-6845-4052-980c-1b9611c2dc50</t>
  </si>
  <si>
    <t>019e4b14-5ca7-77ba-acde-7fb18b3382a4</t>
  </si>
  <si>
    <t>019e5000-b474-7c47-b7d0-0943bfaa3b50</t>
  </si>
  <si>
    <t>Buy trade US26740W1099 D-WAVE QUATUM    DL-,0001, quantity: 0.894571</t>
  </si>
  <si>
    <t>bf89d20d-4beb-451b-8c7a-9d5cf973394e</t>
  </si>
  <si>
    <t>Buy trade US26740W1099 D-WAVE QUATUM    DL-,0001, quantity: 3</t>
  </si>
  <si>
    <t>7ba7e8f7-bef7-4454-af1f-ab6e76ce8469</t>
  </si>
  <si>
    <t>019e5eae-f15f-75ab-818d-8bd3cd156d04</t>
  </si>
  <si>
    <t>6b0e31ca-4d77-4ce0-824b-eadc1441ed8b</t>
  </si>
  <si>
    <t>019e60e7-36f0-7fdd-b8f6-10c614f5b14f</t>
  </si>
  <si>
    <t>Buy trade CA0558691014 BTQ TECHNOLOGIES CORP., quantity: 10</t>
  </si>
  <si>
    <t>292793af-3c08-45ab-bb33-450c96f6260c</t>
  </si>
  <si>
    <t>019e64a7-8eb0-7523-ae5c-d0d9ec7cc0e2</t>
  </si>
  <si>
    <t>Virgin Galactic</t>
  </si>
  <si>
    <t>US92766K4031</t>
  </si>
  <si>
    <t>Buy trade US92766K4031 VIRGIN GAL.HLDGS NEW O.N., quantity: 63.0</t>
  </si>
  <si>
    <t>b00b2ae3-2fa4-493f-a01f-03ecc3d572ff</t>
  </si>
  <si>
    <t>Buy trade US92766K4031 VIRGIN GAL.HLDGS NEW O.N., quantity: 0.734862</t>
  </si>
  <si>
    <t>0090623b-0914-45a5-b82d-ef7645aee6d2</t>
  </si>
  <si>
    <t>019e64b7-205a-7dac-9ef1-d2be1049e448</t>
  </si>
  <si>
    <t>Buy trade US26740W1099 D-WAVE QUATUM    DL-,0001, quantity: 0.306632</t>
  </si>
  <si>
    <t>b39552c0-9c4a-4f2b-b139-d5f44401d810</t>
  </si>
  <si>
    <t>eb937da4-6233-49ae-a942-80cf3797a6c7</t>
  </si>
  <si>
    <t>019e68d7-068e-7809-a3cb-480f169f2cad</t>
  </si>
  <si>
    <t>Space Innovators USD (Acc)</t>
  </si>
  <si>
    <t>IE000YU9K6K2</t>
  </si>
  <si>
    <t>Buy trade IE000YU9K6K2 VanEck UCITS ETFs plc - VanEck Space Innovators UCITS ETF, quantity: 2.0</t>
  </si>
  <si>
    <t>0801b89b-578c-468c-8088-96053194cd38</t>
  </si>
  <si>
    <t>Buy trade IE000YU9K6K2 VanEck UCITS ETFs plc - VanEck Space Innovators UCITS ETF, quantity: 0.482621</t>
  </si>
  <si>
    <t>7d90f2d4-9d27-424d-b771-7028a8e8b8b8</t>
  </si>
  <si>
    <t>019e6907-336c-7784-9397-87c6d1dd7a2d</t>
  </si>
  <si>
    <t>Quantum Computing USD (Acc)</t>
  </si>
  <si>
    <t>IE0007Y8Y157</t>
  </si>
  <si>
    <t>Buy trade IE0007Y8Y157 VanEck UCITS ETFs plc - VanEck Quantum Computing UCITS ETF, quantity: 0.685663</t>
  </si>
  <si>
    <t>fabeca8e-0641-40b7-93c8-b6887d3c63b8</t>
  </si>
  <si>
    <t>Buy trade IE0007Y8Y157 VanEck UCITS ETFs plc - VanEck Quantum Computing UCITS ETF, quantity: 10.0</t>
  </si>
  <si>
    <t>34d4d3d8-89e6-43ff-bfe2-4f57e80bb1f1</t>
  </si>
  <si>
    <t>019e6a34-03bc-73a1-9dcf-aad7fa8d4503</t>
  </si>
  <si>
    <t>Buy trade GB0007980591 BP PLC, quantity: 0.53454</t>
  </si>
  <si>
    <t>15efd4f1-ac86-4b7a-bc12-5db2485e138b</t>
  </si>
  <si>
    <t>Buy trade GB0007980591 BP PLC, quantity: 33.0</t>
  </si>
  <si>
    <t>4bf1eb3e-d086-4c73-af39-3cde6c17442f</t>
  </si>
  <si>
    <t>019e6b07-b1a7-70ba-baab-007173e3dcc6</t>
  </si>
  <si>
    <t>019e6b09-16ca-7ad1-8f52-83ce7421db96</t>
  </si>
  <si>
    <t>Buy trade LU1861132840 Amundi Index Solutions - Amundi MSCI Robotics &amp; AI UCITS ETF Acc, quantity: 0.999275</t>
  </si>
  <si>
    <t>516530aa-01ac-4156-9eed-4ca107d27f75</t>
  </si>
  <si>
    <t>019e6b1b-c940-7d44-87aa-2589e619f767</t>
  </si>
  <si>
    <t>Buy trade LU0908500753 Amundi Index Solutions - Amundi Core Stoxx Europe 600 UCITS ETF Acc, quantity: 0.323991</t>
  </si>
  <si>
    <t>bb6bf68e-1660-4c7e-b954-f3ed6e83b790</t>
  </si>
  <si>
    <t>019e6b24-a7c4-7f33-8391-ff5149e0a164</t>
  </si>
  <si>
    <t>Buy trade IE00B5BMR087 iShares VII plc - iShares Core S&amp;P 500 UCITS ETF USD (Acc), quantity: 0.371667</t>
  </si>
  <si>
    <t>254ee072-66b2-493a-856d-2c6d1fe19131</t>
  </si>
  <si>
    <t>63225551-a557-44b8-b50b-311722f5b679</t>
  </si>
  <si>
    <t>Buy trade IE00B4L5Y983 iShares III plc - iShares Core MSCI World UCITS ETF USD (Acc), quantity: 0.216643</t>
  </si>
  <si>
    <t>bc9b6478-d389-4684-bbfb-22c6e01070f2</t>
  </si>
  <si>
    <t>019e6b28-dcbe-75df-9886-8c64848ea904</t>
  </si>
  <si>
    <t>019e6b2e-f971-7642-bede-e29b40b1ba13</t>
  </si>
  <si>
    <t>019e6b27-32e8-7d6c-a41c-16e47018a65a</t>
  </si>
  <si>
    <t>Buy trade AU000000DRO2 DRONESHIELD LTD, quantity: 0.072522</t>
  </si>
  <si>
    <t>b3e45845-d613-474b-9f62-f0593dc4204c</t>
  </si>
  <si>
    <t>Buy trade AU000000DRO2 DRONESHIELD LTD, quantity: 51.0</t>
  </si>
  <si>
    <t>f6acc29e-4683-4c90-a77f-7986afbee4d6</t>
  </si>
  <si>
    <t>019e6b33-c5e8-77bb-8b57-e27751961360</t>
  </si>
  <si>
    <t>019e6b28-171b-70fa-a7ae-42bab0513b51</t>
  </si>
  <si>
    <t>019e6b27-a791-7aa2-9c5f-e9e978547298</t>
  </si>
  <si>
    <t>Buy trade US9168961038 URANIUM ENERGY    DL-,001, quantity: 8</t>
  </si>
  <si>
    <t>39ff99ec-2644-43f6-b50c-ea5fa8c9a625</t>
  </si>
  <si>
    <t>Buy trade US9168961038 URANIUM ENERGY    DL-,001, quantity: 0.58369</t>
  </si>
  <si>
    <t>b41c8095-e361-4624-9ac9-bfd4e3c1db8b</t>
  </si>
  <si>
    <t>019e6fcc-cc9c-7b89-ade2-c0327ee1a8b4</t>
  </si>
  <si>
    <t>Semiconductor USD (Acc)</t>
  </si>
  <si>
    <t>IE00BMC38736</t>
  </si>
  <si>
    <t>Buy trade IE00BMC38736 VanEck UCITS ETFs plc - VanEck Semiconductor UCITS ETF, quantity: 0.237006</t>
  </si>
  <si>
    <t>1470e7df-c65c-4cc3-9578-54202fb51e0b</t>
  </si>
  <si>
    <t>Buy trade IE00BMC38736 VanEck UCITS ETFs plc - VanEck Semiconductor UCITS ETF, quantity: 6.0</t>
  </si>
  <si>
    <t>4ad73349-c968-43d6-8983-4c43d4d88356</t>
  </si>
  <si>
    <t>Sell trade US92766K4031 VIRGIN GAL.HLDGS NEW O.N., quantity: 25</t>
  </si>
  <si>
    <t>cab78ead-390c-4ee4-a4de-971058c225f3</t>
  </si>
  <si>
    <t>019e7a50-f39a-7abd-bf40-fb4d5c2a6835</t>
  </si>
  <si>
    <t>019e81dc-2f1f-7712-b029-30faaa073665</t>
  </si>
  <si>
    <t>Drone USD (ACC)</t>
  </si>
  <si>
    <t>IE0003XW12I8</t>
  </si>
  <si>
    <t>Buy trade IE0003XW12I8 HANetf II ICAV - Drone UCITS ETF - Accumulating, quantity: 0.961223</t>
  </si>
  <si>
    <t>cf536c26-056a-40a1-904d-4e4724d23440</t>
  </si>
  <si>
    <t>Buy trade IE0003XW12I8 HANetf II ICAV - Drone UCITS ETF - Accumulating, quantity: 40.0</t>
  </si>
  <si>
    <t>9dc23b87-f545-4d3d-ac24-c611b11cd135</t>
  </si>
  <si>
    <t>019e81de-0b2c-71eb-90a2-cb214ef349ee</t>
  </si>
  <si>
    <t>New Energy EUR (Dist)</t>
  </si>
  <si>
    <t>FR0010524777</t>
  </si>
  <si>
    <t>Buy trade FR0010524777 MULTI UNITS FRANCE - Amundi MSCI New Energy UCITS ETF Dist, quantity: 6.0</t>
  </si>
  <si>
    <t>fd9f832b-bbe3-48c1-97b0-7a07c2050f8e</t>
  </si>
  <si>
    <t>Buy trade FR0010524777 MULTI UNITS FRANCE - Amundi MSCI New Energy UCITS ETF Dist, quantity: 0.355258</t>
  </si>
  <si>
    <t>6b09b683-56c5-483d-bec4-e21ef6fbf03f</t>
  </si>
  <si>
    <t>019e81e2-7989-7191-b66c-66df45d5d189</t>
  </si>
  <si>
    <t>Defense USD (Acc)</t>
  </si>
  <si>
    <t>IE000YYE6WK5</t>
  </si>
  <si>
    <t>Buy trade IE000YYE6WK5 VanEck UCITS ETFs plc - VanEck Defense UCITS ETF, quantity: 5</t>
  </si>
  <si>
    <t>36ae9ccd-2ebc-405c-84a1-d6ab34a0b57c</t>
  </si>
  <si>
    <t>Buy trade IE000YYE6WK5 VanEck UCITS ETFs plc - VanEck Defense UCITS ETF, quantity: 0.217391</t>
  </si>
  <si>
    <t>3a9ec870-4549-4cb5-b405-d6584d2e9057</t>
  </si>
  <si>
    <t>019e875c-3287-7a13-8c00-c9e02e657add</t>
  </si>
  <si>
    <t>Buy trade DE000BAY0017 BAYER AG O.N., quantity: 3</t>
  </si>
  <si>
    <t>96dbd4d4-e06b-4106-ac15-bcbf92d1a8f8</t>
  </si>
  <si>
    <t>019e88b5-e8dc-7edf-9724-8bee37bae16f</t>
  </si>
  <si>
    <t>Buy trade IE000YU9K6K2 VanEck UCITS ETFs plc - VanEck Space Innovators UCITS ETF, quantity: 0.467202</t>
  </si>
  <si>
    <t>a45089eb-2beb-4a94-b344-b1ddd9a23be4</t>
  </si>
  <si>
    <t>019e8915-328e-738a-9431-717cb3d157c9</t>
  </si>
  <si>
    <t>706be5ea-a3f9-4e17-aa19-8f9b7e6b0f8e</t>
  </si>
  <si>
    <t>019e8f3f-fb6f-7b8e-93b9-d8e150300995</t>
  </si>
  <si>
    <t>7aca696c-5f1f-48e5-a09b-34271430f964</t>
  </si>
  <si>
    <t>019e912c-040f-7e08-84ca-fc2e8aaedd0e</t>
  </si>
  <si>
    <t>019e912f-dfd8-7eb6-93b9-75be0cabccdb</t>
  </si>
  <si>
    <t>Buy trade AU000000DRO2 DRONESHIELD LTD, quantity: 0.322404</t>
  </si>
  <si>
    <t>7cd2444e-d99d-4368-adc1-a58805f20119</t>
  </si>
  <si>
    <t>05b7c26e-aa6c-43c8-a634-e6cce0a4756a</t>
  </si>
  <si>
    <t>52040166-c77f-4dcf-9411-582ea06733b2</t>
  </si>
  <si>
    <t>Buy trade IE000YU9K6K2 VanEck UCITS ETFs plc - VanEck Space Innovators UCITS ETF, quantity: 0.508181</t>
  </si>
  <si>
    <t>814cc615-f687-4970-bb4c-7d5d1e4a5d77</t>
  </si>
  <si>
    <t>26991b3d-cf67-4ebb-a7ee-f557d2c561a6</t>
  </si>
  <si>
    <t>Buy trade US26740W1099 D-WAVE QUATUM    DL-,0001, quantity: 0.126754</t>
  </si>
  <si>
    <t>72273e16-7d9c-4862-9571-1192eb90b0ac</t>
  </si>
  <si>
    <t>019e914a-6744-768d-93ef-cad86b455f19</t>
  </si>
  <si>
    <t>b8a6516d-1b93-426e-b708-262ac456bd44</t>
  </si>
  <si>
    <t>Buy trade XF000XRP0018 XRP, quantity: 38.094856</t>
  </si>
  <si>
    <t>a24b1b96-276e-4544-9773-6e5e380bb354</t>
  </si>
  <si>
    <t>Buy trade XF000ADA0018 Cardano, quantity: 310.015996</t>
  </si>
  <si>
    <t>bbb05ea9-b988-453f-94fa-a22c49cf6ffe</t>
  </si>
  <si>
    <t>019e9400-4ad5-79d0-8069-9de9a32103f1</t>
  </si>
  <si>
    <t>Buy trade IE0003XW12I8 HANetf II ICAV - Drone UCITS ETF - Accumulating, quantity: 7.0</t>
  </si>
  <si>
    <t>3bcd739c-8eab-4a9c-bce9-bb3020e45dfe</t>
  </si>
  <si>
    <t>Buy trade IE0003XW12I8 HANetf II ICAV - Drone UCITS ETF - Accumulating, quantity: 0.012622</t>
  </si>
  <si>
    <t>530152c5-118d-4e76-b11d-12f612fe6f61</t>
  </si>
  <si>
    <t>019e9417-73be-7e9a-89dc-a79de53a734a</t>
  </si>
  <si>
    <t>Sell trade GB0007980591 BP PLC, quantity: 33.53454</t>
  </si>
  <si>
    <t>17dd0e63-1c33-4cc3-9157-a9fabba3d2f8</t>
  </si>
  <si>
    <t>Buy trade IE000YU9K6K2 VanEck UCITS ETFs plc - VanEck Space Innovators UCITS ETF, quantity: 0.522466</t>
  </si>
  <si>
    <t>a382b85e-9a8c-4c09-b429-2c310b090fd3</t>
  </si>
  <si>
    <t>Buy trade IE0003XW12I8 HANetf II ICAV - Drone UCITS ETF - Accumulating, quantity: 0.599939</t>
  </si>
  <si>
    <t>2f88b10f-f804-4069-8118-de78b57ac7a4</t>
  </si>
  <si>
    <t>f7801ec8-c8d1-424a-b7f1-32c319c080ae</t>
  </si>
  <si>
    <t>Buy trade CA0558691014 BTQ TECHNOLOGIES CORP., quantity: 13</t>
  </si>
  <si>
    <t>b9b18fe2-d394-4ac0-b2dc-204e81100585</t>
  </si>
  <si>
    <t>019e9937-bd46-752a-95bc-d02f5e15a693</t>
  </si>
  <si>
    <t>Buy trade IE00B5BMR087 iShares VII plc - iShares Core S&amp;P 500 UCITS ETF USD (Acc), quantity: 0.377034</t>
  </si>
  <si>
    <t>4f7b39f1-f832-4fc6-af16-cd97a80459fe</t>
  </si>
  <si>
    <t>Buy trade LU1861132840 Amundi Index Solutions - Amundi MSCI Robotics &amp; AI UCITS ETF Acc, quantity: 0.72223</t>
  </si>
  <si>
    <t>09ca8ca2-74eb-473c-b602-d3ab3f09df13</t>
  </si>
  <si>
    <t>Sell trade US92766K4031 VIRGIN GAL.HLDGS NEW O.N., quantity: 0.734862</t>
  </si>
  <si>
    <t>dc0860e7-1a6e-45f0-82e8-c4003c10b824</t>
  </si>
  <si>
    <t>Sell trade US92766K4031 VIRGIN GAL.HLDGS NEW O.N., quantity: 38.0</t>
  </si>
  <si>
    <t>7d980948-0113-4ac3-9bf2-aa7d937b0010</t>
  </si>
  <si>
    <t>a78d0525-86f0-44af-9ade-57ba87eb3080</t>
  </si>
  <si>
    <t>Buy trade IE00BMC38736 VanEck UCITS ETFs plc - VanEck Semiconductor UCITS ETF, quantity: 1</t>
  </si>
  <si>
    <t>4158f519-60d6-4c75-99a8-150dcb20447a</t>
  </si>
  <si>
    <t>Buy trade FR0010524777 MULTI UNITS FRANCE - Amundi MSCI New Energy UCITS ETF Dist, quantity: 1.117443</t>
  </si>
  <si>
    <t>4889a69b-57c3-4266-8c3e-cc53b0105efe</t>
  </si>
  <si>
    <t>Buy trade CA0558691014 BTQ TECHNOLOGIES CORP., quantity: 9.0</t>
  </si>
  <si>
    <t>503c6b45-3083-4275-9be6-5a6ccc2213dd</t>
  </si>
  <si>
    <t>Buy trade CA0558691014 BTQ TECHNOLOGIES CORP., quantity: 0.444444</t>
  </si>
  <si>
    <t>7efaf3f2-36bb-4631-aa91-d210ef8042ec</t>
  </si>
  <si>
    <t>019e9982-c7a7-7dc4-8856-4e24d90f3f87</t>
  </si>
  <si>
    <t>Buy trade US9168961038 URANIUM ENERGY    DL-,001, quantity: 3</t>
  </si>
  <si>
    <t>b382fb06-512b-4869-9a33-848121a25fea</t>
  </si>
  <si>
    <t>019e9992-fe85-7b9a-a57b-3ce086e4fd57</t>
  </si>
  <si>
    <t>Buy trade IE000YYE6WK5 VanEck UCITS ETFs plc - VanEck Defense UCITS ETF, quantity: 0.943574</t>
  </si>
  <si>
    <t>e2aff59a-6cb4-4940-9f58-53b874553185</t>
  </si>
  <si>
    <t>019e9b8e-4d49-7f1b-943e-dac20a52bc33</t>
  </si>
  <si>
    <t>bffa1919-74a2-4215-a50a-c6f7bf0d2ef3</t>
  </si>
  <si>
    <t>019ead84-ba26-70c7-a696-720d177ce9e9</t>
  </si>
  <si>
    <t>019eadc9-dc65-7a00-b6cf-77e84df3a0f8</t>
  </si>
  <si>
    <t>019eb7c9-afcd-7f46-80f1-1343d0e86e03</t>
  </si>
  <si>
    <t>Buy trade US9168961038 URANIUM ENERGY    DL-,001, quantity: 11</t>
  </si>
  <si>
    <t>7e2b9113-491a-46fc-9e75-080a7930329b</t>
  </si>
  <si>
    <t>Buy trade AU000000DRO2 DRONESHIELD LTD, quantity: 29.0</t>
  </si>
  <si>
    <t>5f8e929f-571f-4b02-a312-e01d6ea0426f</t>
  </si>
  <si>
    <t>Buy trade AU000000DRO2 DRONESHIELD LTD, quantity: 0.612081</t>
  </si>
  <si>
    <t>b5082bdc-7ae7-4e0e-9cd9-163397b22fa9</t>
  </si>
  <si>
    <t>Buy trade CA0558691014 BTQ TECHNOLOGIES CORP., quantity: 0.401055</t>
  </si>
  <si>
    <t>af5f9f73-41b8-4aab-9878-c699d5a7c90f</t>
  </si>
  <si>
    <t>0a0a28ab-0ed3-4258-9c0b-c668a9ead7b1</t>
  </si>
  <si>
    <t>Sell trade CA0558691014 BTQ TECHNOLOGIES CORP., quantity: 147.771054</t>
  </si>
  <si>
    <t>e03a83de-40a4-4cde-8617-331c8dccbcaa</t>
  </si>
  <si>
    <t>019ecc5f-48e2-770b-b668-fe8175661a02</t>
  </si>
  <si>
    <t>TRANSFER_OUTBOUND</t>
  </si>
  <si>
    <t>019ecf7b-eae8-7626-9141-e38eafa65df2</t>
  </si>
  <si>
    <t>019ed139-a6c6-7dc7-ae23-985e7d6887c3</t>
  </si>
  <si>
    <t>Buy trade IE000YU9K6K2 VanEck UCITS ETFs plc - VanEck Space Innovators UCITS ETF, quantity: 0.582682</t>
  </si>
  <si>
    <t>69193d4f-545b-434a-bd0b-a23764243a70</t>
  </si>
  <si>
    <t>Buy trade IE0003XW12I8 HANetf II ICAV - Drone UCITS ETF - Accumulating, quantity: 8.745845</t>
  </si>
  <si>
    <t>3e0b2357-fd0a-4d18-8426-0724cf876228</t>
  </si>
  <si>
    <t>019eeff3-eaf1-7b63-8c0d-4d45504cedb7</t>
  </si>
  <si>
    <t>2bd66384-a27f-4ecb-8fe3-5b699aa8fda0</t>
  </si>
  <si>
    <t>019ef3c3-012d-7ae6-907e-2252f1bf9bbf</t>
  </si>
  <si>
    <t>Buy trade IE000YU9K6K2 VanEck UCITS ETFs plc - VanEck Space Innovators UCITS ETF, quantity: 0.631233</t>
  </si>
  <si>
    <t>ab3f2173-055a-487c-9450-2dc5839c0826</t>
  </si>
  <si>
    <t>019ef3c6-3e74-7347-8266-4891b56f0480</t>
  </si>
  <si>
    <t>Buy trade IE0003XW12I8 HANetf II ICAV - Drone UCITS ETF - Accumulating, quantity: 9.286775</t>
  </si>
  <si>
    <t>b1898d9c-1bec-4dc8-903c-858f6e02d095</t>
  </si>
  <si>
    <t>019ef4d8-d01e-7e4e-a936-9fd526545be6</t>
  </si>
  <si>
    <t>Buy trade AU000000DRO2 DRONESHIELD LTD, quantity: 31.269543</t>
  </si>
  <si>
    <t>92e18ad8-9ba4-4cb7-8dfa-c32f9fcf1e64</t>
  </si>
  <si>
    <t>019efdc1-0887-7da2-b195-dcf648320dca</t>
  </si>
  <si>
    <t>Buy trade AU000000DRO2 DRONESHIELD LTD, quantity: 34.843205</t>
  </si>
  <si>
    <t>e80a8d2d-3e05-4511-b811-d89fef774297</t>
  </si>
  <si>
    <t>Sell trade DE000BAY0017 BAYER AG O.N., quantity: 13.410273</t>
  </si>
  <si>
    <t>9d4bd456-7391-4519-81c4-1ec0720874b8</t>
  </si>
  <si>
    <t>Buy trade IE000YYE6WK5 VanEck UCITS ETFs plc - VanEck Defense UCITS ETF, quantity: 1.021137</t>
  </si>
  <si>
    <t>2f9965eb-7046-462d-a836-046afea32814</t>
  </si>
  <si>
    <t>Buy trade IE0003XW12I8 HANetf II ICAV - Drone UCITS ETF - Accumulating, quantity: 10.078613</t>
  </si>
  <si>
    <t>f194919d-5124-4fb4-86dd-1ed96cfa06bf</t>
  </si>
  <si>
    <t>Buy trade XF000XRP0018 XRP, quantity: 19</t>
  </si>
  <si>
    <t>4cca9baf-c4e8-420b-af95-69abfe9865b8</t>
  </si>
  <si>
    <t>GBP</t>
  </si>
  <si>
    <t>Cash Dividend for ISIN GB0007980591</t>
  </si>
  <si>
    <t>019f0422-8923-762b-980e-7ff9845a629b</t>
  </si>
  <si>
    <t>Buy trade AU000000DRO2 DRONESHIELD LTD, quantity: 38.639876</t>
  </si>
  <si>
    <t>372c3bd3-fa68-4256-bb4e-1ef983e59dc5</t>
  </si>
  <si>
    <t>Buy trade IE0007Y8Y157 VanEck UCITS ETFs plc - VanEck Quantum Computing UCITS ETF, quantity: 1.925669</t>
  </si>
  <si>
    <t>0a781a5c-6149-4550-b98c-b35929a60c03</t>
  </si>
  <si>
    <t>2ce18a8e-5f74-49a4-8d93-521540c81641</t>
  </si>
  <si>
    <t>Buy trade IE00B4L5Y983 iShares III plc - iShares Core MSCI World UCITS ETF USD (Acc), quantity: 1.215904</t>
  </si>
  <si>
    <t>28a8d163-a4a0-405e-ae05-26d143e94139</t>
  </si>
  <si>
    <t>019f0448-731a-7f61-bf59-1822d896393e</t>
  </si>
  <si>
    <t>019f0449-82eb-7bcf-8fac-e5991cdb49be</t>
  </si>
  <si>
    <t>019f044a-2089-7b65-b6e1-0ec4a79ef2f8</t>
  </si>
  <si>
    <t>019f0458-db10-7b3b-acc8-2a229137f8be</t>
  </si>
  <si>
    <t>Buy trade LU0908500753 Amundi Index Solutions - Amundi Core Stoxx Europe 600 UCITS ETF Acc, quantity: 0.320821</t>
  </si>
  <si>
    <t>92607da2-8dad-4531-8dfd-e147f34b1541</t>
  </si>
  <si>
    <t>019f05b1-e558-7211-b621-09d8e6a77a9c</t>
  </si>
  <si>
    <t>019f1519-7fcf-7fc5-b7dd-ecf49662cfed</t>
  </si>
  <si>
    <t>Core MSCI EM IMI USD (Acc)</t>
  </si>
  <si>
    <t>IE00BKM4GZ66</t>
  </si>
  <si>
    <t>Buy trade IE00BKM4GZ66 iShares plc - iShares Core MSCI EM IMI UCITS ETF USD (Acc), quantity: 14.461017</t>
  </si>
  <si>
    <t>483b638b-c797-4885-acd3-83b039adc166</t>
  </si>
  <si>
    <t>019f21a6-2ea4-7c9e-bb5c-e1dbddd2b6ea</t>
  </si>
  <si>
    <t>Buy trade US9168961038 URANIUM ENERGY    DL-,001, quantity: 8.476394</t>
  </si>
  <si>
    <t>4d8ad8b2-05d1-4fd0-bc6a-45636783a87c</t>
  </si>
  <si>
    <t>019f5f5d-f1d1-7831-9de4-3a12646f3aa1</t>
  </si>
  <si>
    <t>0d3b17e9-76cf-4844-af39-421c3fe6d00a</t>
  </si>
  <si>
    <t>019f6c6b-abba-71b8-8513-a452f53299d0</t>
  </si>
  <si>
    <t>Buy trade IE000YU9K6K2 VanEck UCITS ETFs plc - VanEck Space Innovators UCITS ETF, quantity: 0.713877</t>
  </si>
  <si>
    <t>11218e9a-2e52-44fb-bdad-5c1f931b7737</t>
  </si>
  <si>
    <t>Buy trade US9168961038 URANIUM ENERGY    DL-,001, quantity: 10</t>
  </si>
  <si>
    <t>68a0fda3-93a9-4c93-8dc1-2db33734a50b</t>
  </si>
  <si>
    <t>019f6c90-c638-73c0-99e0-7eabc3c28b61</t>
  </si>
  <si>
    <t>019f6c8d-279d-72af-87a3-1faa06f35019</t>
  </si>
  <si>
    <t>Buy trade US26740W1099 D-WAVE QUATUM    DL-,0001, quantity: 7</t>
  </si>
  <si>
    <t>072c0e6e-24b9-44e4-927f-ceeef9838054</t>
  </si>
  <si>
    <t>019f6e99-903e-7ff4-ad9e-7c2a86465506</t>
  </si>
  <si>
    <t>Buy trade IE0007Y8Y157 VanEck UCITS ETFs plc - VanEck Quantum Computing UCITS ETF, quantity: 2.117298</t>
  </si>
  <si>
    <t>86bf07db-de43-44c2-9ccb-e873d3d487be</t>
  </si>
  <si>
    <t>019f70f7-88e4-79b1-9a8a-8cfb7689ab1b</t>
  </si>
  <si>
    <t>f4d26144-7eff-483d-b0e4-3a686229f058</t>
  </si>
  <si>
    <t>019f9091-a2b4-73e2-ab9c-3e4c6d96507d</t>
  </si>
  <si>
    <t>MSCI World Health Care USD (Acc)</t>
  </si>
  <si>
    <t>IE00BM67HK77</t>
  </si>
  <si>
    <t>Buy trade IE00BM67HK77 Xtrackers (IE) Plc - Xtrackers MSCI World Health Care UCITS ETF 1C, quantity: 7.562866</t>
  </si>
  <si>
    <t>74f92c7e-e7c1-4591-a7dd-2ead11e044f4</t>
  </si>
  <si>
    <t>Nike (B)</t>
  </si>
  <si>
    <t>US6541061031</t>
  </si>
  <si>
    <t>Buy trade US6541061031 NIKE INC CL B, quantity: 5.768964</t>
  </si>
  <si>
    <t>1aed9601-b1f4-40c8-a60c-c4d238bfea4a</t>
  </si>
  <si>
    <t>019f92fe-def7-7c95-a352-5a75a272a749</t>
  </si>
  <si>
    <t>Buy trade DE0008232125 LUFTHANSA AG VNA O.N., quantity: 11.665888</t>
  </si>
  <si>
    <t>b5a1cf14-fd9e-4d36-aded-57056e1f4aab</t>
  </si>
  <si>
    <t>019fa7d9-b6b8-7669-b532-8b8255a0de7a</t>
  </si>
  <si>
    <t>Buy trade AU000000DRO2 DRONESHIELD LTD, quantity: 47.619047</t>
  </si>
  <si>
    <t>98782617-8dcf-42f9-bec8-3235c90816e1</t>
  </si>
  <si>
    <t>019fafa0-e1ef-7d1f-8722-f0fd125da5b5</t>
  </si>
  <si>
    <t>Buy trade FR0010524777 MULTI UNITS FRANCE - Amundi MSCI New Energy UCITS ETF Dist, quantity: 1.263264</t>
  </si>
  <si>
    <t>a9be735e-f484-446d-9239-a8a5e695e673</t>
  </si>
  <si>
    <t>019fafa4-77e4-73fe-a67c-349d46391690</t>
  </si>
  <si>
    <t>019fafa6-6494-73fc-b859-dac7865ed09d</t>
  </si>
  <si>
    <t>019fafa4-d028-7637-9e84-1417b0eab79e</t>
  </si>
  <si>
    <t>019fafa5-c65b-7da4-939d-67fbb8c00ad1</t>
  </si>
  <si>
    <t>CUSTOMER_INPAYMENT</t>
  </si>
  <si>
    <t>Roméo Talla Fotsing</t>
  </si>
  <si>
    <t>Direct Debit Top up with DE16300209005310514271</t>
  </si>
  <si>
    <t>019fc496-03ac-790a-a6c3-ae4bf729956a</t>
  </si>
  <si>
    <t>Savings plan execution IE00BM67HK77 Xtrackers (IE) Plc - Xtrackers MSCI World Health Care UCITS ETF 1C, quantity: 0.953652</t>
  </si>
  <si>
    <t>f48317a2-9a05-442d-9eb8-faeae27f50e2</t>
  </si>
  <si>
    <t>019fce8e-1a1e-7948-9fe0-dc41192b702c</t>
  </si>
  <si>
    <t>Buy trade DE0008232125 LUFTHANSA AG VNA O.N., quantity: 11.709601</t>
  </si>
  <si>
    <t>fab67c18-22ff-4b39-bc2e-a3305d889e15</t>
  </si>
  <si>
    <t>019fe65f-7c19-7008-b7da-4d43c4244609</t>
  </si>
  <si>
    <t>Buy trade XF000DOT0011 Polkadot, quantity: 35.61355</t>
  </si>
  <si>
    <t>8676de09-e1a3-4627-96d7-795b0522b0ca</t>
  </si>
  <si>
    <t>019ff487-cd65-7b2b-9dc1-87f14e84accf</t>
  </si>
  <si>
    <t>Buy trade IE0003XW12I8 HANetf II ICAV - Defiance Drone UCITS ETF - Accumulating, quantity: 8.631106</t>
  </si>
  <si>
    <t>1c656477-06d8-41d8-8426-3c0520b828a5</t>
  </si>
  <si>
    <t>Buy trade XF000XRP0018 XRP, quantity: 23.89141</t>
  </si>
  <si>
    <t>79aa3dfb-424c-406b-9e44-9ccb0a7b7b3f</t>
  </si>
  <si>
    <t>019ffa69-a5f4-7db4-8261-9cd8e04fce61</t>
  </si>
  <si>
    <t>Buy trade XF000LINK010 Chainlink, quantity: 6.598134</t>
  </si>
  <si>
    <t>a702207f-c830-407c-b22f-e998a9297267</t>
  </si>
  <si>
    <t>01a018ec-e9c1-7285-8c8d-8f6ec60e257e</t>
  </si>
  <si>
    <t>Buy trade DE0008232125 LUFTHANSA AG VNA O.N., quantity: 6.35324</t>
  </si>
  <si>
    <t>edf8e741-d828-4e8f-852a-9fe291b77c51</t>
  </si>
  <si>
    <t>01a018fd-7c9f-7808-b9b3-70b803a9782c</t>
  </si>
  <si>
    <t>Buy trade AU000000DRO2 DRONESHIELD LTD, quantity: 4.323389</t>
  </si>
  <si>
    <t>0c599dfa-d3f7-47e2-b295-e73dd0862ed5</t>
  </si>
  <si>
    <t>01a01b92-1caf-79e0-9a3d-6f60e056d4d3</t>
  </si>
  <si>
    <t>Buy trade AU000000DRO2 DRONESHIELD LTD, quantity: 43.233895</t>
  </si>
  <si>
    <t>a6bcb10a-3438-4589-b205-351f303952d1</t>
  </si>
  <si>
    <t>01a01e85-6b70-746e-843a-aa306aab5c0b</t>
  </si>
  <si>
    <t>Buy trade AU000000DRO2 DRONESHIELD LTD, quantity: 64.624422</t>
  </si>
  <si>
    <t>a085a22c-2692-4aa1-b364-2dec2f123cd6</t>
  </si>
  <si>
    <t>Buy trade XF000XRP0018 XRP, quantity: 12.15292</t>
  </si>
  <si>
    <t>5f3ba52c-e81f-46b9-b8f8-475c74a6235a</t>
  </si>
  <si>
    <t>01a022e4-8f4c-7769-845b-724b16a6969e</t>
  </si>
  <si>
    <t>Buy trade AU000000DRO2 DRONESHIELD LTD, quantity: 29.398663</t>
  </si>
  <si>
    <t>dc908105-bc72-4289-bad8-d326a46ed6b8</t>
  </si>
  <si>
    <t>01a033bc-79f7-70b3-9d6f-4266773e6917</t>
  </si>
  <si>
    <t>MSCI World Consumer Staples USD (Acc)</t>
  </si>
  <si>
    <t>IE00BM67HN09</t>
  </si>
  <si>
    <t>Buy trade IE00BM67HN09 Xtrackers (IE) Plc - Xtrackers MSCI World Consumer Staples UCITS ETF 1C, quantity: 8.333333</t>
  </si>
  <si>
    <t>e12245ee-66e8-46a1-b6f1-14a48d89a8fd</t>
  </si>
  <si>
    <t>01a03c98-f490-759d-b57f-71a2579f75be</t>
  </si>
  <si>
    <t>Buy trade AU000000DRO2 DRONESHIELD LTD, quantity: 46.104195</t>
  </si>
  <si>
    <t>cebfd72c-1354-409f-967f-4132b08561d1</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</si>
  <si>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</si>
  <si>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</si>
  <si>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</si>
  <si>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</si>
  <si>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</si>
  <si>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</si>
  <si>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</si>
  <si>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</si>
  <si>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</si>
  <si>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</si>
  <si>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</si>
  <si>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</si>
  <si>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</si>
  <si>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</si>
  <si>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</si>
  <si>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</si>
  <si>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</si>
  <si>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</si>
  <si>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</si>
  <si>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</si>
  <si>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</si>
  <si>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</si>
  <si>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</si>
  <si>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</si>
  <si>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</si>
  <si>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</si>
  <si>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</si>
  <si>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</si>
  <si>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</si>
  <si>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</si>
  <si>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</si>
  <si>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</si>
  <si>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</si>
  <si>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</si>
  <si>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</si>
  <si>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</si>
  <si>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</si>
  <si>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</si>
  <si>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</si>
  <si>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</si>
  <si>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</si>
  <si>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</si>
  <si>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</si>
  <si>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</si>
  <si>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</si>
  <si>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</si>
  <si>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</si>
  <si>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</si>
  <si>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</si>
  <si>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</si>
  <si>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</si>
  <si>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</si>
  <si>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</si>
  <si>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</si>
  <si>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</si>
  <si>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</si>
  <si>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</si>
  <si>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</si>
  <si>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</si>
  <si>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</si>
  <si>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</si>
  <si>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</si>
  <si>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</si>
  <si>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</si>
  <si>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</si>
  <si>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</si>
  <si>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</si>
  <si>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</si>
  <si>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</si>
  <si>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</si>
  <si>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</si>
  <si>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</si>
  <si>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</si>
  <si>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</si>
  <si>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</si>
  <si>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</si>
  <si>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</si>
  <si>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</si>
  <si>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</si>
  <si>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</si>
  <si>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</si>
  <si>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</si>
  <si>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</si>
  <si>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</si>
  <si>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</si>
  <si>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</si>
  <si>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</si>
  <si>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</si>
  <si>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</si>
  <si>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</si>
  <si>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</si>
  <si>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</si>
  <si>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</si>
  <si>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</si>
  <si>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</si>
  <si>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</si>
  <si>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</si>
  <si>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</si>
  <si>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</si>
  <si>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</si>
  <si>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</si>
  <si>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</si>
  <si>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</si>
  <si>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</si>
  <si>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</si>
  <si>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</si>
  <si>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</si>
  <si>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</si>
  <si>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</si>
  <si>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</si>
  <si>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</si>
  <si>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</si>
  <si>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</si>
  <si>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</si>
  <si>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</si>
  <si>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</si>
  <si>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</si>
  <si>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</si>
  <si>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</si>
  <si>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</si>
  <si>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</si>
  <si>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</si>
  <si>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</si>
  <si>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</si>
  <si>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</si>
  <si>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</si>
  <si>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</si>
  <si>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</si>
  <si>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</si>
  <si>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</si>
  <si>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</si>
  <si>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</si>
  <si>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</si>
  <si>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</si>
  <si>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</si>
  <si>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</si>
  <si>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</si>
  <si>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</si>
  <si>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</si>
  <si>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</si>
  <si>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</si>
  <si>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</si>
  <si>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</si>
  <si>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</si>
  <si>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</si>
  <si>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</si>
  <si>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</si>
  <si>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</si>
  <si>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</si>
  <si>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01a05fd1-594d-7475-88a2-6f77725e5253</t>
  </si>
  <si>
    <t>Savings plan execution IE00BM67HK77 Xtrackers (IE) Plc - Xtrackers MSCI World Health Care UCITS ETF 1C, quantity: 0.907441</t>
  </si>
  <si>
    <t>2d8c0e21-1c74-476a-8350-201be9299b33</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</si>
  <si>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</si>
  <si>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</si>
  <si>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</si>
  <si>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</si>
  <si>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</si>
  <si>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</si>
  <si>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</si>
  <si>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</si>
  <si>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</si>
  <si>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</si>
  <si>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</si>
  <si>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</si>
  <si>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01a0a457-f711-7528-a506-b472a6060076</t>
  </si>
  <si>
    <t>Buy trade AU000000DRO2 DRONESHIELD LTD, quantity: 50</t>
  </si>
  <si>
    <t>507dc903-6fc3-4a95-9113-dc132feed07c</t>
  </si>
  <si>
    <t>01a0a593-dcfe-701d-a3d1-67923c602d99</t>
  </si>
  <si>
    <t>Buy trade IE0003XW12I8 HANetf II ICAV - Defiance Drone UCITS ETF - Accumulating, quantity: 10.483279</t>
  </si>
  <si>
    <t>d749894e-af0c-4498-aa23-6d4415060525</t>
  </si>
  <si>
    <t>Sell trade XF000SOL0012 Solana, quantity: 8.104124</t>
  </si>
  <si>
    <t>15b8f77d-1ecd-4b40-bdb5-c0a0307e04dd</t>
  </si>
  <si>
    <t>01a0a8a2-a2c9-7a5b-9106-6efd0127cda6</t>
  </si>
  <si>
    <t>Buy trade US6541061031 NIKE INC CL B, quantity: 1</t>
  </si>
  <si>
    <t>4c10e4d4-c3bd-4c0e-a5cb-4d8cf37e97bd</t>
  </si>
  <si>
    <t>01a0a8f6-4cb5-7fd7-919f-202e94e555a0</t>
  </si>
  <si>
    <t>Anzahl Verkaufsorders</t>
  </si>
  <si>
    <t>Dogecoin</t>
  </si>
  <si>
    <t>DOGE</t>
  </si>
  <si>
    <t>Buy trade XF000SOL0012 Solana, quantity: 2</t>
  </si>
  <si>
    <t>fe2ca668-3606-4655-ace6-1a162ea3ae84</t>
  </si>
  <si>
    <t>01a0b2a4-9a4d-7fe1-9f09-a9a6cccceaf1</t>
  </si>
  <si>
    <t>01a0b2a2-fd71-7ced-bdfe-60b4eb8fa41a</t>
  </si>
  <si>
    <t>070248b2-ea86-4dca-828b-7f58de5ca36e</t>
  </si>
  <si>
    <t>01a0b2bf-02e7-7d27-9f04-784945ed84a8</t>
  </si>
  <si>
    <t>Buy trade XF000DOGE012 Dogecoin, quantity: 1356.024137</t>
  </si>
  <si>
    <t>ba6199c9-09f0-41b9-bf37-8b567694a32a</t>
  </si>
  <si>
    <t>(Leer)</t>
  </si>
  <si>
    <t>Gesamtergebnis</t>
  </si>
  <si>
    <t>Assets</t>
  </si>
  <si>
    <t>Aktueller Wert</t>
  </si>
  <si>
    <t>Einkaufswert</t>
  </si>
  <si>
    <t>G/V:</t>
  </si>
  <si>
    <t>Kurswert</t>
  </si>
  <si>
    <t>CRYPTO Ergebnis</t>
  </si>
  <si>
    <t>FUND Ergebnis</t>
  </si>
  <si>
    <t>STOCK Ergebnis</t>
  </si>
  <si>
    <t xml:space="preserve">Bestand </t>
  </si>
  <si>
    <t>Verkaufserlöse Gewinn/Verlust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</si>
</sst>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0">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cellXfs>
  <cellStyles count="2">
    <cellStyle name="Standard" xfId="0" builtinId="0"/>
    <cellStyle name="Währung" xfId="1" builtinId="4"/>
  </cellStyles>
  <dxfs count="147">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dLbl>
              <c:idx val="0"/>
              <c:layout>
                <c:manualLayout>
                  <c:x val="-0.10300257345880551"/>
                  <c:y val="-9.7109826589595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106-4142-BE23-5B37F030CEBC}"/>
                </c:ext>
              </c:extLst>
            </c:dLbl>
            <c:dLbl>
              <c:idx val="1"/>
              <c:layout>
                <c:manualLayout>
                  <c:x val="-6.7799807950835456E-2"/>
                  <c:y val="-0.1818882466281310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B106-4142-BE23-5B37F030CEBC}"/>
                </c:ext>
              </c:extLst>
            </c:dLbl>
            <c:dLbl>
              <c:idx val="2"/>
              <c:layout>
                <c:manualLayout>
                  <c:x val="-5.7502080532616348E-4"/>
                  <c:y val="-0.1356454720616570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106-4142-BE23-5B37F030CEBC}"/>
                </c:ext>
              </c:extLst>
            </c:dLbl>
            <c:dLbl>
              <c:idx val="3"/>
              <c:layout>
                <c:manualLayout>
                  <c:x val="2.4113180974329334E-2"/>
                  <c:y val="-0.1757225433526011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106-4142-BE23-5B37F030CEBC}"/>
                </c:ext>
              </c:extLst>
            </c:dLbl>
            <c:dLbl>
              <c:idx val="4"/>
              <c:layout>
                <c:manualLayout>
                  <c:x val="0.20305906151974906"/>
                  <c:y val="-0.1942196531791907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B106-4142-BE23-5B37F030CEBC}"/>
                </c:ext>
              </c:extLst>
            </c:dLbl>
            <c:dLbl>
              <c:idx val="5"/>
              <c:layout>
                <c:manualLayout>
                  <c:x val="0.27393780167722936"/>
                  <c:y val="-0.160308285163776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B106-4142-BE23-5B37F030CEBC}"/>
                </c:ext>
              </c:extLst>
            </c:dLbl>
            <c:dLbl>
              <c:idx val="6"/>
              <c:layout>
                <c:manualLayout>
                  <c:x val="3.1404493950451313E-2"/>
                  <c:y val="-0.2219653179190751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B106-4142-BE23-5B37F030CEBC}"/>
                </c:ext>
              </c:extLst>
            </c:dLbl>
            <c:dLbl>
              <c:idx val="7"/>
              <c:layout>
                <c:manualLayout>
                  <c:x val="-0.23953590679213885"/>
                  <c:y val="-0.1726396917148362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B106-4142-BE23-5B37F030CEBC}"/>
                </c:ext>
              </c:extLst>
            </c:dLbl>
            <c:dLbl>
              <c:idx val="8"/>
              <c:layout>
                <c:manualLayout>
                  <c:x val="0.24328347737020678"/>
                  <c:y val="-0.12639691714836224"/>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1-B106-4142-BE23-5B37F030CEBC}"/>
                </c:ext>
              </c:extLst>
            </c:dLbl>
            <c:dLbl>
              <c:idx val="9"/>
              <c:layout>
                <c:manualLayout>
                  <c:x val="0.15850959605659048"/>
                  <c:y val="-9.5568400770712908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106-4142-BE23-5B37F030CEBC}"/>
                </c:ext>
              </c:extLst>
            </c:dLbl>
            <c:dLbl>
              <c:idx val="10"/>
              <c:layout>
                <c:manualLayout>
                  <c:x val="0.13892058126880472"/>
                  <c:y val="-2.4654438426410571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106-4142-BE23-5B37F030CEBC}"/>
                </c:ext>
              </c:extLst>
            </c:dLbl>
            <c:dLbl>
              <c:idx val="11"/>
              <c:layout>
                <c:manualLayout>
                  <c:x val="0.12588817617310022"/>
                  <c:y val="9.668660203601717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7-B106-4142-BE23-5B37F030CEBC}"/>
                </c:ext>
              </c:extLst>
            </c:dLbl>
            <c:dLbl>
              <c:idx val="12"/>
              <c:layout>
                <c:manualLayout>
                  <c:x val="0.19569185834246064"/>
                  <c:y val="5.464480874316939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9-B106-4142-BE23-5B37F030CEBC}"/>
                </c:ext>
              </c:extLst>
            </c:dLbl>
            <c:dLbl>
              <c:idx val="13"/>
              <c:layout>
                <c:manualLayout>
                  <c:x val="3.2128514056224897E-2"/>
                  <c:y val="0.1165755919854280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B-B106-4142-BE23-5B37F030CEBC}"/>
                </c:ext>
              </c:extLst>
            </c:dLbl>
            <c:dLbl>
              <c:idx val="14"/>
              <c:layout>
                <c:manualLayout>
                  <c:x val="-3.5049288061336309E-2"/>
                  <c:y val="0.13661202185792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D-B106-4142-BE23-5B37F030CEBC}"/>
                </c:ext>
              </c:extLst>
            </c:dLbl>
            <c:dLbl>
              <c:idx val="15"/>
              <c:layout>
                <c:manualLayout>
                  <c:x val="-0.19102777030919915"/>
                  <c:y val="0.13395245247523249"/>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F-B106-4142-BE23-5B37F030CEBC}"/>
                </c:ext>
              </c:extLst>
            </c:dLbl>
            <c:dLbl>
              <c:idx val="16"/>
              <c:layout>
                <c:manualLayout>
                  <c:x val="-0.20818016772293707"/>
                  <c:y val="0.1238658231304899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1-B106-4142-BE23-5B37F030CEBC}"/>
                </c:ext>
              </c:extLst>
            </c:dLbl>
            <c:dLbl>
              <c:idx val="17"/>
              <c:layout>
                <c:manualLayout>
                  <c:x val="-0.20005254465143077"/>
                  <c:y val="8.6597787993263842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3-B106-4142-BE23-5B37F030CEBC}"/>
                </c:ext>
              </c:extLst>
            </c:dLbl>
            <c:dLbl>
              <c:idx val="18"/>
              <c:layout>
                <c:manualLayout>
                  <c:x val="-0.16762716855515011"/>
                  <c:y val="5.3949903660886207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5-B106-4142-BE23-5B37F030CEBC}"/>
                </c:ext>
              </c:extLst>
            </c:dLbl>
            <c:dLbl>
              <c:idx val="19"/>
              <c:layout>
                <c:manualLayout>
                  <c:x val="-0.1497248063504257"/>
                  <c:y val="1.078998073217726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7-B106-4142-BE23-5B37F030CEBC}"/>
                </c:ext>
              </c:extLst>
            </c:dLbl>
            <c:dLbl>
              <c:idx val="20"/>
              <c:layout>
                <c:manualLayout>
                  <c:x val="-0.14078674948240166"/>
                  <c:y val="-3.8535645472061654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9-B106-4142-BE23-5B37F030CEBC}"/>
                </c:ext>
              </c:extLst>
            </c:dLbl>
            <c:dLbl>
              <c:idx val="21"/>
              <c:layout>
                <c:manualLayout>
                  <c:x val="-0.13526566221475836"/>
                  <c:y val="-0.1171483622350675"/>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B-B106-4142-BE23-5B37F030CEBC}"/>
                </c:ext>
              </c:extLst>
            </c:dLbl>
            <c:dLbl>
              <c:idx val="22"/>
              <c:layout>
                <c:manualLayout>
                  <c:x val="-0.13526570048309183"/>
                  <c:y val="-0.16030828516377651"/>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D-B106-4142-BE23-5B37F030CEBC}"/>
                </c:ext>
              </c:extLst>
            </c:dLbl>
            <c:dLbl>
              <c:idx val="23"/>
              <c:layout>
                <c:manualLayout>
                  <c:x val="-0.13813241654652322"/>
                  <c:y val="-3.082851637764989E-3"/>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2F-B106-4142-BE23-5B37F030CEBC}"/>
                </c:ext>
              </c:extLst>
            </c:dLbl>
            <c:dLbl>
              <c:idx val="24"/>
              <c:layout>
                <c:manualLayout>
                  <c:x val="-0.15971771333461365"/>
                  <c:y val="-0.18959537572254337"/>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1-B106-4142-BE23-5B37F030CEBC}"/>
                </c:ext>
              </c:extLst>
            </c:dLbl>
            <c:dLbl>
              <c:idx val="25"/>
              <c:layout>
                <c:manualLayout>
                  <c:x val="-0.16517231931374432"/>
                  <c:y val="-0.2096339113680154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3-B106-4142-BE23-5B37F030CEBC}"/>
                </c:ext>
              </c:extLst>
            </c:dLbl>
            <c:dLbl>
              <c:idx val="26"/>
              <c:layout>
                <c:manualLayout>
                  <c:x val="-0.13502910185007361"/>
                  <c:y val="-9.7109826589595369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5-B106-4142-BE23-5B37F030CEBC}"/>
                </c:ext>
              </c:extLst>
            </c:dLbl>
            <c:dLbl>
              <c:idx val="27"/>
              <c:layout>
                <c:manualLayout>
                  <c:x val="-0.30232594584213557"/>
                  <c:y val="-0.1911368015414258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7-B106-4142-BE23-5B37F030CEBC}"/>
                </c:ext>
              </c:extLst>
            </c:dLbl>
            <c:dLbl>
              <c:idx val="28"/>
              <c:layout>
                <c:manualLayout>
                  <c:x val="-0.14078674948240166"/>
                  <c:y val="-7.8612716763005783E-2"/>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9-B106-4142-BE23-5B37F030CEBC}"/>
                </c:ext>
              </c:extLst>
            </c:dLbl>
            <c:dLbl>
              <c:idx val="29"/>
              <c:layout>
                <c:manualLayout>
                  <c:x val="-0.23269742013955572"/>
                  <c:y val="-0.17229365982431386"/>
                </c:manualLayout>
              </c:layou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3B-B106-4142-BE23-5B37F030CEB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Pivot!$A$14:$A$47</c:f>
              <c:multiLvlStrCache>
                <c:ptCount val="30"/>
                <c:lvl>
                  <c:pt idx="0">
                    <c:v>Algorand</c:v>
                  </c:pt>
                  <c:pt idx="1">
                    <c:v>Cardano</c:v>
                  </c:pt>
                  <c:pt idx="2">
                    <c:v>Chainlink</c:v>
                  </c:pt>
                  <c:pt idx="3">
                    <c:v>Dogecoin</c:v>
                  </c:pt>
                  <c:pt idx="4">
                    <c:v>Polkadot</c:v>
                  </c:pt>
                  <c:pt idx="5">
                    <c:v>Polygon</c:v>
                  </c:pt>
                  <c:pt idx="6">
                    <c:v>Render</c:v>
                  </c:pt>
                  <c:pt idx="7">
                    <c:v>Solana</c:v>
                  </c:pt>
                  <c:pt idx="8">
                    <c:v>XRP</c:v>
                  </c:pt>
                  <c:pt idx="9">
                    <c:v>Core MSCI EM IMI USD (Acc)</c:v>
                  </c:pt>
                  <c:pt idx="10">
                    <c:v>Core MSCI World USD (Acc)</c:v>
                  </c:pt>
                  <c:pt idx="11">
                    <c:v>Core S&amp;P 500 USD (Acc)</c:v>
                  </c:pt>
                  <c:pt idx="12">
                    <c:v>Core Stoxx Europe 600 EUR (Acc)</c:v>
                  </c:pt>
                  <c:pt idx="13">
                    <c:v>Defense USD (Acc)</c:v>
                  </c:pt>
                  <c:pt idx="14">
                    <c:v>Drone USD (ACC)</c:v>
                  </c:pt>
                  <c:pt idx="15">
                    <c:v>MSCI Robotics &amp; AI ESG Screened EUR (Acc)</c:v>
                  </c:pt>
                  <c:pt idx="16">
                    <c:v>MSCI World Consumer Staples USD (Acc)</c:v>
                  </c:pt>
                  <c:pt idx="17">
                    <c:v>MSCI World Health Care USD (Acc)</c:v>
                  </c:pt>
                  <c:pt idx="18">
                    <c:v>New Energy EUR (Dist)</c:v>
                  </c:pt>
                  <c:pt idx="19">
                    <c:v>Quantum Computing USD (Acc)</c:v>
                  </c:pt>
                  <c:pt idx="20">
                    <c:v>Semiconductor USD (Acc)</c:v>
                  </c:pt>
                  <c:pt idx="21">
                    <c:v>Space Innovators USD (Acc)</c:v>
                  </c:pt>
                  <c:pt idx="22">
                    <c:v>Bayer</c:v>
                  </c:pt>
                  <c:pt idx="23">
                    <c:v>Deutsche Konsum REIT</c:v>
                  </c:pt>
                  <c:pt idx="24">
                    <c:v>DroneShield</c:v>
                  </c:pt>
                  <c:pt idx="25">
                    <c:v>D-Wave Quantum</c:v>
                  </c:pt>
                  <c:pt idx="26">
                    <c:v>Lufthansa</c:v>
                  </c:pt>
                  <c:pt idx="27">
                    <c:v>Netflix</c:v>
                  </c:pt>
                  <c:pt idx="28">
                    <c:v>Nike (B)</c:v>
                  </c:pt>
                  <c:pt idx="29">
                    <c:v>Uranium Energy</c:v>
                  </c:pt>
                </c:lvl>
                <c:lvl>
                  <c:pt idx="0">
                    <c:v>CRYPTO</c:v>
                  </c:pt>
                  <c:pt idx="9">
                    <c:v>FUND</c:v>
                  </c:pt>
                  <c:pt idx="22">
                    <c:v>STOCK</c:v>
                  </c:pt>
                </c:lvl>
              </c:multiLvlStrCache>
            </c:multiLvlStrRef>
          </c:cat>
          <c:val>
            <c:numRef>
              <c:f>Pivot!$B$14:$B$47</c:f>
              <c:numCache>
                <c:formatCode>_("€"* #,##0.00_);_("€"* \(#,##0.00\);_("€"* "-"??_);_(@_)</c:formatCode>
                <c:ptCount val="30"/>
                <c:pt idx="0">
                  <c:v>16.06683138795</c:v>
                </c:pt>
                <c:pt idx="1">
                  <c:v>156.06166414317499</c:v>
                </c:pt>
                <c:pt idx="2">
                  <c:v>285.70489829999997</c:v>
                </c:pt>
                <c:pt idx="3">
                  <c:v>113.590073884079</c:v>
                </c:pt>
                <c:pt idx="4">
                  <c:v>81.55691865899999</c:v>
                </c:pt>
                <c:pt idx="5">
                  <c:v>21.480625012725</c:v>
                </c:pt>
                <c:pt idx="6">
                  <c:v>40.586999999999996</c:v>
                </c:pt>
                <c:pt idx="7">
                  <c:v>306.99</c:v>
                </c:pt>
                <c:pt idx="8">
                  <c:v>262.88780985</c:v>
                </c:pt>
                <c:pt idx="9">
                  <c:v>704.15030078099994</c:v>
                </c:pt>
                <c:pt idx="10">
                  <c:v>1170.24670971</c:v>
                </c:pt>
                <c:pt idx="11">
                  <c:v>2093.6689299000004</c:v>
                </c:pt>
                <c:pt idx="12">
                  <c:v>738.56246799999997</c:v>
                </c:pt>
                <c:pt idx="13">
                  <c:v>374.76208236000002</c:v>
                </c:pt>
                <c:pt idx="14">
                  <c:v>513.68861179399994</c:v>
                </c:pt>
                <c:pt idx="15">
                  <c:v>917.58015488000001</c:v>
                </c:pt>
                <c:pt idx="16">
                  <c:v>393.33331759999999</c:v>
                </c:pt>
                <c:pt idx="17">
                  <c:v>514.07696344999999</c:v>
                </c:pt>
                <c:pt idx="18">
                  <c:v>353.02034564999997</c:v>
                </c:pt>
                <c:pt idx="19">
                  <c:v>387.80482790000002</c:v>
                </c:pt>
                <c:pt idx="20">
                  <c:v>731.08234612000001</c:v>
                </c:pt>
                <c:pt idx="21">
                  <c:v>426.10385544000002</c:v>
                </c:pt>
                <c:pt idx="22">
                  <c:v>28.787285579999967</c:v>
                </c:pt>
                <c:pt idx="23">
                  <c:v>41.85</c:v>
                </c:pt>
                <c:pt idx="24">
                  <c:v>729.96627335239987</c:v>
                </c:pt>
                <c:pt idx="25">
                  <c:v>491.63063887319993</c:v>
                </c:pt>
                <c:pt idx="26">
                  <c:v>229.44633042200002</c:v>
                </c:pt>
                <c:pt idx="27">
                  <c:v>452.65922188000002</c:v>
                </c:pt>
                <c:pt idx="28">
                  <c:v>214.64384844000003</c:v>
                </c:pt>
                <c:pt idx="29">
                  <c:v>517.82888760779997</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Pivot!$A$4:$A$8</c:f>
              <c:strCache>
                <c:ptCount val="4"/>
                <c:pt idx="0">
                  <c:v>CRYPTO</c:v>
                </c:pt>
                <c:pt idx="1">
                  <c:v>FUND</c:v>
                </c:pt>
                <c:pt idx="2">
                  <c:v>STOCK</c:v>
                </c:pt>
                <c:pt idx="3">
                  <c:v>(Leer)</c:v>
                </c:pt>
              </c:strCache>
            </c:strRef>
          </c:cat>
          <c:val>
            <c:numRef>
              <c:f>Pivot!$B$4:$B$8</c:f>
              <c:numCache>
                <c:formatCode>_("€"* #,##0.00_);_("€"* \(#,##0.00\);_("€"* "-"??_);_(@_)</c:formatCode>
                <c:ptCount val="4"/>
                <c:pt idx="0">
                  <c:v>1288.7400033209001</c:v>
                </c:pt>
                <c:pt idx="1">
                  <c:v>9150.1811199299991</c:v>
                </c:pt>
                <c:pt idx="2">
                  <c:v>3633.6654573699998</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Pivot!$A$4:$A$8</c:f>
              <c:strCache>
                <c:ptCount val="4"/>
                <c:pt idx="0">
                  <c:v>CRYPTO</c:v>
                </c:pt>
                <c:pt idx="1">
                  <c:v>FUND</c:v>
                </c:pt>
                <c:pt idx="2">
                  <c:v>STOCK</c:v>
                </c:pt>
                <c:pt idx="3">
                  <c:v>(Leer)</c:v>
                </c:pt>
              </c:strCache>
            </c:strRef>
          </c:cat>
          <c:val>
            <c:numRef>
              <c:f>Pivot!$C$4:$C$8</c:f>
              <c:numCache>
                <c:formatCode>_("€"* #,##0.00_);_("€"* \(#,##0.00\);_("€"* "-"??_);_(@_)</c:formatCode>
                <c:ptCount val="4"/>
                <c:pt idx="0">
                  <c:v>1284.9258212369289</c:v>
                </c:pt>
                <c:pt idx="1">
                  <c:v>9318.0809135850013</c:v>
                </c:pt>
                <c:pt idx="2">
                  <c:v>2706.8124861553997</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Pivot!$E$14:$E$18</c:f>
              <c:strCache>
                <c:ptCount val="4"/>
                <c:pt idx="0">
                  <c:v>CRYPTO</c:v>
                </c:pt>
                <c:pt idx="1">
                  <c:v>FUND</c:v>
                </c:pt>
                <c:pt idx="2">
                  <c:v>STOCK</c:v>
                </c:pt>
                <c:pt idx="3">
                  <c:v>(Leer)</c:v>
                </c:pt>
              </c:strCache>
            </c:strRef>
          </c:cat>
          <c:val>
            <c:numRef>
              <c:f>Pivot!$F$14:$F$18</c:f>
              <c:numCache>
                <c:formatCode>_("€"* #,##0.00_);_("€"* \(#,##0.00\);_("€"* "-"??_);_(@_)</c:formatCode>
                <c:ptCount val="4"/>
                <c:pt idx="0">
                  <c:v>1284.9258212369289</c:v>
                </c:pt>
                <c:pt idx="1">
                  <c:v>9318.0809135850013</c:v>
                </c:pt>
                <c:pt idx="2">
                  <c:v>2706.8124861553997</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0</xdr:colOff>
      <xdr:row>57</xdr:row>
      <xdr:rowOff>0</xdr:rowOff>
    </xdr:from>
    <xdr:to>
      <xdr:col>22</xdr:col>
      <xdr:colOff>307383</xdr:colOff>
      <xdr:row>70</xdr:row>
      <xdr:rowOff>89600</xdr:rowOff>
    </xdr:to>
    <mc:AlternateContent xmlns:mc="http://schemas.openxmlformats.org/markup-compatibility/2006" xmlns:a14="http://schemas.microsoft.com/office/drawing/2010/main">
      <mc:Choice Requires="a14">
        <xdr:graphicFrame macro="">
          <xdr:nvGraphicFramePr>
            <xdr:cNvPr id="8" name="Asset">
              <a:extLst>
                <a:ext uri="{FF2B5EF4-FFF2-40B4-BE49-F238E27FC236}">
                  <a16:creationId xmlns:a16="http://schemas.microsoft.com/office/drawing/2014/main" id="{70935F7D-1944-4FC9-871F-CE746398BC37}"/>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19040475" y="10858500"/>
              <a:ext cx="183138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22</xdr:col>
      <xdr:colOff>554871</xdr:colOff>
      <xdr:row>57</xdr:row>
      <xdr:rowOff>4359</xdr:rowOff>
    </xdr:from>
    <xdr:to>
      <xdr:col>25</xdr:col>
      <xdr:colOff>95734</xdr:colOff>
      <xdr:row>70</xdr:row>
      <xdr:rowOff>93959</xdr:rowOff>
    </xdr:to>
    <mc:AlternateContent xmlns:mc="http://schemas.openxmlformats.org/markup-compatibility/2006" xmlns:a14="http://schemas.microsoft.com/office/drawing/2010/main">
      <mc:Choice Requires="a14">
        <xdr:graphicFrame macro="">
          <xdr:nvGraphicFramePr>
            <xdr:cNvPr id="9" name="Klasse">
              <a:extLst>
                <a:ext uri="{FF2B5EF4-FFF2-40B4-BE49-F238E27FC236}">
                  <a16:creationId xmlns:a16="http://schemas.microsoft.com/office/drawing/2014/main" id="{2A46ECE5-2AF8-4A59-A9C6-837D75003DD9}"/>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1119346" y="10862859"/>
              <a:ext cx="1826863" cy="2566100"/>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14.072,59 €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13.309,82 €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-762,77 €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t> 1.163,77 €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t>401,01 €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t>339,56 €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t>61,45 €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13.309,82 €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0.396857523148" createdVersion="8" refreshedVersion="8" minRefreshableVersion="3" recordCount="62" xr:uid="{AECC3722-4F33-446B-9A76-E2824C46E9CC}">
  <cacheSource type="worksheet">
    <worksheetSource ref="A1:W1048576" sheet="Auswertung"/>
  </cacheSource>
  <cacheFields count="23">
    <cacheField name="Asset" numFmtId="0">
      <sharedItems containsBlank="1" count="62">
        <s v="Algorand"/>
        <s v="Bayer"/>
        <s v="BP"/>
        <s v="BTQ Technologies"/>
        <s v="BYD"/>
        <s v="Cardano"/>
        <s v="Centrotherm Photovoltaics"/>
        <s v="Chainlink"/>
        <s v="Core MSCI EM IMI USD (Acc)"/>
        <s v="Core MSCI World USD (Acc)"/>
        <s v="Core S&amp;P 500 USD (Acc)"/>
        <s v="Core Stoxx Europe 600 EUR (Acc)"/>
        <s v="DAX EUR (Acc)"/>
        <s v="Defense USD (Acc)"/>
        <s v="Deutsche Konsum REIT"/>
        <s v="Dogecoin"/>
        <s v="Draganfly"/>
        <s v="Drone USD (ACC)"/>
        <s v="DroneShield"/>
        <s v="D-Wave Quantum"/>
        <s v="Eco Oil &amp; Gas"/>
        <s v="Evotec"/>
        <s v="Hensoldt"/>
        <s v="Infineon Technologies"/>
        <s v="Lufthansa"/>
        <s v="Metaplanet"/>
        <s v="MSCI Robotics &amp; AI ESG Screened EUR (Acc)"/>
        <s v="MSCI World Consumer Staples USD (Acc)"/>
        <s v="MSCI World Health Care USD (Acc)"/>
        <s v="Netflix"/>
        <s v="New Energy EUR (Dist)"/>
        <s v="Nike (B)"/>
        <s v="NVIDIA"/>
        <s v="Palantir Technologies"/>
        <s v="Patterson-UTI Energy"/>
        <s v="Pfizer"/>
        <s v="Plug Power"/>
        <s v="Polkadot"/>
        <s v="Polygon"/>
        <s v="Quantum Computing USD (Acc)"/>
        <s v="Quantum eMotion"/>
        <s v="Red Cat"/>
        <s v="Render"/>
        <s v="RENK Group"/>
        <s v="RWE"/>
        <s v="Semiconductor USD (Acc)"/>
        <s v="Siemens Energy"/>
        <s v="Siltronic"/>
        <s v="Solana"/>
        <s v="Space Innovators USD (Acc)"/>
        <s v="TeamViewer"/>
        <s v="ThyssenKrupp"/>
        <s v="UiPath "/>
        <s v="Uranium Energy"/>
        <s v="Virgin Galactic"/>
        <s v="Volatus Aerospace"/>
        <s v="Voltabox"/>
        <s v="Vulcan Energy Resources"/>
        <s v="Wizz Air"/>
        <s v="WuXi Biologics"/>
        <s v="XRP"/>
        <m/>
      </sharedItems>
    </cacheField>
    <cacheField name="Klasse" numFmtId="0">
      <sharedItems containsBlank="1" count="4">
        <s v="CRYPTO"/>
        <s v="STOCK"/>
        <s v="FUND"/>
        <m/>
      </sharedItems>
    </cacheField>
    <cacheField name="Symbol" numFmtId="0">
      <sharedItems containsBlank="1"/>
    </cacheField>
    <cacheField name="Käufe Stück" numFmtId="0">
      <sharedItems containsString="0" containsBlank="1" containsNumber="1" minValue="1.009325" maxValue="1360.3733259999999"/>
    </cacheField>
    <cacheField name="Verkäufe Stück" numFmtId="0">
      <sharedItems containsString="0" containsBlank="1" containsNumber="1" minValue="0" maxValue="629.09074399999997"/>
    </cacheField>
    <cacheField name="Bestand" numFmtId="0">
      <sharedItems containsString="0" containsBlank="1" containsNumber="1" minValue="0" maxValue="1356.0241370000001"/>
    </cacheField>
    <cacheField name="Investiert €" numFmtId="164">
      <sharedItems containsString="0" containsBlank="1" containsNumber="1" minValue="17.8" maxValue="2590.2499999999995"/>
    </cacheField>
    <cacheField name="Verkauft €" numFmtId="164">
      <sharedItems containsString="0" containsBlank="1" containsNumber="1" minValue="0" maxValue="2118.5699999999997"/>
    </cacheField>
    <cacheField name="Gebühren €" numFmtId="164">
      <sharedItems containsString="0" containsBlank="1" containsNumber="1" containsInteger="1" minValue="1" maxValue="34"/>
    </cacheField>
    <cacheField name="Netto P&amp;L €" numFmtId="164">
      <sharedItems containsString="0" containsBlank="1" containsNumber="1" minValue="-1845.88" maxValue="96.949999999999932"/>
    </cacheField>
    <cacheField name="Status" numFmtId="0">
      <sharedItems containsBlank="1"/>
    </cacheField>
    <cacheField name="Einstandskurs €" numFmtId="0">
      <sharedItems containsString="0" containsBlank="1" containsNumber="1" minValue="0" maxValue="644.89"/>
    </cacheField>
    <cacheField name="Aktueller Kurs €" numFmtId="0">
      <sharedItems containsString="0" containsBlank="1" containsNumber="1" minValue="0" maxValue="731.46"/>
    </cacheField>
    <cacheField name="Aktuell nicht realisierte P&amp;L €" numFmtId="166">
      <sharedItems containsString="0" containsBlank="1" containsNumber="1" minValue="-407.17814165760001" maxValue="247.79060955000045"/>
    </cacheField>
    <cacheField name="Aktuelle Position €" numFmtId="164">
      <sharedItems containsString="0" containsBlank="1" containsNumber="1" minValue="0" maxValue="2093.6689299000004"/>
    </cacheField>
    <cacheField name="Aktuell Investiert €" numFmtId="164">
      <sharedItems containsString="0" containsBlank="1" containsNumber="1" minValue="0" maxValue="1845.87832035"/>
    </cacheField>
    <cacheField name="Aktuelle Rendite" numFmtId="10">
      <sharedItems containsString="0" containsBlank="1" containsNumber="1" minValue="-0.35807073954983926" maxValue="0.46969696969696972"/>
    </cacheField>
    <cacheField name="Realisierte P&amp;L Verkäufe €" numFmtId="164">
      <sharedItems containsString="0" containsBlank="1" containsNumber="1" minValue="-17.850000000000009" maxValue="229.51441501000022"/>
    </cacheField>
    <cacheField name="Investiertes Kapital Verkäufe €" numFmtId="164">
      <sharedItems containsString="0" containsBlank="1" containsNumber="1" minValue="0" maxValue="1889.83951591"/>
    </cacheField>
    <cacheField name="Anzahl Kauforders" numFmtId="4">
      <sharedItems containsString="0" containsBlank="1" containsNumber="1" containsInteger="1" minValue="1" maxValue="28"/>
    </cacheField>
    <cacheField name="Anzahl Verkaufsorders" numFmtId="4">
      <sharedItems containsString="0" containsBlank="1" containsNumber="1" containsInteger="1" minValue="0" maxValue="7"/>
    </cacheField>
    <cacheField name="Rendite Verkäufe" numFmtId="10">
      <sharedItems containsString="0" containsBlank="1" containsNumber="1" minValue="-0.15001260610135311" maxValue="0.51814814814814814"/>
    </cacheField>
    <cacheField name="Gesamte Rendite" numFmtId="10">
      <sharedItems containsString="0" containsBlank="1" containsNumber="1" minValue="-0.3284438091834912" maxValue="0.51814814814814814"/>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LGO"/>
    <n v="160.77442500000001"/>
    <n v="0"/>
    <n v="160.77442500000001"/>
    <n v="19"/>
    <n v="0"/>
    <n v="1"/>
    <n v="-20"/>
    <s v="OFFEN"/>
    <n v="0.1244"/>
    <n v="9.9933999999999995E-2"/>
    <n v="-3.9335070820499993"/>
    <n v="16.06683138795"/>
    <n v="20.000338469999999"/>
    <n v="-0.19667202572347264"/>
    <n v="0"/>
    <n v="0"/>
    <n v="1"/>
    <n v="0"/>
    <n v="0"/>
    <n v="-0.20700887431842108"/>
  </r>
  <r>
    <x v="1"/>
    <x v="1"/>
    <s v="DE000BAY0017"/>
    <n v="15.014427"/>
    <n v="14.432513"/>
    <n v="0.58191399999999938"/>
    <n v="555.97"/>
    <n v="660.92"/>
    <n v="8"/>
    <n v="96.949999999999932"/>
    <s v="OFFEN"/>
    <n v="33.659999999999997"/>
    <n v="49.47"/>
    <n v="9.2000603399999896"/>
    <n v="28.787285579999967"/>
    <n v="19.587225239999977"/>
    <n v="0.46969696969696972"/>
    <n v="117.1472252399999"/>
    <n v="544.38277476000007"/>
    <n v="5"/>
    <n v="3"/>
    <n v="0.21519274795505083"/>
    <n v="0.22615839987769112"/>
  </r>
  <r>
    <x v="2"/>
    <x v="1"/>
    <s v="GB0007980591"/>
    <n v="107.18673200000001"/>
    <n v="107.18673200000001"/>
    <n v="0"/>
    <n v="650"/>
    <n v="684.86"/>
    <n v="7"/>
    <n v="27.860000000000014"/>
    <s v="GESCHLOSSEN"/>
    <n v="0"/>
    <n v="0"/>
    <n v="0"/>
    <n v="0"/>
    <n v="0"/>
    <n v="0"/>
    <n v="31.260000000000012"/>
    <n v="657"/>
    <n v="4"/>
    <n v="3"/>
    <n v="4.7579908675799108E-2"/>
    <n v="4.2404870624048727E-2"/>
  </r>
  <r>
    <x v="3"/>
    <x v="1"/>
    <s v="CA0558691014"/>
    <n v="147.77105400000002"/>
    <n v="147.77105399999999"/>
    <n v="0"/>
    <n v="626"/>
    <n v="727.03"/>
    <n v="13"/>
    <n v="88.029999999999973"/>
    <s v="GESCHLOSSEN"/>
    <n v="0"/>
    <n v="0"/>
    <n v="0"/>
    <n v="0"/>
    <n v="0"/>
    <n v="0"/>
    <n v="88.029999999999973"/>
    <n v="639"/>
    <n v="12"/>
    <n v="1"/>
    <n v="0.13776212832550858"/>
    <n v="0.13776212832550858"/>
  </r>
  <r>
    <x v="4"/>
    <x v="1"/>
    <s v="CNE100000296"/>
    <n v="22.577082999999998"/>
    <n v="22.577083000000002"/>
    <n v="0"/>
    <n v="244"/>
    <n v="242.45999999999998"/>
    <n v="5"/>
    <n v="-6.5400000000000205"/>
    <s v="GESCHLOSSEN"/>
    <n v="0"/>
    <n v="0"/>
    <n v="0"/>
    <n v="0"/>
    <n v="0"/>
    <n v="0"/>
    <n v="-6.5400000000000205"/>
    <n v="249"/>
    <n v="3"/>
    <n v="2"/>
    <n v="-2.6265060240963936E-2"/>
    <n v="-2.6265060240963936E-2"/>
  </r>
  <r>
    <x v="5"/>
    <x v="0"/>
    <s v="ADA"/>
    <n v="714.061285"/>
    <n v="0"/>
    <n v="714.061285"/>
    <n v="178.99"/>
    <n v="0"/>
    <n v="5"/>
    <n v="-183.99"/>
    <s v="OFFEN"/>
    <n v="0.25800000000000001"/>
    <n v="0.218555"/>
    <n v="-28.166147386825003"/>
    <n v="156.06166414317499"/>
    <n v="184.22781153"/>
    <n v="-0.15288759689922482"/>
    <n v="0"/>
    <n v="0"/>
    <n v="5"/>
    <n v="0"/>
    <n v="0"/>
    <n v="-0.15603293958782621"/>
  </r>
  <r>
    <x v="6"/>
    <x v="1"/>
    <s v="DE000A1TNMM9"/>
    <n v="23.832335"/>
    <n v="23.832335"/>
    <n v="0"/>
    <n v="199"/>
    <n v="252.62"/>
    <n v="3"/>
    <n v="50.620000000000005"/>
    <s v="GESCHLOSSEN"/>
    <n v="0"/>
    <n v="0"/>
    <n v="0"/>
    <n v="0"/>
    <n v="0"/>
    <n v="0"/>
    <n v="50.620000000000005"/>
    <n v="202"/>
    <n v="1"/>
    <n v="2"/>
    <n v="0.25059405940594059"/>
    <n v="0.25059405940594059"/>
  </r>
  <r>
    <x v="7"/>
    <x v="0"/>
    <s v="LINK"/>
    <n v="24.110118"/>
    <n v="0"/>
    <n v="24.110118"/>
    <n v="243"/>
    <n v="0"/>
    <n v="5"/>
    <n v="-248"/>
    <s v="OFFEN"/>
    <n v="10.29"/>
    <n v="11.85"/>
    <n v="37.611784079999978"/>
    <n v="285.70489829999997"/>
    <n v="248.09311421999999"/>
    <n v="0.15160349854227398"/>
    <n v="0"/>
    <n v="0"/>
    <n v="5"/>
    <n v="0"/>
    <n v="0"/>
    <n v="0.15516419053497929"/>
  </r>
  <r>
    <x v="8"/>
    <x v="2"/>
    <s v="IE00BKM4GZ66"/>
    <n v="14.461017"/>
    <n v="0"/>
    <n v="14.461017"/>
    <n v="698.08"/>
    <n v="0"/>
    <n v="1"/>
    <n v="-699.08"/>
    <s v="OFFEN"/>
    <n v="48.34"/>
    <n v="48.692999999999998"/>
    <n v="5.1047390009998708"/>
    <n v="704.15030078099994"/>
    <n v="699.04556178000007"/>
    <n v="7.302441042614626E-3"/>
    <n v="0"/>
    <n v="0"/>
    <n v="1"/>
    <n v="0"/>
    <n v="0"/>
    <n v="7.2632087740658671E-3"/>
  </r>
  <r>
    <x v="9"/>
    <x v="2"/>
    <s v="IE00B4L5Y983"/>
    <n v="9.0643020000000014"/>
    <n v="0"/>
    <n v="9.0643020000000014"/>
    <n v="1049.99"/>
    <n v="0"/>
    <n v="7"/>
    <n v="-1056.99"/>
    <s v="OFFEN"/>
    <n v="116.61"/>
    <n v="129.10499999999999"/>
    <n v="113.25845348999974"/>
    <n v="1170.24670971"/>
    <n v="1056.9882562200003"/>
    <n v="0.1071520452791353"/>
    <n v="0"/>
    <n v="0"/>
    <n v="7"/>
    <n v="0"/>
    <n v="0"/>
    <n v="0.10786456033866988"/>
  </r>
  <r>
    <x v="10"/>
    <x v="2"/>
    <s v="IE00B5BMR087"/>
    <n v="2.8623150000000002"/>
    <n v="0"/>
    <n v="2.8623150000000002"/>
    <n v="1837.88"/>
    <n v="0"/>
    <n v="8"/>
    <n v="-1845.88"/>
    <s v="OFFEN"/>
    <n v="644.89"/>
    <n v="731.46"/>
    <n v="247.79060955000045"/>
    <n v="2093.6689299000004"/>
    <n v="1845.87832035"/>
    <n v="0.13423994789809141"/>
    <n v="0"/>
    <n v="0"/>
    <n v="8"/>
    <n v="0"/>
    <n v="0"/>
    <n v="0.13482323650075104"/>
  </r>
  <r>
    <x v="11"/>
    <x v="2"/>
    <s v="LU0908500753"/>
    <n v="2.3372229999999998"/>
    <n v="0"/>
    <n v="2.3372229999999998"/>
    <n v="703.81"/>
    <n v="0"/>
    <n v="3"/>
    <n v="-706.81"/>
    <s v="OFFEN"/>
    <n v="302.41000000000003"/>
    <n v="316"/>
    <n v="31.76286056999993"/>
    <n v="738.56246799999997"/>
    <n v="706.79960743000004"/>
    <n v="4.4938990112760722E-2"/>
    <n v="0"/>
    <n v="0"/>
    <n v="3"/>
    <n v="0"/>
    <n v="0"/>
    <n v="4.5115113453915154E-2"/>
  </r>
  <r>
    <x v="12"/>
    <x v="2"/>
    <s v="LU0274211480"/>
    <n v="2.2190669999999999"/>
    <n v="2.2190669999999999"/>
    <n v="0"/>
    <n v="500"/>
    <n v="506.61"/>
    <n v="3"/>
    <n v="3.6100000000000136"/>
    <s v="GESCHLOSSEN"/>
    <n v="0"/>
    <n v="0"/>
    <n v="0"/>
    <n v="0"/>
    <n v="0"/>
    <n v="0"/>
    <n v="3.6100000000000136"/>
    <n v="503"/>
    <n v="2"/>
    <n v="1"/>
    <n v="7.1769383697813391E-3"/>
    <n v="7.1769383697813391E-3"/>
  </r>
  <r>
    <x v="13"/>
    <x v="2"/>
    <s v="IE000YYE6WK5"/>
    <n v="7.1821020000000004"/>
    <n v="0"/>
    <n v="7.1821020000000004"/>
    <n v="399.98999999999995"/>
    <n v="0"/>
    <n v="3"/>
    <n v="-402.98999999999995"/>
    <s v="OFFEN"/>
    <n v="56.11"/>
    <n v="52.18"/>
    <n v="-28.225660860000005"/>
    <n v="374.76208236000002"/>
    <n v="402.98774322000003"/>
    <n v="-7.0040990910711115E-2"/>
    <n v="0"/>
    <n v="0"/>
    <n v="3"/>
    <n v="0"/>
    <n v="0"/>
    <n v="-7.0571558388959552E-2"/>
  </r>
  <r>
    <x v="14"/>
    <x v="1"/>
    <s v="DE000A14KRD3"/>
    <n v="30"/>
    <n v="0"/>
    <n v="30"/>
    <n v="56.55"/>
    <n v="0"/>
    <n v="1"/>
    <n v="-57.55"/>
    <s v="OFFEN"/>
    <n v="1.9179999999999999"/>
    <n v="1.395"/>
    <n v="-15.689999999999998"/>
    <n v="41.85"/>
    <n v="57.54"/>
    <n v="-0.27267987486965584"/>
    <n v="0"/>
    <n v="0"/>
    <n v="1"/>
    <n v="0"/>
    <n v="0"/>
    <n v="-0.27763041556144996"/>
  </r>
  <r>
    <x v="15"/>
    <x v="0"/>
    <s v="DOGE"/>
    <n v="1356.0241370000001"/>
    <n v="0"/>
    <n v="1356.0241370000001"/>
    <n v="100"/>
    <n v="0"/>
    <n v="1"/>
    <n v="-101"/>
    <s v="OFFEN"/>
    <n v="7.4499999999999997E-2"/>
    <n v="8.3766999999999994E-2"/>
    <n v="12.566275677579"/>
    <n v="113.590073884079"/>
    <n v="101.0237982065"/>
    <n v="0.12438926174496644"/>
    <n v="0"/>
    <n v="0"/>
    <n v="1"/>
    <n v="0"/>
    <n v="0"/>
    <n v="0.12590073884079003"/>
  </r>
  <r>
    <x v="16"/>
    <x v="1"/>
    <s v="CA26142Q3044"/>
    <n v="14.905659999999999"/>
    <n v="14.905659999999999"/>
    <n v="0"/>
    <n v="79"/>
    <n v="122.97"/>
    <n v="2"/>
    <n v="41.97"/>
    <s v="GESCHLOSSEN"/>
    <n v="0"/>
    <n v="0"/>
    <n v="0"/>
    <n v="0"/>
    <n v="0"/>
    <n v="0"/>
    <n v="41.97"/>
    <n v="81"/>
    <n v="1"/>
    <n v="1"/>
    <n v="0.51814814814814814"/>
    <n v="0.51814814814814814"/>
  </r>
  <r>
    <x v="17"/>
    <x v="2"/>
    <s v="IE0003XW12I8"/>
    <n v="102.799402"/>
    <n v="0"/>
    <n v="102.799402"/>
    <n v="649.91"/>
    <n v="0"/>
    <n v="8"/>
    <n v="-657.91"/>
    <s v="OFFEN"/>
    <n v="6.4"/>
    <n v="4.9969999999999999"/>
    <n v="-144.22756100600009"/>
    <n v="513.68861179399994"/>
    <n v="657.91617280000003"/>
    <n v="-0.21921875000000013"/>
    <n v="0"/>
    <n v="0"/>
    <n v="8"/>
    <n v="0"/>
    <n v="0"/>
    <n v="-0.22190978474865755"/>
  </r>
  <r>
    <x v="18"/>
    <x v="1"/>
    <s v="AU000000DRO2"/>
    <n v="1360.3733259999999"/>
    <n v="629.09074399999997"/>
    <n v="731.28258199999993"/>
    <n v="2590.2499999999995"/>
    <n v="1716.62"/>
    <n v="34"/>
    <n v="-907.62999999999965"/>
    <s v="OFFEN"/>
    <n v="1.5549999999999999"/>
    <n v="0.99819999999999998"/>
    <n v="-407.17814165760001"/>
    <n v="729.96627335239987"/>
    <n v="1137.1444150099999"/>
    <n v="-0.35807073954983926"/>
    <n v="229.51441501000022"/>
    <n v="1487.1055849899997"/>
    <n v="28"/>
    <n v="6"/>
    <n v="0.15433632778101875"/>
    <n v="-6.8589412854975232E-2"/>
  </r>
  <r>
    <x v="19"/>
    <x v="1"/>
    <s v="US26740W1099"/>
    <n v="132.787488"/>
    <n v="100.459531"/>
    <n v="32.327956999999998"/>
    <n v="2521.36"/>
    <n v="2118.5699999999997"/>
    <n v="27"/>
    <n v="-429.79000000000042"/>
    <s v="OFFEN"/>
    <n v="20.37"/>
    <n v="15.207599999999999"/>
    <n v="-166.88984521680004"/>
    <n v="491.63063887319993"/>
    <n v="658.52048408999997"/>
    <n v="-0.25343151693667165"/>
    <n v="228.73048408999966"/>
    <n v="1889.83951591"/>
    <n v="20"/>
    <n v="7"/>
    <n v="0.12103169722316914"/>
    <n v="2.4526699429355436E-2"/>
  </r>
  <r>
    <x v="20"/>
    <x v="1"/>
    <s v="CA27887W1005"/>
    <n v="531.45139600000005"/>
    <n v="531.45139600000005"/>
    <n v="0"/>
    <n v="349"/>
    <n v="371.71000000000004"/>
    <n v="5"/>
    <n v="17.710000000000036"/>
    <s v="GESCHLOSSEN"/>
    <n v="0"/>
    <n v="0"/>
    <n v="0"/>
    <n v="0"/>
    <n v="0"/>
    <n v="0"/>
    <n v="17.710000000000036"/>
    <n v="354"/>
    <n v="3"/>
    <n v="2"/>
    <n v="5.0028248587570726E-2"/>
    <n v="5.0028248587570726E-2"/>
  </r>
  <r>
    <x v="21"/>
    <x v="1"/>
    <s v="DE0005664809"/>
    <n v="18.553222999999999"/>
    <n v="18.553222999999999"/>
    <n v="0"/>
    <n v="99"/>
    <n v="119.14999999999999"/>
    <n v="2"/>
    <n v="18.149999999999991"/>
    <s v="GESCHLOSSEN"/>
    <n v="0"/>
    <n v="0"/>
    <n v="0"/>
    <n v="0"/>
    <n v="0"/>
    <n v="0"/>
    <n v="18.149999999999991"/>
    <n v="101"/>
    <n v="1"/>
    <n v="1"/>
    <n v="0.17970297029702961"/>
    <n v="0.17970297029702961"/>
  </r>
  <r>
    <x v="22"/>
    <x v="1"/>
    <s v="DE000HAG0005"/>
    <n v="1.009325"/>
    <n v="1.009325"/>
    <n v="0"/>
    <n v="92"/>
    <n v="103.7"/>
    <n v="3"/>
    <n v="8.7000000000000028"/>
    <s v="GESCHLOSSEN"/>
    <n v="0"/>
    <n v="0"/>
    <n v="0"/>
    <n v="0"/>
    <n v="0"/>
    <n v="0"/>
    <n v="8.7000000000000028"/>
    <n v="95"/>
    <n v="1"/>
    <n v="2"/>
    <n v="9.1578947368421079E-2"/>
    <n v="9.1578947368421079E-2"/>
  </r>
  <r>
    <x v="23"/>
    <x v="1"/>
    <s v="DE0006231004"/>
    <n v="1.8711989999999998"/>
    <n v="1.8711989999999998"/>
    <n v="0"/>
    <n v="60"/>
    <n v="64.16"/>
    <n v="2"/>
    <n v="2.1599999999999966"/>
    <s v="GESCHLOSSEN"/>
    <n v="0"/>
    <n v="0"/>
    <n v="0"/>
    <n v="0"/>
    <n v="0"/>
    <n v="0"/>
    <n v="2.1599999999999966"/>
    <n v="62"/>
    <n v="1"/>
    <n v="1"/>
    <n v="3.4838709677419297E-2"/>
    <n v="3.4838709677419297E-2"/>
  </r>
  <r>
    <x v="24"/>
    <x v="1"/>
    <s v="DE0008232125"/>
    <n v="56.051445000000001"/>
    <n v="26.322716"/>
    <n v="29.728729000000001"/>
    <n v="450"/>
    <n v="210.27"/>
    <n v="5"/>
    <n v="-244.73"/>
    <s v="OFFEN"/>
    <n v="8.51"/>
    <n v="7.718"/>
    <n v="-23.545153368000001"/>
    <n v="229.44633042200002"/>
    <n v="252.99148379000002"/>
    <n v="-9.3066980023501764E-2"/>
    <n v="8.2614837900000282"/>
    <n v="202.00851620999998"/>
    <n v="4"/>
    <n v="1"/>
    <n v="4.0896710420919677E-2"/>
    <n v="-3.396371017333321E-2"/>
  </r>
  <r>
    <x v="25"/>
    <x v="1"/>
    <s v="JP3481200008"/>
    <n v="39.442231"/>
    <n v="39.442231"/>
    <n v="0"/>
    <n v="99"/>
    <n v="116.35"/>
    <n v="2"/>
    <n v="15.349999999999994"/>
    <s v="GESCHLOSSEN"/>
    <n v="0"/>
    <n v="0"/>
    <n v="0"/>
    <n v="0"/>
    <n v="0"/>
    <n v="0"/>
    <n v="15.349999999999994"/>
    <n v="101"/>
    <n v="1"/>
    <n v="1"/>
    <n v="0.15198019801980192"/>
    <n v="0.15198019801980192"/>
  </r>
  <r>
    <x v="26"/>
    <x v="2"/>
    <s v="LU1861132840"/>
    <n v="6.0335359999999998"/>
    <n v="0"/>
    <n v="6.0335359999999998"/>
    <n v="766.99"/>
    <n v="0"/>
    <n v="3"/>
    <n v="-769.99"/>
    <s v="OFFEN"/>
    <n v="127.62"/>
    <n v="152.08000000000001"/>
    <n v="147.58029055999998"/>
    <n v="917.58015488000001"/>
    <n v="769.99986432000003"/>
    <n v="0.1916627487854568"/>
    <n v="0"/>
    <n v="0"/>
    <n v="3"/>
    <n v="0"/>
    <n v="0"/>
    <n v="0.19242774336040888"/>
  </r>
  <r>
    <x v="27"/>
    <x v="2"/>
    <s v="IE00BM67HN09"/>
    <n v="8.3333329999999997"/>
    <n v="0"/>
    <n v="8.3333329999999997"/>
    <n v="399.96"/>
    <n v="0"/>
    <n v="1"/>
    <n v="-400.96"/>
    <s v="OFFEN"/>
    <n v="48.12"/>
    <n v="47.2"/>
    <n v="-7.6666663599999652"/>
    <n v="393.33331759999999"/>
    <n v="400.99998395999995"/>
    <n v="-1.9118869492934246E-2"/>
    <n v="0"/>
    <n v="0"/>
    <n v="1"/>
    <n v="0"/>
    <n v="0"/>
    <n v="-1.9068612861286111E-2"/>
  </r>
  <r>
    <x v="28"/>
    <x v="2"/>
    <s v="IE00BM67HK77"/>
    <n v="9.423959"/>
    <n v="0"/>
    <n v="9.423959"/>
    <n v="500"/>
    <n v="0"/>
    <n v="1"/>
    <n v="-501"/>
    <s v="OFFEN"/>
    <n v="53.16"/>
    <n v="54.55"/>
    <n v="13.099303010000028"/>
    <n v="514.07696344999999"/>
    <n v="500.97766043999997"/>
    <n v="2.6147479307750247E-2"/>
    <n v="0"/>
    <n v="0"/>
    <n v="1"/>
    <n v="0"/>
    <n v="0"/>
    <n v="2.6153926899999989E-2"/>
  </r>
  <r>
    <x v="29"/>
    <x v="1"/>
    <s v="US64110L1061"/>
    <n v="7.1999240000000002"/>
    <n v="0"/>
    <n v="7.1999240000000002"/>
    <n v="527.53"/>
    <n v="0"/>
    <n v="6"/>
    <n v="-533.53"/>
    <s v="OFFEN"/>
    <n v="74.099999999999994"/>
    <n v="62.87"/>
    <n v="-80.855146519999948"/>
    <n v="452.65922188000002"/>
    <n v="533.51436839999997"/>
    <n v="-0.15155195681511463"/>
    <n v="0"/>
    <n v="0"/>
    <n v="6"/>
    <n v="0"/>
    <n v="0"/>
    <n v="-0.15330081345136762"/>
  </r>
  <r>
    <x v="30"/>
    <x v="2"/>
    <s v="FR0010524777"/>
    <n v="8.7359650000000002"/>
    <n v="0"/>
    <n v="8.7359650000000002"/>
    <n v="400.01"/>
    <n v="0"/>
    <n v="3"/>
    <n v="-403.01"/>
    <s v="OFFEN"/>
    <n v="46.13"/>
    <n v="40.409999999999997"/>
    <n v="-49.969719800000064"/>
    <n v="353.02034564999997"/>
    <n v="402.99006545000003"/>
    <n v="-0.1239973986559724"/>
    <n v="0"/>
    <n v="0"/>
    <n v="3"/>
    <n v="0"/>
    <n v="0"/>
    <n v="-0.12497101159971007"/>
  </r>
  <r>
    <x v="31"/>
    <x v="1"/>
    <s v="US6541061031"/>
    <n v="6.7689640000000004"/>
    <n v="0"/>
    <n v="6.7689640000000004"/>
    <n v="239.51"/>
    <n v="0"/>
    <n v="2"/>
    <n v="-241.51"/>
    <s v="OFFEN"/>
    <n v="35.68"/>
    <n v="31.71"/>
    <n v="-26.872787079999995"/>
    <n v="214.64384844000003"/>
    <n v="241.51663552000002"/>
    <n v="-0.11126681614349773"/>
    <n v="0"/>
    <n v="0"/>
    <n v="2"/>
    <n v="0"/>
    <n v="0"/>
    <n v="-0.11217131460064284"/>
  </r>
  <r>
    <x v="32"/>
    <x v="1"/>
    <s v="US67066G1040"/>
    <n v="1.3543989999999999"/>
    <n v="1.3543989999999999"/>
    <n v="0"/>
    <n v="196"/>
    <n v="205.19"/>
    <n v="4"/>
    <n v="5.1899999999999977"/>
    <s v="GESCHLOSSEN"/>
    <n v="0"/>
    <n v="0"/>
    <n v="0"/>
    <n v="0"/>
    <n v="0"/>
    <n v="0"/>
    <n v="5.1999999999999975"/>
    <n v="200"/>
    <n v="2"/>
    <n v="2"/>
    <n v="2.5999999999999988E-2"/>
    <n v="2.5949999999999987E-2"/>
  </r>
  <r>
    <x v="33"/>
    <x v="1"/>
    <s v="US69608A1088"/>
    <n v="1.052408"/>
    <n v="1.052408"/>
    <n v="0"/>
    <n v="149"/>
    <n v="161.5"/>
    <n v="2"/>
    <n v="10.5"/>
    <s v="GESCHLOSSEN"/>
    <n v="0"/>
    <n v="0"/>
    <n v="0"/>
    <n v="0"/>
    <n v="0"/>
    <n v="0"/>
    <n v="10.5"/>
    <n v="151"/>
    <n v="1"/>
    <n v="1"/>
    <n v="6.9536423841059597E-2"/>
    <n v="6.9536423841059597E-2"/>
  </r>
  <r>
    <x v="34"/>
    <x v="1"/>
    <s v="US7034811015"/>
    <n v="63.615581999999996"/>
    <n v="63.615581999999996"/>
    <n v="0"/>
    <n v="600"/>
    <n v="633.09999999999991"/>
    <n v="5"/>
    <n v="28.099999999999909"/>
    <s v="GESCHLOSSEN"/>
    <n v="0"/>
    <n v="0"/>
    <n v="0"/>
    <n v="0"/>
    <n v="0"/>
    <n v="0"/>
    <n v="28.099999999999909"/>
    <n v="605"/>
    <n v="3"/>
    <n v="2"/>
    <n v="4.6446280991735388E-2"/>
    <n v="4.6446280991735388E-2"/>
  </r>
  <r>
    <x v="35"/>
    <x v="1"/>
    <s v="US7170811035"/>
    <n v="9.0826519999999995"/>
    <n v="9.0826519999999995"/>
    <n v="0"/>
    <n v="200"/>
    <n v="202.27"/>
    <n v="2"/>
    <n v="0.27000000000001023"/>
    <s v="GESCHLOSSEN"/>
    <n v="0"/>
    <n v="0"/>
    <n v="0"/>
    <n v="0"/>
    <n v="0"/>
    <n v="0"/>
    <n v="0.27000000000001023"/>
    <n v="202"/>
    <n v="1"/>
    <n v="1"/>
    <n v="1.3366336633663873E-3"/>
    <n v="1.3366336633663873E-3"/>
  </r>
  <r>
    <x v="36"/>
    <x v="1"/>
    <s v="US72919P2020"/>
    <n v="99.269513000000003"/>
    <n v="99.269513000000003"/>
    <n v="0"/>
    <n v="268"/>
    <n v="279.45"/>
    <n v="5"/>
    <n v="6.4499999999999886"/>
    <s v="GESCHLOSSEN"/>
    <n v="0"/>
    <n v="0"/>
    <n v="0"/>
    <n v="0"/>
    <n v="0"/>
    <n v="0"/>
    <n v="6.4499999999999886"/>
    <n v="273"/>
    <n v="4"/>
    <n v="1"/>
    <n v="2.3626373626373584E-2"/>
    <n v="2.3626373626373584E-2"/>
  </r>
  <r>
    <x v="37"/>
    <x v="0"/>
    <s v="DOT"/>
    <n v="80.193626999999992"/>
    <n v="0"/>
    <n v="80.193626999999992"/>
    <n v="112.99"/>
    <n v="0"/>
    <n v="5"/>
    <n v="-117.99"/>
    <s v="OFFEN"/>
    <n v="1.4710000000000001"/>
    <n v="1.0169999999999999"/>
    <n v="-36.407906658000002"/>
    <n v="81.55691865899999"/>
    <n v="117.96482531699999"/>
    <n v="-0.3086335825968729"/>
    <n v="0"/>
    <n v="0"/>
    <n v="5"/>
    <n v="0"/>
    <n v="0"/>
    <n v="-0.32244518400743433"/>
  </r>
  <r>
    <x v="38"/>
    <x v="0"/>
    <s v="MATIC"/>
    <n v="223.93145699999999"/>
    <n v="0"/>
    <n v="223.93145699999999"/>
    <n v="23"/>
    <n v="0"/>
    <n v="1"/>
    <n v="-24"/>
    <s v="OFFEN"/>
    <n v="0.1072"/>
    <n v="9.5924999999999996E-2"/>
    <n v="-2.5248271776750002"/>
    <n v="21.480625012725"/>
    <n v="24.0054521904"/>
    <n v="-0.10517723880597016"/>
    <n v="0"/>
    <n v="0"/>
    <n v="1"/>
    <n v="0"/>
    <n v="0"/>
    <n v="-0.10953804292500002"/>
  </r>
  <r>
    <x v="39"/>
    <x v="2"/>
    <s v="IE0007Y8Y157"/>
    <n v="14.728630000000001"/>
    <n v="0"/>
    <n v="14.728630000000001"/>
    <n v="399.95"/>
    <n v="0"/>
    <n v="3"/>
    <n v="-402.95"/>
    <s v="OFFEN"/>
    <n v="27.36"/>
    <n v="26.33"/>
    <n v="-15.170488900000009"/>
    <n v="387.80482790000002"/>
    <n v="402.97531680000003"/>
    <n v="-3.7646198830409379E-2"/>
    <n v="0"/>
    <n v="0"/>
    <n v="3"/>
    <n v="0"/>
    <n v="0"/>
    <n v="-3.7867663707963413E-2"/>
  </r>
  <r>
    <x v="40"/>
    <x v="1"/>
    <s v="CA74767K1030"/>
    <n v="28.343948999999999"/>
    <n v="28.343948999999999"/>
    <n v="0"/>
    <n v="89"/>
    <n v="108.83999999999999"/>
    <n v="2"/>
    <n v="17.839999999999989"/>
    <s v="GESCHLOSSEN"/>
    <n v="0"/>
    <n v="0"/>
    <n v="0"/>
    <n v="0"/>
    <n v="0"/>
    <n v="0"/>
    <n v="17.839999999999989"/>
    <n v="91"/>
    <n v="1"/>
    <n v="1"/>
    <n v="0.19604395604395591"/>
    <n v="0.19604395604395591"/>
  </r>
  <r>
    <x v="41"/>
    <x v="1"/>
    <s v="US75644T1007"/>
    <n v="14.265129"/>
    <n v="14.265129"/>
    <n v="0"/>
    <n v="98.71"/>
    <n v="145.5"/>
    <n v="2"/>
    <n v="44.790000000000006"/>
    <s v="GESCHLOSSEN"/>
    <n v="0"/>
    <n v="0"/>
    <n v="0"/>
    <n v="0"/>
    <n v="0"/>
    <n v="0"/>
    <n v="44.790000000000006"/>
    <n v="100.71"/>
    <n v="1"/>
    <n v="1"/>
    <n v="0.4447423294608282"/>
    <n v="0.4447423294608282"/>
  </r>
  <r>
    <x v="42"/>
    <x v="0"/>
    <s v="XF0RENDER015"/>
    <n v="24.9"/>
    <n v="0"/>
    <n v="24.9"/>
    <n v="55.97"/>
    <n v="0"/>
    <n v="3"/>
    <n v="-58.97"/>
    <s v="OFFEN"/>
    <n v="2.37"/>
    <n v="1.63"/>
    <n v="-18.426000000000002"/>
    <n v="40.586999999999996"/>
    <n v="59.012999999999998"/>
    <n v="-0.31223628691983124"/>
    <n v="0"/>
    <n v="0"/>
    <n v="3"/>
    <n v="0"/>
    <n v="0"/>
    <n v="-0.3284438091834912"/>
  </r>
  <r>
    <x v="43"/>
    <x v="1"/>
    <s v="DE000RENK730"/>
    <n v="1.1348940000000001"/>
    <n v="1.1348940000000001"/>
    <n v="0"/>
    <n v="79"/>
    <n v="88.28"/>
    <n v="2"/>
    <n v="7.2800000000000011"/>
    <s v="GESCHLOSSEN"/>
    <n v="0"/>
    <n v="0"/>
    <n v="0"/>
    <n v="0"/>
    <n v="0"/>
    <n v="0"/>
    <n v="7.2800000000000011"/>
    <n v="81"/>
    <n v="1"/>
    <n v="1"/>
    <n v="8.9876543209876564E-2"/>
    <n v="8.9876543209876564E-2"/>
  </r>
  <r>
    <x v="44"/>
    <x v="1"/>
    <s v="DE0007037129"/>
    <n v="1.3683320000000001"/>
    <n v="1.3683320000000001"/>
    <n v="0"/>
    <n v="49"/>
    <n v="53.47"/>
    <n v="2"/>
    <n v="2.4699999999999989"/>
    <s v="GESCHLOSSEN"/>
    <n v="0"/>
    <n v="0"/>
    <n v="0"/>
    <n v="0"/>
    <n v="0"/>
    <n v="0"/>
    <n v="2.4699999999999989"/>
    <n v="51"/>
    <n v="1"/>
    <n v="1"/>
    <n v="4.8431372549019587E-2"/>
    <n v="4.8431372549019587E-2"/>
  </r>
  <r>
    <x v="45"/>
    <x v="2"/>
    <s v="IE00BMC38736"/>
    <n v="7.237006"/>
    <n v="0"/>
    <n v="7.237006"/>
    <n v="693.54"/>
    <n v="0"/>
    <n v="2"/>
    <n v="-695.54"/>
    <s v="OFFEN"/>
    <n v="96.11"/>
    <n v="101.02"/>
    <n v="35.53369945999998"/>
    <n v="731.08234612000001"/>
    <n v="695.54864666000003"/>
    <n v="5.1087295806887909E-2"/>
    <n v="0"/>
    <n v="0"/>
    <n v="2"/>
    <n v="0"/>
    <n v="0"/>
    <n v="5.1247723447818506E-2"/>
  </r>
  <r>
    <x v="46"/>
    <x v="1"/>
    <s v="DE000ENER6Y0"/>
    <n v="1.0174080000000001"/>
    <n v="1.0174080000000001"/>
    <n v="0"/>
    <n v="90"/>
    <n v="100.19"/>
    <n v="2"/>
    <n v="8.1899999999999977"/>
    <s v="GESCHLOSSEN"/>
    <n v="0"/>
    <n v="0"/>
    <n v="0"/>
    <n v="0"/>
    <n v="0"/>
    <n v="0"/>
    <n v="8.1899999999999977"/>
    <n v="92"/>
    <n v="1"/>
    <n v="1"/>
    <n v="8.9021739130434763E-2"/>
    <n v="8.9021739130434763E-2"/>
  </r>
  <r>
    <x v="47"/>
    <x v="1"/>
    <s v="DE000WAF3001"/>
    <n v="2"/>
    <n v="2"/>
    <n v="0"/>
    <n v="80"/>
    <n v="92.300000000000011"/>
    <n v="3"/>
    <n v="9.3000000000000114"/>
    <s v="GESCHLOSSEN"/>
    <n v="0"/>
    <n v="0"/>
    <n v="0"/>
    <n v="0"/>
    <n v="0"/>
    <n v="0"/>
    <n v="9.3000000000000114"/>
    <n v="83"/>
    <n v="1"/>
    <n v="2"/>
    <n v="0.11204819277108448"/>
    <n v="0.11204819277108448"/>
  </r>
  <r>
    <x v="48"/>
    <x v="0"/>
    <s v="SOL"/>
    <n v="12.108418"/>
    <n v="9.1084180000000003"/>
    <n v="3"/>
    <n v="1062.25"/>
    <n v="860.56000000000006"/>
    <n v="11"/>
    <n v="-212.68999999999994"/>
    <s v="OFFEN"/>
    <n v="92.65"/>
    <n v="102.33"/>
    <n v="29.039999999999964"/>
    <n v="306.99"/>
    <n v="277.95000000000005"/>
    <n v="0.10447922288181313"/>
    <n v="65.260000000000105"/>
    <n v="795.3"/>
    <n v="9"/>
    <n v="2"/>
    <n v="8.2057085376587582E-2"/>
    <n v="8.8773829136267524E-2"/>
  </r>
  <r>
    <x v="49"/>
    <x v="2"/>
    <s v="IE000YU9K6K2"/>
    <n v="5.9082619999999997"/>
    <n v="0"/>
    <n v="5.9082619999999997"/>
    <n v="600.06000000000006"/>
    <n v="0"/>
    <n v="7"/>
    <n v="-607.06000000000006"/>
    <s v="OFFEN"/>
    <n v="102.75"/>
    <n v="72.12"/>
    <n v="-180.97006505999997"/>
    <n v="426.10385544000002"/>
    <n v="607.07392049999999"/>
    <n v="-0.29810218978102188"/>
    <n v="0"/>
    <n v="0"/>
    <n v="7"/>
    <n v="0"/>
    <n v="0"/>
    <n v="-0.30156341792487423"/>
  </r>
  <r>
    <x v="50"/>
    <x v="1"/>
    <s v="DE000A2YN900"/>
    <n v="16.737109"/>
    <n v="16.737109"/>
    <n v="0"/>
    <n v="99"/>
    <n v="108.5"/>
    <n v="3"/>
    <n v="6.5"/>
    <s v="GESCHLOSSEN"/>
    <n v="0"/>
    <n v="0"/>
    <n v="0"/>
    <n v="0"/>
    <n v="0"/>
    <n v="0"/>
    <n v="6.5"/>
    <n v="102"/>
    <n v="1"/>
    <n v="2"/>
    <n v="6.3725490196078427E-2"/>
    <n v="6.3725490196078427E-2"/>
  </r>
  <r>
    <x v="51"/>
    <x v="1"/>
    <s v="DE0007500001"/>
    <n v="2.1868780000000001"/>
    <n v="2.1868780000000001"/>
    <n v="0"/>
    <n v="21.99"/>
    <n v="25.43"/>
    <n v="2"/>
    <n v="1.4400000000000013"/>
    <s v="GESCHLOSSEN"/>
    <n v="0"/>
    <n v="0"/>
    <n v="0"/>
    <n v="0"/>
    <n v="0"/>
    <n v="0"/>
    <n v="1.4400000000000013"/>
    <n v="23.99"/>
    <n v="1"/>
    <n v="1"/>
    <n v="6.0025010421008808E-2"/>
    <n v="6.0025010421008808E-2"/>
  </r>
  <r>
    <x v="52"/>
    <x v="1"/>
    <s v="US90364P1057"/>
    <n v="7.211239"/>
    <n v="7.211239"/>
    <n v="0"/>
    <n v="115.99000000000001"/>
    <n v="101.14"/>
    <n v="3"/>
    <n v="-17.850000000000009"/>
    <s v="GESCHLOSSEN"/>
    <n v="0"/>
    <n v="0"/>
    <n v="0"/>
    <n v="0"/>
    <n v="0"/>
    <n v="0"/>
    <n v="-17.850000000000009"/>
    <n v="118.99000000000001"/>
    <n v="1"/>
    <n v="2"/>
    <n v="-0.15001260610135311"/>
    <n v="-0.15001260610135311"/>
  </r>
  <r>
    <x v="53"/>
    <x v="1"/>
    <s v="US9168961038"/>
    <n v="62.851702000000003"/>
    <n v="0"/>
    <n v="62.851702000000003"/>
    <n v="725.98000000000013"/>
    <n v="0"/>
    <n v="7"/>
    <n v="-732.98000000000013"/>
    <s v="OFFEN"/>
    <n v="11.66"/>
    <n v="8.2388999999999992"/>
    <n v="-215.02195771220011"/>
    <n v="517.82888760779997"/>
    <n v="732.85084532000008"/>
    <n v="-0.29340480274442549"/>
    <n v="0"/>
    <n v="0"/>
    <n v="7"/>
    <n v="0"/>
    <n v="0"/>
    <n v="-0.29635955865478403"/>
  </r>
  <r>
    <x v="54"/>
    <x v="1"/>
    <s v="US92766K4031"/>
    <n v="63.734862"/>
    <n v="63.734862"/>
    <n v="0"/>
    <n v="200"/>
    <n v="281.63"/>
    <n v="3"/>
    <n v="78.63"/>
    <s v="GESCHLOSSEN"/>
    <n v="0"/>
    <n v="0"/>
    <n v="0"/>
    <n v="0"/>
    <n v="0"/>
    <n v="0"/>
    <n v="78.63"/>
    <n v="203"/>
    <n v="1"/>
    <n v="2"/>
    <n v="0.38733990147783248"/>
    <n v="0.38733990147783248"/>
  </r>
  <r>
    <x v="55"/>
    <x v="1"/>
    <s v="CA92865M1023"/>
    <n v="50"/>
    <n v="50"/>
    <n v="0"/>
    <n v="17.8"/>
    <n v="21.1"/>
    <n v="2"/>
    <n v="1.3000000000000007"/>
    <s v="GESCHLOSSEN"/>
    <n v="0"/>
    <n v="0"/>
    <n v="0"/>
    <n v="0"/>
    <n v="0"/>
    <n v="0"/>
    <n v="1.3000000000000007"/>
    <n v="19.8"/>
    <n v="1"/>
    <n v="1"/>
    <n v="6.5656565656565691E-2"/>
    <n v="6.5656565656565691E-2"/>
  </r>
  <r>
    <x v="56"/>
    <x v="1"/>
    <s v="DE000A2E4LE9"/>
    <n v="15.401785"/>
    <n v="15.401785"/>
    <n v="0"/>
    <n v="69"/>
    <n v="81.63"/>
    <n v="2"/>
    <n v="10.629999999999995"/>
    <s v="GESCHLOSSEN"/>
    <n v="0"/>
    <n v="0"/>
    <n v="0"/>
    <n v="0"/>
    <n v="0"/>
    <n v="0"/>
    <n v="10.629999999999995"/>
    <n v="71"/>
    <n v="1"/>
    <n v="1"/>
    <n v="0.14971830985915485"/>
    <n v="0.14971830985915485"/>
  </r>
  <r>
    <x v="57"/>
    <x v="1"/>
    <s v="AU0000066086"/>
    <n v="12.345679000000001"/>
    <n v="12.345679000000001"/>
    <n v="0"/>
    <n v="28"/>
    <n v="33.159999999999997"/>
    <n v="2"/>
    <n v="3.1599999999999966"/>
    <s v="GESCHLOSSEN"/>
    <n v="0"/>
    <n v="0"/>
    <n v="0"/>
    <n v="0"/>
    <n v="0"/>
    <n v="0"/>
    <n v="3.1599999999999966"/>
    <n v="30"/>
    <n v="1"/>
    <n v="1"/>
    <n v="0.10533333333333322"/>
    <n v="0.10533333333333322"/>
  </r>
  <r>
    <x v="58"/>
    <x v="1"/>
    <s v="JE00BN574F90"/>
    <n v="19.212295000000001"/>
    <n v="19.212295000000001"/>
    <n v="0"/>
    <n v="200"/>
    <n v="221.32999999999998"/>
    <n v="2"/>
    <n v="19.329999999999984"/>
    <s v="GESCHLOSSEN"/>
    <n v="0"/>
    <n v="0"/>
    <n v="0"/>
    <n v="0"/>
    <n v="0"/>
    <n v="0"/>
    <n v="19.329999999999984"/>
    <n v="202"/>
    <n v="1"/>
    <n v="1"/>
    <n v="9.5693069306930612E-2"/>
    <n v="9.5693069306930612E-2"/>
  </r>
  <r>
    <x v="59"/>
    <x v="1"/>
    <s v="KYG970081173"/>
    <n v="7.0017500000000004"/>
    <n v="7.0017500000000004"/>
    <n v="0"/>
    <n v="28"/>
    <n v="30.310000000000002"/>
    <n v="2"/>
    <n v="0.31000000000000227"/>
    <s v="GESCHLOSSEN"/>
    <n v="0"/>
    <n v="0"/>
    <n v="0"/>
    <n v="0"/>
    <n v="0"/>
    <n v="0"/>
    <n v="0.31000000000000227"/>
    <n v="30"/>
    <n v="1"/>
    <n v="1"/>
    <n v="1.033333333333341E-2"/>
    <n v="1.033333333333341E-2"/>
  </r>
  <r>
    <x v="60"/>
    <x v="0"/>
    <s v="XRP"/>
    <n v="194.73171099999999"/>
    <n v="0"/>
    <n v="194.73171099999999"/>
    <n v="247.45"/>
    <n v="0"/>
    <n v="9"/>
    <n v="-256.45"/>
    <s v="OFFEN"/>
    <n v="1.3169999999999999"/>
    <n v="1.35"/>
    <n v="6.4261464630000091"/>
    <n v="262.88780985"/>
    <n v="256.46166338699999"/>
    <n v="2.5056947608200493E-2"/>
    <n v="0"/>
    <n v="0"/>
    <n v="9"/>
    <n v="0"/>
    <n v="0"/>
    <n v="2.6016608809860609E-2"/>
  </r>
  <r>
    <x v="61"/>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1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111"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47" firstHeaderRow="1" firstDataRow="1" firstDataCol="1"/>
  <pivotFields count="23">
    <pivotField axis="axisRow" showAll="0"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34">
    <i>
      <x/>
    </i>
    <i r="1">
      <x/>
    </i>
    <i r="1">
      <x v="5"/>
    </i>
    <i r="1">
      <x v="7"/>
    </i>
    <i r="1">
      <x v="15"/>
    </i>
    <i r="1">
      <x v="37"/>
    </i>
    <i r="1">
      <x v="38"/>
    </i>
    <i r="1">
      <x v="42"/>
    </i>
    <i r="1">
      <x v="48"/>
    </i>
    <i r="1">
      <x v="60"/>
    </i>
    <i>
      <x v="1"/>
    </i>
    <i r="1">
      <x v="8"/>
    </i>
    <i r="1">
      <x v="9"/>
    </i>
    <i r="1">
      <x v="10"/>
    </i>
    <i r="1">
      <x v="11"/>
    </i>
    <i r="1">
      <x v="13"/>
    </i>
    <i r="1">
      <x v="17"/>
    </i>
    <i r="1">
      <x v="26"/>
    </i>
    <i r="1">
      <x v="27"/>
    </i>
    <i r="1">
      <x v="28"/>
    </i>
    <i r="1">
      <x v="30"/>
    </i>
    <i r="1">
      <x v="39"/>
    </i>
    <i r="1">
      <x v="45"/>
    </i>
    <i r="1">
      <x v="49"/>
    </i>
    <i>
      <x v="2"/>
    </i>
    <i r="1">
      <x v="1"/>
    </i>
    <i r="1">
      <x v="14"/>
    </i>
    <i r="1">
      <x v="18"/>
    </i>
    <i r="1">
      <x v="19"/>
    </i>
    <i r="1">
      <x v="24"/>
    </i>
    <i r="1">
      <x v="29"/>
    </i>
    <i r="1">
      <x v="31"/>
    </i>
    <i r="1">
      <x v="53"/>
    </i>
    <i t="grand">
      <x/>
    </i>
  </rowItems>
  <colItems count="1">
    <i/>
  </colItems>
  <dataFields count="1">
    <dataField name="Aktueller Wert" fld="14" baseField="0" baseItem="0" numFmtId="44"/>
  </dataFields>
  <chartFormats count="63">
    <chartFormat chart="5" format="64" series="1">
      <pivotArea type="data" outline="0" fieldPosition="0">
        <references count="1">
          <reference field="4294967294" count="1" selected="0">
            <x v="0"/>
          </reference>
        </references>
      </pivotArea>
    </chartFormat>
    <chartFormat chart="5" format="65">
      <pivotArea type="data" outline="0" fieldPosition="0">
        <references count="3">
          <reference field="4294967294" count="1" selected="0">
            <x v="0"/>
          </reference>
          <reference field="0" count="1" selected="0">
            <x v="0"/>
          </reference>
          <reference field="1" count="1" selected="0">
            <x v="0"/>
          </reference>
        </references>
      </pivotArea>
    </chartFormat>
    <chartFormat chart="5" format="66">
      <pivotArea type="data" outline="0" fieldPosition="0">
        <references count="3">
          <reference field="4294967294" count="1" selected="0">
            <x v="0"/>
          </reference>
          <reference field="0" count="1" selected="0">
            <x v="5"/>
          </reference>
          <reference field="1" count="1" selected="0">
            <x v="0"/>
          </reference>
        </references>
      </pivotArea>
    </chartFormat>
    <chartFormat chart="5" format="67">
      <pivotArea type="data" outline="0" fieldPosition="0">
        <references count="3">
          <reference field="4294967294" count="1" selected="0">
            <x v="0"/>
          </reference>
          <reference field="0" count="1" selected="0">
            <x v="7"/>
          </reference>
          <reference field="1" count="1" selected="0">
            <x v="0"/>
          </reference>
        </references>
      </pivotArea>
    </chartFormat>
    <chartFormat chart="5" format="68">
      <pivotArea type="data" outline="0" fieldPosition="0">
        <references count="3">
          <reference field="4294967294" count="1" selected="0">
            <x v="0"/>
          </reference>
          <reference field="0" count="1" selected="0">
            <x v="15"/>
          </reference>
          <reference field="1" count="1" selected="0">
            <x v="0"/>
          </reference>
        </references>
      </pivotArea>
    </chartFormat>
    <chartFormat chart="5" format="69">
      <pivotArea type="data" outline="0" fieldPosition="0">
        <references count="3">
          <reference field="4294967294" count="1" selected="0">
            <x v="0"/>
          </reference>
          <reference field="0" count="1" selected="0">
            <x v="37"/>
          </reference>
          <reference field="1" count="1" selected="0">
            <x v="0"/>
          </reference>
        </references>
      </pivotArea>
    </chartFormat>
    <chartFormat chart="5" format="70">
      <pivotArea type="data" outline="0" fieldPosition="0">
        <references count="3">
          <reference field="4294967294" count="1" selected="0">
            <x v="0"/>
          </reference>
          <reference field="0" count="1" selected="0">
            <x v="38"/>
          </reference>
          <reference field="1" count="1" selected="0">
            <x v="0"/>
          </reference>
        </references>
      </pivotArea>
    </chartFormat>
    <chartFormat chart="5" format="71">
      <pivotArea type="data" outline="0" fieldPosition="0">
        <references count="3">
          <reference field="4294967294" count="1" selected="0">
            <x v="0"/>
          </reference>
          <reference field="0" count="1" selected="0">
            <x v="42"/>
          </reference>
          <reference field="1" count="1" selected="0">
            <x v="0"/>
          </reference>
        </references>
      </pivotArea>
    </chartFormat>
    <chartFormat chart="5" format="72">
      <pivotArea type="data" outline="0" fieldPosition="0">
        <references count="3">
          <reference field="4294967294" count="1" selected="0">
            <x v="0"/>
          </reference>
          <reference field="0" count="1" selected="0">
            <x v="48"/>
          </reference>
          <reference field="1" count="1" selected="0">
            <x v="0"/>
          </reference>
        </references>
      </pivotArea>
    </chartFormat>
    <chartFormat chart="5" format="73">
      <pivotArea type="data" outline="0" fieldPosition="0">
        <references count="3">
          <reference field="4294967294" count="1" selected="0">
            <x v="0"/>
          </reference>
          <reference field="0" count="1" selected="0">
            <x v="60"/>
          </reference>
          <reference field="1" count="1" selected="0">
            <x v="0"/>
          </reference>
        </references>
      </pivotArea>
    </chartFormat>
    <chartFormat chart="5" format="74">
      <pivotArea type="data" outline="0" fieldPosition="0">
        <references count="3">
          <reference field="4294967294" count="1" selected="0">
            <x v="0"/>
          </reference>
          <reference field="0" count="1" selected="0">
            <x v="8"/>
          </reference>
          <reference field="1" count="1" selected="0">
            <x v="1"/>
          </reference>
        </references>
      </pivotArea>
    </chartFormat>
    <chartFormat chart="5" format="75">
      <pivotArea type="data" outline="0" fieldPosition="0">
        <references count="3">
          <reference field="4294967294" count="1" selected="0">
            <x v="0"/>
          </reference>
          <reference field="0" count="1" selected="0">
            <x v="9"/>
          </reference>
          <reference field="1" count="1" selected="0">
            <x v="1"/>
          </reference>
        </references>
      </pivotArea>
    </chartFormat>
    <chartFormat chart="5" format="76">
      <pivotArea type="data" outline="0" fieldPosition="0">
        <references count="3">
          <reference field="4294967294" count="1" selected="0">
            <x v="0"/>
          </reference>
          <reference field="0" count="1" selected="0">
            <x v="10"/>
          </reference>
          <reference field="1" count="1" selected="0">
            <x v="1"/>
          </reference>
        </references>
      </pivotArea>
    </chartFormat>
    <chartFormat chart="5" format="77">
      <pivotArea type="data" outline="0" fieldPosition="0">
        <references count="3">
          <reference field="4294967294" count="1" selected="0">
            <x v="0"/>
          </reference>
          <reference field="0" count="1" selected="0">
            <x v="11"/>
          </reference>
          <reference field="1" count="1" selected="0">
            <x v="1"/>
          </reference>
        </references>
      </pivotArea>
    </chartFormat>
    <chartFormat chart="5" format="78">
      <pivotArea type="data" outline="0" fieldPosition="0">
        <references count="3">
          <reference field="4294967294" count="1" selected="0">
            <x v="0"/>
          </reference>
          <reference field="0" count="1" selected="0">
            <x v="12"/>
          </reference>
          <reference field="1" count="1" selected="0">
            <x v="1"/>
          </reference>
        </references>
      </pivotArea>
    </chartFormat>
    <chartFormat chart="5" format="79">
      <pivotArea type="data" outline="0" fieldPosition="0">
        <references count="3">
          <reference field="4294967294" count="1" selected="0">
            <x v="0"/>
          </reference>
          <reference field="0" count="1" selected="0">
            <x v="13"/>
          </reference>
          <reference field="1" count="1" selected="0">
            <x v="1"/>
          </reference>
        </references>
      </pivotArea>
    </chartFormat>
    <chartFormat chart="5" format="80">
      <pivotArea type="data" outline="0" fieldPosition="0">
        <references count="3">
          <reference field="4294967294" count="1" selected="0">
            <x v="0"/>
          </reference>
          <reference field="0" count="1" selected="0">
            <x v="17"/>
          </reference>
          <reference field="1" count="1" selected="0">
            <x v="1"/>
          </reference>
        </references>
      </pivotArea>
    </chartFormat>
    <chartFormat chart="5" format="81">
      <pivotArea type="data" outline="0" fieldPosition="0">
        <references count="3">
          <reference field="4294967294" count="1" selected="0">
            <x v="0"/>
          </reference>
          <reference field="0" count="1" selected="0">
            <x v="26"/>
          </reference>
          <reference field="1" count="1" selected="0">
            <x v="1"/>
          </reference>
        </references>
      </pivotArea>
    </chartFormat>
    <chartFormat chart="5" format="82">
      <pivotArea type="data" outline="0" fieldPosition="0">
        <references count="3">
          <reference field="4294967294" count="1" selected="0">
            <x v="0"/>
          </reference>
          <reference field="0" count="1" selected="0">
            <x v="27"/>
          </reference>
          <reference field="1" count="1" selected="0">
            <x v="1"/>
          </reference>
        </references>
      </pivotArea>
    </chartFormat>
    <chartFormat chart="5" format="83">
      <pivotArea type="data" outline="0" fieldPosition="0">
        <references count="3">
          <reference field="4294967294" count="1" selected="0">
            <x v="0"/>
          </reference>
          <reference field="0" count="1" selected="0">
            <x v="28"/>
          </reference>
          <reference field="1" count="1" selected="0">
            <x v="1"/>
          </reference>
        </references>
      </pivotArea>
    </chartFormat>
    <chartFormat chart="5" format="84">
      <pivotArea type="data" outline="0" fieldPosition="0">
        <references count="3">
          <reference field="4294967294" count="1" selected="0">
            <x v="0"/>
          </reference>
          <reference field="0" count="1" selected="0">
            <x v="30"/>
          </reference>
          <reference field="1" count="1" selected="0">
            <x v="1"/>
          </reference>
        </references>
      </pivotArea>
    </chartFormat>
    <chartFormat chart="5" format="85">
      <pivotArea type="data" outline="0" fieldPosition="0">
        <references count="3">
          <reference field="4294967294" count="1" selected="0">
            <x v="0"/>
          </reference>
          <reference field="0" count="1" selected="0">
            <x v="39"/>
          </reference>
          <reference field="1" count="1" selected="0">
            <x v="1"/>
          </reference>
        </references>
      </pivotArea>
    </chartFormat>
    <chartFormat chart="5" format="86">
      <pivotArea type="data" outline="0" fieldPosition="0">
        <references count="3">
          <reference field="4294967294" count="1" selected="0">
            <x v="0"/>
          </reference>
          <reference field="0" count="1" selected="0">
            <x v="45"/>
          </reference>
          <reference field="1" count="1" selected="0">
            <x v="1"/>
          </reference>
        </references>
      </pivotArea>
    </chartFormat>
    <chartFormat chart="5" format="87">
      <pivotArea type="data" outline="0" fieldPosition="0">
        <references count="3">
          <reference field="4294967294" count="1" selected="0">
            <x v="0"/>
          </reference>
          <reference field="0" count="1" selected="0">
            <x v="49"/>
          </reference>
          <reference field="1" count="1" selected="0">
            <x v="1"/>
          </reference>
        </references>
      </pivotArea>
    </chartFormat>
    <chartFormat chart="5" format="88">
      <pivotArea type="data" outline="0" fieldPosition="0">
        <references count="3">
          <reference field="4294967294" count="1" selected="0">
            <x v="0"/>
          </reference>
          <reference field="0" count="1" selected="0">
            <x v="1"/>
          </reference>
          <reference field="1" count="1" selected="0">
            <x v="2"/>
          </reference>
        </references>
      </pivotArea>
    </chartFormat>
    <chartFormat chart="5" format="89">
      <pivotArea type="data" outline="0" fieldPosition="0">
        <references count="3">
          <reference field="4294967294" count="1" selected="0">
            <x v="0"/>
          </reference>
          <reference field="0" count="1" selected="0">
            <x v="2"/>
          </reference>
          <reference field="1" count="1" selected="0">
            <x v="2"/>
          </reference>
        </references>
      </pivotArea>
    </chartFormat>
    <chartFormat chart="5" format="90">
      <pivotArea type="data" outline="0" fieldPosition="0">
        <references count="3">
          <reference field="4294967294" count="1" selected="0">
            <x v="0"/>
          </reference>
          <reference field="0" count="1" selected="0">
            <x v="3"/>
          </reference>
          <reference field="1" count="1" selected="0">
            <x v="2"/>
          </reference>
        </references>
      </pivotArea>
    </chartFormat>
    <chartFormat chart="5" format="91">
      <pivotArea type="data" outline="0" fieldPosition="0">
        <references count="3">
          <reference field="4294967294" count="1" selected="0">
            <x v="0"/>
          </reference>
          <reference field="0" count="1" selected="0">
            <x v="4"/>
          </reference>
          <reference field="1" count="1" selected="0">
            <x v="2"/>
          </reference>
        </references>
      </pivotArea>
    </chartFormat>
    <chartFormat chart="5" format="92">
      <pivotArea type="data" outline="0" fieldPosition="0">
        <references count="3">
          <reference field="4294967294" count="1" selected="0">
            <x v="0"/>
          </reference>
          <reference field="0" count="1" selected="0">
            <x v="6"/>
          </reference>
          <reference field="1" count="1" selected="0">
            <x v="2"/>
          </reference>
        </references>
      </pivotArea>
    </chartFormat>
    <chartFormat chart="5" format="93">
      <pivotArea type="data" outline="0" fieldPosition="0">
        <references count="3">
          <reference field="4294967294" count="1" selected="0">
            <x v="0"/>
          </reference>
          <reference field="0" count="1" selected="0">
            <x v="14"/>
          </reference>
          <reference field="1" count="1" selected="0">
            <x v="2"/>
          </reference>
        </references>
      </pivotArea>
    </chartFormat>
    <chartFormat chart="5" format="94">
      <pivotArea type="data" outline="0" fieldPosition="0">
        <references count="3">
          <reference field="4294967294" count="1" selected="0">
            <x v="0"/>
          </reference>
          <reference field="0" count="1" selected="0">
            <x v="16"/>
          </reference>
          <reference field="1" count="1" selected="0">
            <x v="2"/>
          </reference>
        </references>
      </pivotArea>
    </chartFormat>
    <chartFormat chart="5" format="95">
      <pivotArea type="data" outline="0" fieldPosition="0">
        <references count="3">
          <reference field="4294967294" count="1" selected="0">
            <x v="0"/>
          </reference>
          <reference field="0" count="1" selected="0">
            <x v="18"/>
          </reference>
          <reference field="1" count="1" selected="0">
            <x v="2"/>
          </reference>
        </references>
      </pivotArea>
    </chartFormat>
    <chartFormat chart="5" format="96">
      <pivotArea type="data" outline="0" fieldPosition="0">
        <references count="3">
          <reference field="4294967294" count="1" selected="0">
            <x v="0"/>
          </reference>
          <reference field="0" count="1" selected="0">
            <x v="19"/>
          </reference>
          <reference field="1" count="1" selected="0">
            <x v="2"/>
          </reference>
        </references>
      </pivotArea>
    </chartFormat>
    <chartFormat chart="5" format="97">
      <pivotArea type="data" outline="0" fieldPosition="0">
        <references count="3">
          <reference field="4294967294" count="1" selected="0">
            <x v="0"/>
          </reference>
          <reference field="0" count="1" selected="0">
            <x v="20"/>
          </reference>
          <reference field="1" count="1" selected="0">
            <x v="2"/>
          </reference>
        </references>
      </pivotArea>
    </chartFormat>
    <chartFormat chart="5" format="98">
      <pivotArea type="data" outline="0" fieldPosition="0">
        <references count="3">
          <reference field="4294967294" count="1" selected="0">
            <x v="0"/>
          </reference>
          <reference field="0" count="1" selected="0">
            <x v="21"/>
          </reference>
          <reference field="1" count="1" selected="0">
            <x v="2"/>
          </reference>
        </references>
      </pivotArea>
    </chartFormat>
    <chartFormat chart="5" format="99">
      <pivotArea type="data" outline="0" fieldPosition="0">
        <references count="3">
          <reference field="4294967294" count="1" selected="0">
            <x v="0"/>
          </reference>
          <reference field="0" count="1" selected="0">
            <x v="22"/>
          </reference>
          <reference field="1" count="1" selected="0">
            <x v="2"/>
          </reference>
        </references>
      </pivotArea>
    </chartFormat>
    <chartFormat chart="5" format="100">
      <pivotArea type="data" outline="0" fieldPosition="0">
        <references count="3">
          <reference field="4294967294" count="1" selected="0">
            <x v="0"/>
          </reference>
          <reference field="0" count="1" selected="0">
            <x v="23"/>
          </reference>
          <reference field="1" count="1" selected="0">
            <x v="2"/>
          </reference>
        </references>
      </pivotArea>
    </chartFormat>
    <chartFormat chart="5" format="101">
      <pivotArea type="data" outline="0" fieldPosition="0">
        <references count="3">
          <reference field="4294967294" count="1" selected="0">
            <x v="0"/>
          </reference>
          <reference field="0" count="1" selected="0">
            <x v="24"/>
          </reference>
          <reference field="1" count="1" selected="0">
            <x v="2"/>
          </reference>
        </references>
      </pivotArea>
    </chartFormat>
    <chartFormat chart="5" format="102">
      <pivotArea type="data" outline="0" fieldPosition="0">
        <references count="3">
          <reference field="4294967294" count="1" selected="0">
            <x v="0"/>
          </reference>
          <reference field="0" count="1" selected="0">
            <x v="25"/>
          </reference>
          <reference field="1" count="1" selected="0">
            <x v="2"/>
          </reference>
        </references>
      </pivotArea>
    </chartFormat>
    <chartFormat chart="5" format="103">
      <pivotArea type="data" outline="0" fieldPosition="0">
        <references count="3">
          <reference field="4294967294" count="1" selected="0">
            <x v="0"/>
          </reference>
          <reference field="0" count="1" selected="0">
            <x v="29"/>
          </reference>
          <reference field="1" count="1" selected="0">
            <x v="2"/>
          </reference>
        </references>
      </pivotArea>
    </chartFormat>
    <chartFormat chart="5" format="104">
      <pivotArea type="data" outline="0" fieldPosition="0">
        <references count="3">
          <reference field="4294967294" count="1" selected="0">
            <x v="0"/>
          </reference>
          <reference field="0" count="1" selected="0">
            <x v="31"/>
          </reference>
          <reference field="1" count="1" selected="0">
            <x v="2"/>
          </reference>
        </references>
      </pivotArea>
    </chartFormat>
    <chartFormat chart="5" format="105">
      <pivotArea type="data" outline="0" fieldPosition="0">
        <references count="3">
          <reference field="4294967294" count="1" selected="0">
            <x v="0"/>
          </reference>
          <reference field="0" count="1" selected="0">
            <x v="32"/>
          </reference>
          <reference field="1" count="1" selected="0">
            <x v="2"/>
          </reference>
        </references>
      </pivotArea>
    </chartFormat>
    <chartFormat chart="5" format="106">
      <pivotArea type="data" outline="0" fieldPosition="0">
        <references count="3">
          <reference field="4294967294" count="1" selected="0">
            <x v="0"/>
          </reference>
          <reference field="0" count="1" selected="0">
            <x v="33"/>
          </reference>
          <reference field="1" count="1" selected="0">
            <x v="2"/>
          </reference>
        </references>
      </pivotArea>
    </chartFormat>
    <chartFormat chart="5" format="107">
      <pivotArea type="data" outline="0" fieldPosition="0">
        <references count="3">
          <reference field="4294967294" count="1" selected="0">
            <x v="0"/>
          </reference>
          <reference field="0" count="1" selected="0">
            <x v="34"/>
          </reference>
          <reference field="1" count="1" selected="0">
            <x v="2"/>
          </reference>
        </references>
      </pivotArea>
    </chartFormat>
    <chartFormat chart="5" format="108">
      <pivotArea type="data" outline="0" fieldPosition="0">
        <references count="3">
          <reference field="4294967294" count="1" selected="0">
            <x v="0"/>
          </reference>
          <reference field="0" count="1" selected="0">
            <x v="35"/>
          </reference>
          <reference field="1" count="1" selected="0">
            <x v="2"/>
          </reference>
        </references>
      </pivotArea>
    </chartFormat>
    <chartFormat chart="5" format="109">
      <pivotArea type="data" outline="0" fieldPosition="0">
        <references count="3">
          <reference field="4294967294" count="1" selected="0">
            <x v="0"/>
          </reference>
          <reference field="0" count="1" selected="0">
            <x v="36"/>
          </reference>
          <reference field="1" count="1" selected="0">
            <x v="2"/>
          </reference>
        </references>
      </pivotArea>
    </chartFormat>
    <chartFormat chart="5" format="110">
      <pivotArea type="data" outline="0" fieldPosition="0">
        <references count="3">
          <reference field="4294967294" count="1" selected="0">
            <x v="0"/>
          </reference>
          <reference field="0" count="1" selected="0">
            <x v="40"/>
          </reference>
          <reference field="1" count="1" selected="0">
            <x v="2"/>
          </reference>
        </references>
      </pivotArea>
    </chartFormat>
    <chartFormat chart="5" format="111">
      <pivotArea type="data" outline="0" fieldPosition="0">
        <references count="3">
          <reference field="4294967294" count="1" selected="0">
            <x v="0"/>
          </reference>
          <reference field="0" count="1" selected="0">
            <x v="41"/>
          </reference>
          <reference field="1" count="1" selected="0">
            <x v="2"/>
          </reference>
        </references>
      </pivotArea>
    </chartFormat>
    <chartFormat chart="5" format="112">
      <pivotArea type="data" outline="0" fieldPosition="0">
        <references count="3">
          <reference field="4294967294" count="1" selected="0">
            <x v="0"/>
          </reference>
          <reference field="0" count="1" selected="0">
            <x v="43"/>
          </reference>
          <reference field="1" count="1" selected="0">
            <x v="2"/>
          </reference>
        </references>
      </pivotArea>
    </chartFormat>
    <chartFormat chart="5" format="113">
      <pivotArea type="data" outline="0" fieldPosition="0">
        <references count="3">
          <reference field="4294967294" count="1" selected="0">
            <x v="0"/>
          </reference>
          <reference field="0" count="1" selected="0">
            <x v="44"/>
          </reference>
          <reference field="1" count="1" selected="0">
            <x v="2"/>
          </reference>
        </references>
      </pivotArea>
    </chartFormat>
    <chartFormat chart="5" format="114">
      <pivotArea type="data" outline="0" fieldPosition="0">
        <references count="3">
          <reference field="4294967294" count="1" selected="0">
            <x v="0"/>
          </reference>
          <reference field="0" count="1" selected="0">
            <x v="46"/>
          </reference>
          <reference field="1" count="1" selected="0">
            <x v="2"/>
          </reference>
        </references>
      </pivotArea>
    </chartFormat>
    <chartFormat chart="5" format="115">
      <pivotArea type="data" outline="0" fieldPosition="0">
        <references count="3">
          <reference field="4294967294" count="1" selected="0">
            <x v="0"/>
          </reference>
          <reference field="0" count="1" selected="0">
            <x v="47"/>
          </reference>
          <reference field="1" count="1" selected="0">
            <x v="2"/>
          </reference>
        </references>
      </pivotArea>
    </chartFormat>
    <chartFormat chart="5" format="116">
      <pivotArea type="data" outline="0" fieldPosition="0">
        <references count="3">
          <reference field="4294967294" count="1" selected="0">
            <x v="0"/>
          </reference>
          <reference field="0" count="1" selected="0">
            <x v="50"/>
          </reference>
          <reference field="1" count="1" selected="0">
            <x v="2"/>
          </reference>
        </references>
      </pivotArea>
    </chartFormat>
    <chartFormat chart="5" format="117">
      <pivotArea type="data" outline="0" fieldPosition="0">
        <references count="3">
          <reference field="4294967294" count="1" selected="0">
            <x v="0"/>
          </reference>
          <reference field="0" count="1" selected="0">
            <x v="51"/>
          </reference>
          <reference field="1" count="1" selected="0">
            <x v="2"/>
          </reference>
        </references>
      </pivotArea>
    </chartFormat>
    <chartFormat chart="5" format="118">
      <pivotArea type="data" outline="0" fieldPosition="0">
        <references count="3">
          <reference field="4294967294" count="1" selected="0">
            <x v="0"/>
          </reference>
          <reference field="0" count="1" selected="0">
            <x v="52"/>
          </reference>
          <reference field="1" count="1" selected="0">
            <x v="2"/>
          </reference>
        </references>
      </pivotArea>
    </chartFormat>
    <chartFormat chart="5" format="119">
      <pivotArea type="data" outline="0" fieldPosition="0">
        <references count="3">
          <reference field="4294967294" count="1" selected="0">
            <x v="0"/>
          </reference>
          <reference field="0" count="1" selected="0">
            <x v="53"/>
          </reference>
          <reference field="1" count="1" selected="0">
            <x v="2"/>
          </reference>
        </references>
      </pivotArea>
    </chartFormat>
    <chartFormat chart="5" format="120">
      <pivotArea type="data" outline="0" fieldPosition="0">
        <references count="3">
          <reference field="4294967294" count="1" selected="0">
            <x v="0"/>
          </reference>
          <reference field="0" count="1" selected="0">
            <x v="54"/>
          </reference>
          <reference field="1" count="1" selected="0">
            <x v="2"/>
          </reference>
        </references>
      </pivotArea>
    </chartFormat>
    <chartFormat chart="5" format="121">
      <pivotArea type="data" outline="0" fieldPosition="0">
        <references count="3">
          <reference field="4294967294" count="1" selected="0">
            <x v="0"/>
          </reference>
          <reference field="0" count="1" selected="0">
            <x v="55"/>
          </reference>
          <reference field="1" count="1" selected="0">
            <x v="2"/>
          </reference>
        </references>
      </pivotArea>
    </chartFormat>
    <chartFormat chart="5" format="122">
      <pivotArea type="data" outline="0" fieldPosition="0">
        <references count="3">
          <reference field="4294967294" count="1" selected="0">
            <x v="0"/>
          </reference>
          <reference field="0" count="1" selected="0">
            <x v="56"/>
          </reference>
          <reference field="1" count="1" selected="0">
            <x v="2"/>
          </reference>
        </references>
      </pivotArea>
    </chartFormat>
    <chartFormat chart="5" format="123">
      <pivotArea type="data" outline="0" fieldPosition="0">
        <references count="3">
          <reference field="4294967294" count="1" selected="0">
            <x v="0"/>
          </reference>
          <reference field="0" count="1" selected="0">
            <x v="57"/>
          </reference>
          <reference field="1" count="1" selected="0">
            <x v="2"/>
          </reference>
        </references>
      </pivotArea>
    </chartFormat>
    <chartFormat chart="5" format="124">
      <pivotArea type="data" outline="0" fieldPosition="0">
        <references count="3">
          <reference field="4294967294" count="1" selected="0">
            <x v="0"/>
          </reference>
          <reference field="0" count="1" selected="0">
            <x v="58"/>
          </reference>
          <reference field="1" count="1" selected="0">
            <x v="2"/>
          </reference>
        </references>
      </pivotArea>
    </chartFormat>
    <chartFormat chart="5" format="125">
      <pivotArea type="data" outline="0" fieldPosition="0">
        <references count="3">
          <reference field="4294967294" count="1" selected="0">
            <x v="0"/>
          </reference>
          <reference field="0" count="1" selected="0">
            <x v="59"/>
          </reference>
          <reference field="1" count="1" selected="0">
            <x v="2"/>
          </reference>
        </references>
      </pivotArea>
    </chartFormat>
    <chartFormat chart="5" format="126">
      <pivotArea type="data" outline="0" fieldPosition="0">
        <references count="3">
          <reference field="4294967294" count="1" selected="0">
            <x v="0"/>
          </reference>
          <reference field="0" count="1" selected="0">
            <x v="61"/>
          </reference>
          <reference field="1" count="1" selected="0">
            <x v="3"/>
          </reference>
        </references>
      </pivotArea>
    </chartFormat>
  </chartFormats>
  <pivotTableStyleInfo name="PivotStyleLight16" showRowHeaders="1" showColHeaders="1" showRowStripes="0" showColStripes="0" showLastColumn="1"/>
  <filters count="3">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 fld="0" type="valueGreaterThan" evalOrder="-1" id="10"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8" firstHeaderRow="0"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5">
    <i>
      <x/>
    </i>
    <i>
      <x v="1"/>
    </i>
    <i>
      <x v="2"/>
    </i>
    <i>
      <x v="3"/>
    </i>
    <i t="grand">
      <x/>
    </i>
  </rowItems>
  <colFields count="1">
    <field x="-2"/>
  </colFields>
  <colItems count="2">
    <i>
      <x/>
    </i>
    <i i="1">
      <x v="1"/>
    </i>
  </colItems>
  <dataFields count="2">
    <dataField name="Einkaufswert" fld="15" baseField="0" baseItem="0"/>
    <dataField name="Aktueller Wert" fld="14" baseField="0" baseItem="0"/>
  </dataFields>
  <formats count="1">
    <format dxfId="144">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111"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8" firstHeaderRow="1" firstDataRow="1" firstDataCol="1"/>
  <pivotFields count="23">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howAll="0">
      <items count="5">
        <item x="0"/>
        <item x="2"/>
        <item x="1"/>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Aktueller Wert" fld="14" baseField="0" baseItem="0"/>
  </dataFields>
  <formats count="1">
    <format dxfId="146">
      <pivotArea outline="0" collapsedLevelsAreSubtotals="1" fieldPosition="0"/>
    </format>
  </formats>
  <chartFormats count="5">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1" count="1" selected="0">
            <x v="0"/>
          </reference>
        </references>
      </pivotArea>
    </chartFormat>
    <chartFormat chart="3" format="8">
      <pivotArea type="data" outline="0" fieldPosition="0">
        <references count="2">
          <reference field="4294967294" count="1" selected="0">
            <x v="0"/>
          </reference>
          <reference field="1" count="1" selected="0">
            <x v="1"/>
          </reference>
        </references>
      </pivotArea>
    </chartFormat>
    <chartFormat chart="3" format="9">
      <pivotArea type="data" outline="0" fieldPosition="0">
        <references count="2">
          <reference field="4294967294" count="1" selected="0">
            <x v="0"/>
          </reference>
          <reference field="1" count="1" selected="0">
            <x v="2"/>
          </reference>
        </references>
      </pivotArea>
    </chartFormat>
    <chartFormat chart="3" format="10">
      <pivotArea type="data" outline="0" fieldPosition="0">
        <references count="2">
          <reference field="4294967294" count="1" selected="0">
            <x v="0"/>
          </reference>
          <reference field="1"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111"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48" firstHeaderRow="0" firstDataRow="1" firstDataCol="1"/>
  <pivotFields count="23">
    <pivotField axis="axisRow" subtotalTop="0" showAll="0" insertBlankRow="1" measureFilter="1">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axis="axisRow" subtotalTop="0" showAll="0" insertBlankRow="1">
      <items count="5">
        <item x="0"/>
        <item x="2"/>
        <item x="1"/>
        <item x="3"/>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40">
    <i>
      <x/>
    </i>
    <i r="1">
      <x/>
    </i>
    <i r="1">
      <x v="5"/>
    </i>
    <i r="1">
      <x v="7"/>
    </i>
    <i r="1">
      <x v="15"/>
    </i>
    <i r="1">
      <x v="37"/>
    </i>
    <i r="1">
      <x v="38"/>
    </i>
    <i r="1">
      <x v="42"/>
    </i>
    <i r="1">
      <x v="48"/>
    </i>
    <i r="1">
      <x v="60"/>
    </i>
    <i t="default">
      <x/>
    </i>
    <i t="blank">
      <x/>
    </i>
    <i>
      <x v="1"/>
    </i>
    <i r="1">
      <x v="8"/>
    </i>
    <i r="1">
      <x v="9"/>
    </i>
    <i r="1">
      <x v="10"/>
    </i>
    <i r="1">
      <x v="11"/>
    </i>
    <i r="1">
      <x v="13"/>
    </i>
    <i r="1">
      <x v="17"/>
    </i>
    <i r="1">
      <x v="26"/>
    </i>
    <i r="1">
      <x v="27"/>
    </i>
    <i r="1">
      <x v="28"/>
    </i>
    <i r="1">
      <x v="30"/>
    </i>
    <i r="1">
      <x v="39"/>
    </i>
    <i r="1">
      <x v="45"/>
    </i>
    <i r="1">
      <x v="49"/>
    </i>
    <i t="default">
      <x v="1"/>
    </i>
    <i t="blank">
      <x v="1"/>
    </i>
    <i>
      <x v="2"/>
    </i>
    <i r="1">
      <x v="1"/>
    </i>
    <i r="1">
      <x v="14"/>
    </i>
    <i r="1">
      <x v="18"/>
    </i>
    <i r="1">
      <x v="19"/>
    </i>
    <i r="1">
      <x v="24"/>
    </i>
    <i r="1">
      <x v="29"/>
    </i>
    <i r="1">
      <x v="31"/>
    </i>
    <i r="1">
      <x v="53"/>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141">
      <pivotArea outline="0" collapsedLevelsAreSubtotals="1" fieldPosition="0"/>
    </format>
    <format dxfId="140">
      <pivotArea outline="0" collapsedLevelsAreSubtotals="1" fieldPosition="0">
        <references count="1">
          <reference field="4294967294" count="1" selected="0">
            <x v="1"/>
          </reference>
        </references>
      </pivotArea>
    </format>
    <format dxfId="139">
      <pivotArea dataOnly="0" labelOnly="1" outline="0" fieldPosition="0">
        <references count="1">
          <reference field="4294967294" count="1">
            <x v="1"/>
          </reference>
        </references>
      </pivotArea>
    </format>
    <format dxfId="138">
      <pivotArea outline="0" collapsedLevelsAreSubtotals="1" fieldPosition="0">
        <references count="1">
          <reference field="4294967294" count="1" selected="0">
            <x v="2"/>
          </reference>
        </references>
      </pivotArea>
    </format>
    <format dxfId="137">
      <pivotArea dataOnly="0" labelOnly="1" outline="0" fieldPosition="0">
        <references count="1">
          <reference field="4294967294" count="1">
            <x v="2"/>
          </reference>
        </references>
      </pivotArea>
    </format>
    <format dxfId="136">
      <pivotArea outline="0" collapsedLevelsAreSubtotals="1" fieldPosition="0">
        <references count="1">
          <reference field="4294967294" count="1" selected="0">
            <x v="0"/>
          </reference>
        </references>
      </pivotArea>
    </format>
    <format dxfId="135">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filters count="1">
    <filter fld="0" type="valueGreaterThan" evalOrder="-1" id="20"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819D6B24-0DB5-4947-A9DA-6DCF15C67553}" sourceName="Asset">
  <pivotTables>
    <pivotTable tabId="7" name="PivotTable6"/>
    <pivotTable tabId="7" name="PivotTable5"/>
    <pivotTable tabId="7" name="PivotTable10"/>
    <pivotTable tabId="8" name="PivotTable12"/>
  </pivotTables>
  <data>
    <tabular pivotCacheId="726541802">
      <items count="62">
        <i x="0" s="1"/>
        <i x="1" s="1"/>
        <i x="2" s="1"/>
        <i x="3" s="1"/>
        <i x="4" s="1"/>
        <i x="5" s="1"/>
        <i x="6" s="1"/>
        <i x="7" s="1"/>
        <i x="8" s="1"/>
        <i x="9" s="1"/>
        <i x="10" s="1"/>
        <i x="11" s="1"/>
        <i x="12" s="1"/>
        <i x="13" s="1"/>
        <i x="14" s="1"/>
        <i x="15" s="1"/>
        <i x="16" s="1"/>
        <i x="17" s="1"/>
        <i x="18" s="1"/>
        <i x="19" s="1"/>
        <i x="20" s="1"/>
        <i x="21" s="1"/>
        <i x="22" s="1"/>
        <i x="23" s="1"/>
        <i x="24" s="1"/>
        <i x="25" s="1"/>
        <i x="26" s="1"/>
        <i x="27" s="1"/>
        <i x="28" s="1"/>
        <i x="29" s="1"/>
        <i x="30" s="1"/>
        <i x="31" s="1"/>
        <i x="32" s="1"/>
        <i x="33" s="1"/>
        <i x="34" s="1"/>
        <i x="35" s="1"/>
        <i x="36" s="1"/>
        <i x="37" s="1"/>
        <i x="38" s="1"/>
        <i x="39" s="1"/>
        <i x="40" s="1"/>
        <i x="41" s="1"/>
        <i x="42" s="1"/>
        <i x="43" s="1"/>
        <i x="44" s="1"/>
        <i x="45" s="1"/>
        <i x="46" s="1"/>
        <i x="47" s="1"/>
        <i x="48" s="1"/>
        <i x="49" s="1"/>
        <i x="50" s="1"/>
        <i x="51" s="1"/>
        <i x="52" s="1"/>
        <i x="53" s="1"/>
        <i x="54" s="1"/>
        <i x="55" s="1"/>
        <i x="56" s="1"/>
        <i x="57" s="1"/>
        <i x="58" s="1"/>
        <i x="59" s="1"/>
        <i x="60" s="1"/>
        <i x="61"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7650D11C-1D3D-4A3A-9642-2A11C0E9AAD2}" sourceName="Klasse">
  <pivotTables>
    <pivotTable tabId="7" name="PivotTable5"/>
    <pivotTable tabId="7" name="PivotTable10"/>
    <pivotTable tabId="7" name="PivotTable6"/>
    <pivotTable tabId="7" name="PivotTable11"/>
    <pivotTable tabId="8" name="PivotTable12"/>
    <pivotTable tabId="7" name="PivotTable1"/>
  </pivotTables>
  <data>
    <tabular pivotCacheId="726541802">
      <items count="4">
        <i x="0" s="1"/>
        <i x="2" s="1"/>
        <i x="1"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9CB1CF07-0898-4E88-9634-FA19A758253E}" cache="Datenschnitt_Asset" caption="Asset" rowHeight="241300"/>
  <slicer name="Klasse" xr10:uid="{A7192880-4DAC-4466-9039-919E4B158FF7}"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644" activePane="bottomLeft" state="frozen"/>
      <selection pane="bottomLeft" activeCell="N1" sqref="N1:N1048576"/>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33">
        <v>45865.63862802853</v>
      </c>
      <c r="B2" s="1">
        <v>45865</v>
      </c>
      <c r="C2" t="s">
        <v>23</v>
      </c>
      <c r="D2" t="s">
        <v>24</v>
      </c>
      <c r="E2" t="s">
        <v>25</v>
      </c>
      <c r="K2">
        <v>1</v>
      </c>
      <c r="N2" t="s">
        <v>26</v>
      </c>
      <c r="R2" t="s">
        <v>27</v>
      </c>
      <c r="S2" t="s">
        <v>28</v>
      </c>
    </row>
    <row r="3" spans="1:23" x14ac:dyDescent="0.25">
      <c r="A3" s="33">
        <v>45867.643715500591</v>
      </c>
      <c r="B3" s="1">
        <v>45867</v>
      </c>
      <c r="C3" t="s">
        <v>23</v>
      </c>
      <c r="D3" t="s">
        <v>24</v>
      </c>
      <c r="E3" t="s">
        <v>25</v>
      </c>
      <c r="K3">
        <v>39</v>
      </c>
      <c r="N3" t="s">
        <v>26</v>
      </c>
      <c r="R3" t="s">
        <v>27</v>
      </c>
      <c r="S3" t="s">
        <v>29</v>
      </c>
    </row>
    <row r="4" spans="1:23" x14ac:dyDescent="0.25">
      <c r="A4" s="33">
        <v>45908.513290821757</v>
      </c>
      <c r="B4" s="1">
        <v>45908</v>
      </c>
      <c r="C4" t="s">
        <v>23</v>
      </c>
      <c r="D4" t="s">
        <v>30</v>
      </c>
      <c r="E4" t="s">
        <v>31</v>
      </c>
      <c r="F4" t="s">
        <v>32</v>
      </c>
      <c r="G4" t="s">
        <v>33</v>
      </c>
      <c r="H4" t="s">
        <v>34</v>
      </c>
      <c r="I4">
        <v>9.325E-3</v>
      </c>
      <c r="J4">
        <v>91.15</v>
      </c>
      <c r="K4">
        <v>-0.85</v>
      </c>
      <c r="N4" t="s">
        <v>26</v>
      </c>
      <c r="R4" t="s">
        <v>35</v>
      </c>
      <c r="S4" t="s">
        <v>36</v>
      </c>
    </row>
    <row r="5" spans="1:23" x14ac:dyDescent="0.25">
      <c r="A5" s="33">
        <v>45908.513290821757</v>
      </c>
      <c r="B5" s="1">
        <v>45908</v>
      </c>
      <c r="C5" t="s">
        <v>23</v>
      </c>
      <c r="D5" t="s">
        <v>30</v>
      </c>
      <c r="E5" t="s">
        <v>31</v>
      </c>
      <c r="F5" t="s">
        <v>32</v>
      </c>
      <c r="G5" t="s">
        <v>33</v>
      </c>
      <c r="H5" t="s">
        <v>34</v>
      </c>
      <c r="I5">
        <v>1</v>
      </c>
      <c r="J5">
        <v>91.15</v>
      </c>
      <c r="K5">
        <v>-91.15</v>
      </c>
      <c r="L5" s="28">
        <v>-1</v>
      </c>
      <c r="N5" t="s">
        <v>26</v>
      </c>
      <c r="R5" t="s">
        <v>37</v>
      </c>
      <c r="S5" t="s">
        <v>38</v>
      </c>
    </row>
    <row r="6" spans="1:23" x14ac:dyDescent="0.25">
      <c r="A6" s="33">
        <v>45908.517732450142</v>
      </c>
      <c r="B6" s="1">
        <v>45908</v>
      </c>
      <c r="C6" t="s">
        <v>23</v>
      </c>
      <c r="D6" t="s">
        <v>24</v>
      </c>
      <c r="E6" t="s">
        <v>25</v>
      </c>
      <c r="K6">
        <v>100</v>
      </c>
      <c r="N6" t="s">
        <v>26</v>
      </c>
      <c r="R6" t="s">
        <v>27</v>
      </c>
      <c r="S6" t="s">
        <v>39</v>
      </c>
    </row>
    <row r="7" spans="1:23" x14ac:dyDescent="0.25">
      <c r="A7" s="33">
        <v>45908.518062337957</v>
      </c>
      <c r="B7" s="1">
        <v>45908</v>
      </c>
      <c r="C7" t="s">
        <v>23</v>
      </c>
      <c r="D7" t="s">
        <v>30</v>
      </c>
      <c r="E7" t="s">
        <v>31</v>
      </c>
      <c r="F7" t="s">
        <v>32</v>
      </c>
      <c r="G7" t="s">
        <v>40</v>
      </c>
      <c r="H7" t="s">
        <v>41</v>
      </c>
      <c r="I7">
        <v>4.1840000000000002E-3</v>
      </c>
      <c r="J7">
        <v>143.4</v>
      </c>
      <c r="K7">
        <v>-0.6</v>
      </c>
      <c r="N7" t="s">
        <v>26</v>
      </c>
      <c r="R7" t="s">
        <v>42</v>
      </c>
      <c r="S7" t="s">
        <v>43</v>
      </c>
    </row>
    <row r="8" spans="1:23" x14ac:dyDescent="0.25">
      <c r="A8" s="33">
        <v>45908.51806234954</v>
      </c>
      <c r="B8" s="1">
        <v>45908</v>
      </c>
      <c r="C8" t="s">
        <v>23</v>
      </c>
      <c r="D8" t="s">
        <v>30</v>
      </c>
      <c r="E8" t="s">
        <v>31</v>
      </c>
      <c r="F8" t="s">
        <v>32</v>
      </c>
      <c r="G8" t="s">
        <v>40</v>
      </c>
      <c r="H8" t="s">
        <v>41</v>
      </c>
      <c r="I8">
        <v>1</v>
      </c>
      <c r="J8">
        <v>143.4</v>
      </c>
      <c r="K8">
        <v>-143.4</v>
      </c>
      <c r="L8" s="28">
        <v>-1</v>
      </c>
      <c r="N8" t="s">
        <v>26</v>
      </c>
      <c r="R8" t="s">
        <v>44</v>
      </c>
      <c r="S8" t="s">
        <v>45</v>
      </c>
    </row>
    <row r="9" spans="1:23" x14ac:dyDescent="0.25">
      <c r="A9" s="33">
        <v>45908.717423697068</v>
      </c>
      <c r="B9" s="1">
        <v>45908</v>
      </c>
      <c r="C9" t="s">
        <v>23</v>
      </c>
      <c r="D9" t="s">
        <v>24</v>
      </c>
      <c r="E9" t="s">
        <v>25</v>
      </c>
      <c r="K9">
        <v>100</v>
      </c>
      <c r="N9" t="s">
        <v>26</v>
      </c>
      <c r="R9" t="s">
        <v>27</v>
      </c>
      <c r="S9" t="s">
        <v>46</v>
      </c>
    </row>
    <row r="10" spans="1:23" x14ac:dyDescent="0.25">
      <c r="A10" s="33">
        <v>45908.717696747677</v>
      </c>
      <c r="B10" s="1">
        <v>45908</v>
      </c>
      <c r="C10" t="s">
        <v>23</v>
      </c>
      <c r="D10" t="s">
        <v>30</v>
      </c>
      <c r="E10" t="s">
        <v>31</v>
      </c>
      <c r="F10" t="s">
        <v>32</v>
      </c>
      <c r="G10" t="s">
        <v>47</v>
      </c>
      <c r="H10" t="s">
        <v>48</v>
      </c>
      <c r="I10">
        <v>1</v>
      </c>
      <c r="J10">
        <v>88.46</v>
      </c>
      <c r="K10">
        <v>-88.46</v>
      </c>
      <c r="L10" s="28">
        <v>-1</v>
      </c>
      <c r="N10" t="s">
        <v>26</v>
      </c>
      <c r="R10" t="s">
        <v>49</v>
      </c>
      <c r="S10" t="s">
        <v>50</v>
      </c>
    </row>
    <row r="11" spans="1:23" x14ac:dyDescent="0.25">
      <c r="A11" s="33">
        <v>45908.717696956017</v>
      </c>
      <c r="B11" s="1">
        <v>45908</v>
      </c>
      <c r="C11" t="s">
        <v>23</v>
      </c>
      <c r="D11" t="s">
        <v>30</v>
      </c>
      <c r="E11" t="s">
        <v>31</v>
      </c>
      <c r="F11" t="s">
        <v>32</v>
      </c>
      <c r="G11" t="s">
        <v>47</v>
      </c>
      <c r="H11" t="s">
        <v>48</v>
      </c>
      <c r="I11">
        <v>1.7408E-2</v>
      </c>
      <c r="J11">
        <v>88.46</v>
      </c>
      <c r="K11">
        <v>-1.54</v>
      </c>
      <c r="N11" t="s">
        <v>26</v>
      </c>
      <c r="R11" t="s">
        <v>51</v>
      </c>
      <c r="S11" t="s">
        <v>52</v>
      </c>
    </row>
    <row r="12" spans="1:23" x14ac:dyDescent="0.25">
      <c r="A12" s="33">
        <v>45908.723231119933</v>
      </c>
      <c r="B12" s="1">
        <v>45908</v>
      </c>
      <c r="C12" t="s">
        <v>23</v>
      </c>
      <c r="D12" t="s">
        <v>24</v>
      </c>
      <c r="E12" t="s">
        <v>25</v>
      </c>
      <c r="K12">
        <v>50</v>
      </c>
      <c r="N12" t="s">
        <v>26</v>
      </c>
      <c r="R12" t="s">
        <v>27</v>
      </c>
      <c r="S12" t="s">
        <v>53</v>
      </c>
    </row>
    <row r="13" spans="1:23" x14ac:dyDescent="0.25">
      <c r="A13" s="33">
        <v>45908.513009612892</v>
      </c>
      <c r="B13" s="1">
        <v>45908</v>
      </c>
      <c r="C13" t="s">
        <v>23</v>
      </c>
      <c r="D13" t="s">
        <v>24</v>
      </c>
      <c r="E13" t="s">
        <v>25</v>
      </c>
      <c r="K13">
        <v>100</v>
      </c>
      <c r="N13" t="s">
        <v>26</v>
      </c>
      <c r="R13" t="s">
        <v>27</v>
      </c>
      <c r="S13" t="s">
        <v>54</v>
      </c>
    </row>
    <row r="14" spans="1:23" x14ac:dyDescent="0.25">
      <c r="A14" s="33">
        <v>45908.724518541669</v>
      </c>
      <c r="B14" s="1">
        <v>45908</v>
      </c>
      <c r="C14" t="s">
        <v>23</v>
      </c>
      <c r="D14" t="s">
        <v>30</v>
      </c>
      <c r="E14" t="s">
        <v>31</v>
      </c>
      <c r="F14" t="s">
        <v>32</v>
      </c>
      <c r="G14" t="s">
        <v>55</v>
      </c>
      <c r="H14" t="s">
        <v>56</v>
      </c>
      <c r="I14">
        <v>0.87119899999999995</v>
      </c>
      <c r="J14">
        <v>32.064999999999998</v>
      </c>
      <c r="K14">
        <v>-27.93</v>
      </c>
      <c r="N14" t="s">
        <v>26</v>
      </c>
      <c r="R14" t="s">
        <v>57</v>
      </c>
      <c r="S14" t="s">
        <v>58</v>
      </c>
    </row>
    <row r="15" spans="1:23" x14ac:dyDescent="0.25">
      <c r="A15" s="33">
        <v>45908.724518796298</v>
      </c>
      <c r="B15" s="1">
        <v>45908</v>
      </c>
      <c r="C15" t="s">
        <v>23</v>
      </c>
      <c r="D15" t="s">
        <v>30</v>
      </c>
      <c r="E15" t="s">
        <v>31</v>
      </c>
      <c r="F15" t="s">
        <v>32</v>
      </c>
      <c r="G15" t="s">
        <v>55</v>
      </c>
      <c r="H15" t="s">
        <v>56</v>
      </c>
      <c r="I15">
        <v>1</v>
      </c>
      <c r="J15">
        <v>32.064999999999998</v>
      </c>
      <c r="K15">
        <v>-32.07</v>
      </c>
      <c r="L15" s="28">
        <v>-1</v>
      </c>
      <c r="N15" t="s">
        <v>26</v>
      </c>
      <c r="R15" t="s">
        <v>59</v>
      </c>
      <c r="S15" t="s">
        <v>60</v>
      </c>
    </row>
    <row r="16" spans="1:23" x14ac:dyDescent="0.25">
      <c r="A16" s="33">
        <v>45909.868039903748</v>
      </c>
      <c r="B16" s="1">
        <v>45909</v>
      </c>
      <c r="C16" t="s">
        <v>23</v>
      </c>
      <c r="D16" t="s">
        <v>24</v>
      </c>
      <c r="E16" t="s">
        <v>25</v>
      </c>
      <c r="K16">
        <v>185</v>
      </c>
      <c r="N16" t="s">
        <v>26</v>
      </c>
      <c r="R16" t="s">
        <v>27</v>
      </c>
      <c r="S16" t="s">
        <v>61</v>
      </c>
    </row>
    <row r="17" spans="1:19" x14ac:dyDescent="0.25">
      <c r="A17" s="33">
        <v>45909.876720779634</v>
      </c>
      <c r="B17" s="1">
        <v>45909</v>
      </c>
      <c r="C17" t="s">
        <v>23</v>
      </c>
      <c r="D17" t="s">
        <v>24</v>
      </c>
      <c r="E17" t="s">
        <v>25</v>
      </c>
      <c r="K17">
        <v>50</v>
      </c>
      <c r="N17" t="s">
        <v>26</v>
      </c>
      <c r="R17" t="s">
        <v>27</v>
      </c>
      <c r="S17" t="s">
        <v>62</v>
      </c>
    </row>
    <row r="18" spans="1:19" x14ac:dyDescent="0.25">
      <c r="A18" s="33">
        <v>45909.869528120696</v>
      </c>
      <c r="B18" s="1">
        <v>45909</v>
      </c>
      <c r="C18" t="s">
        <v>23</v>
      </c>
      <c r="D18" t="s">
        <v>24</v>
      </c>
      <c r="E18" t="s">
        <v>25</v>
      </c>
      <c r="K18">
        <v>1</v>
      </c>
      <c r="N18" t="s">
        <v>26</v>
      </c>
      <c r="R18" t="s">
        <v>27</v>
      </c>
      <c r="S18" t="s">
        <v>63</v>
      </c>
    </row>
    <row r="19" spans="1:19" x14ac:dyDescent="0.25">
      <c r="A19" s="33">
        <v>45909.878043877317</v>
      </c>
      <c r="B19" s="1">
        <v>45909</v>
      </c>
      <c r="C19" t="s">
        <v>23</v>
      </c>
      <c r="D19" t="s">
        <v>30</v>
      </c>
      <c r="E19" t="s">
        <v>31</v>
      </c>
      <c r="F19" t="s">
        <v>64</v>
      </c>
      <c r="G19" t="s">
        <v>65</v>
      </c>
      <c r="H19" t="s">
        <v>66</v>
      </c>
      <c r="I19">
        <v>1.004294</v>
      </c>
      <c r="J19">
        <v>187.214</v>
      </c>
      <c r="K19">
        <v>-188.02</v>
      </c>
      <c r="L19" s="28">
        <v>-1</v>
      </c>
      <c r="N19" t="s">
        <v>26</v>
      </c>
      <c r="R19" t="s">
        <v>67</v>
      </c>
      <c r="S19" t="s">
        <v>68</v>
      </c>
    </row>
    <row r="20" spans="1:19" x14ac:dyDescent="0.25">
      <c r="A20" s="33">
        <v>45909.880946435187</v>
      </c>
      <c r="B20" s="1">
        <v>45909</v>
      </c>
      <c r="C20" t="s">
        <v>23</v>
      </c>
      <c r="D20" t="s">
        <v>30</v>
      </c>
      <c r="E20" t="s">
        <v>31</v>
      </c>
      <c r="F20" t="s">
        <v>64</v>
      </c>
      <c r="G20" t="s">
        <v>69</v>
      </c>
      <c r="H20" t="s">
        <v>69</v>
      </c>
      <c r="I20">
        <v>4.3247640000000001</v>
      </c>
      <c r="J20">
        <v>2.5434019999999999</v>
      </c>
      <c r="K20">
        <v>-11</v>
      </c>
      <c r="L20" s="28">
        <v>-1</v>
      </c>
      <c r="N20" t="s">
        <v>26</v>
      </c>
      <c r="R20" t="s">
        <v>70</v>
      </c>
      <c r="S20" t="s">
        <v>71</v>
      </c>
    </row>
    <row r="21" spans="1:19" x14ac:dyDescent="0.25">
      <c r="A21" s="33">
        <v>45909.884380358802</v>
      </c>
      <c r="B21" s="1">
        <v>45909</v>
      </c>
      <c r="C21" t="s">
        <v>23</v>
      </c>
      <c r="D21" t="s">
        <v>30</v>
      </c>
      <c r="E21" t="s">
        <v>31</v>
      </c>
      <c r="F21" t="s">
        <v>64</v>
      </c>
      <c r="G21" t="s">
        <v>72</v>
      </c>
      <c r="H21" t="s">
        <v>73</v>
      </c>
      <c r="I21">
        <v>13.490816000000001</v>
      </c>
      <c r="J21">
        <v>0.74124400000000001</v>
      </c>
      <c r="K21">
        <v>-10</v>
      </c>
      <c r="L21" s="28">
        <v>-1</v>
      </c>
      <c r="N21" t="s">
        <v>26</v>
      </c>
      <c r="R21" t="s">
        <v>74</v>
      </c>
      <c r="S21" t="s">
        <v>75</v>
      </c>
    </row>
    <row r="22" spans="1:19" x14ac:dyDescent="0.25">
      <c r="A22" s="33">
        <v>45909.891429861113</v>
      </c>
      <c r="B22" s="1">
        <v>45909</v>
      </c>
      <c r="C22" t="s">
        <v>23</v>
      </c>
      <c r="D22" t="s">
        <v>30</v>
      </c>
      <c r="E22" t="s">
        <v>31</v>
      </c>
      <c r="F22" t="s">
        <v>32</v>
      </c>
      <c r="G22" t="s">
        <v>76</v>
      </c>
      <c r="H22" t="s">
        <v>77</v>
      </c>
      <c r="I22">
        <v>2</v>
      </c>
      <c r="J22">
        <v>10.055</v>
      </c>
      <c r="K22">
        <v>-20.11</v>
      </c>
      <c r="L22" s="28">
        <v>-1</v>
      </c>
      <c r="N22" t="s">
        <v>26</v>
      </c>
      <c r="R22" t="s">
        <v>78</v>
      </c>
      <c r="S22" t="s">
        <v>79</v>
      </c>
    </row>
    <row r="23" spans="1:19" x14ac:dyDescent="0.25">
      <c r="A23" s="33">
        <v>45909.891430057869</v>
      </c>
      <c r="B23" s="1">
        <v>45909</v>
      </c>
      <c r="C23" t="s">
        <v>23</v>
      </c>
      <c r="D23" t="s">
        <v>30</v>
      </c>
      <c r="E23" t="s">
        <v>31</v>
      </c>
      <c r="F23" t="s">
        <v>32</v>
      </c>
      <c r="G23" t="s">
        <v>76</v>
      </c>
      <c r="H23" t="s">
        <v>77</v>
      </c>
      <c r="I23">
        <v>0.18687799999999999</v>
      </c>
      <c r="J23">
        <v>10.055</v>
      </c>
      <c r="K23">
        <v>-1.88</v>
      </c>
      <c r="N23" t="s">
        <v>26</v>
      </c>
      <c r="R23" t="s">
        <v>80</v>
      </c>
      <c r="S23" t="s">
        <v>81</v>
      </c>
    </row>
    <row r="24" spans="1:19" x14ac:dyDescent="0.25">
      <c r="A24" s="33">
        <v>45910.354324108797</v>
      </c>
      <c r="B24" s="1">
        <v>45910</v>
      </c>
      <c r="C24" t="s">
        <v>23</v>
      </c>
      <c r="D24" t="s">
        <v>30</v>
      </c>
      <c r="E24" t="s">
        <v>82</v>
      </c>
      <c r="F24" t="s">
        <v>32</v>
      </c>
      <c r="G24" t="s">
        <v>40</v>
      </c>
      <c r="H24" t="s">
        <v>41</v>
      </c>
      <c r="I24">
        <v>-2.6956999999999998E-2</v>
      </c>
      <c r="J24">
        <v>148.38</v>
      </c>
      <c r="K24">
        <v>4</v>
      </c>
      <c r="L24" s="28">
        <v>-1</v>
      </c>
      <c r="N24" t="s">
        <v>26</v>
      </c>
      <c r="R24" t="s">
        <v>83</v>
      </c>
      <c r="S24" t="s">
        <v>84</v>
      </c>
    </row>
    <row r="25" spans="1:19" x14ac:dyDescent="0.25">
      <c r="A25" s="33">
        <v>45910.356990439817</v>
      </c>
      <c r="B25" s="1">
        <v>45910</v>
      </c>
      <c r="C25" t="s">
        <v>23</v>
      </c>
      <c r="D25" t="s">
        <v>30</v>
      </c>
      <c r="E25" t="s">
        <v>31</v>
      </c>
      <c r="F25" t="s">
        <v>32</v>
      </c>
      <c r="G25" t="s">
        <v>40</v>
      </c>
      <c r="H25" t="s">
        <v>41</v>
      </c>
      <c r="I25">
        <v>0.350215</v>
      </c>
      <c r="J25">
        <v>148.47999999999999</v>
      </c>
      <c r="K25">
        <v>-52</v>
      </c>
      <c r="L25" s="28">
        <v>-1</v>
      </c>
      <c r="N25" t="s">
        <v>26</v>
      </c>
      <c r="R25" t="s">
        <v>85</v>
      </c>
      <c r="S25" t="s">
        <v>86</v>
      </c>
    </row>
    <row r="26" spans="1:19" x14ac:dyDescent="0.25">
      <c r="A26" s="33">
        <v>45910.844734447259</v>
      </c>
      <c r="B26" s="1">
        <v>45910</v>
      </c>
      <c r="C26" t="s">
        <v>23</v>
      </c>
      <c r="D26" t="s">
        <v>24</v>
      </c>
      <c r="E26" t="s">
        <v>25</v>
      </c>
      <c r="K26">
        <v>80</v>
      </c>
      <c r="N26" t="s">
        <v>26</v>
      </c>
      <c r="R26" t="s">
        <v>27</v>
      </c>
      <c r="S26" t="s">
        <v>87</v>
      </c>
    </row>
    <row r="27" spans="1:19" x14ac:dyDescent="0.25">
      <c r="A27" s="33">
        <v>45910.356730547428</v>
      </c>
      <c r="B27" s="1">
        <v>45910</v>
      </c>
      <c r="C27" t="s">
        <v>23</v>
      </c>
      <c r="D27" t="s">
        <v>24</v>
      </c>
      <c r="E27" t="s">
        <v>25</v>
      </c>
      <c r="K27">
        <v>50</v>
      </c>
      <c r="N27" t="s">
        <v>26</v>
      </c>
      <c r="R27" t="s">
        <v>27</v>
      </c>
      <c r="S27" t="s">
        <v>88</v>
      </c>
    </row>
    <row r="28" spans="1:19" x14ac:dyDescent="0.25">
      <c r="A28" s="33">
        <v>45910.845364930552</v>
      </c>
      <c r="B28" s="1">
        <v>45910</v>
      </c>
      <c r="C28" t="s">
        <v>23</v>
      </c>
      <c r="D28" t="s">
        <v>30</v>
      </c>
      <c r="E28" t="s">
        <v>31</v>
      </c>
      <c r="F28" t="s">
        <v>32</v>
      </c>
      <c r="G28" t="s">
        <v>89</v>
      </c>
      <c r="H28" t="s">
        <v>90</v>
      </c>
      <c r="I28">
        <v>1</v>
      </c>
      <c r="J28">
        <v>69.61</v>
      </c>
      <c r="K28">
        <v>-69.61</v>
      </c>
      <c r="L28" s="28">
        <v>-1</v>
      </c>
      <c r="N28" t="s">
        <v>26</v>
      </c>
      <c r="R28" t="s">
        <v>91</v>
      </c>
      <c r="S28" t="s">
        <v>92</v>
      </c>
    </row>
    <row r="29" spans="1:19" x14ac:dyDescent="0.25">
      <c r="A29" s="33">
        <v>45910.845365046298</v>
      </c>
      <c r="B29" s="1">
        <v>45910</v>
      </c>
      <c r="C29" t="s">
        <v>23</v>
      </c>
      <c r="D29" t="s">
        <v>30</v>
      </c>
      <c r="E29" t="s">
        <v>31</v>
      </c>
      <c r="F29" t="s">
        <v>32</v>
      </c>
      <c r="G29" t="s">
        <v>89</v>
      </c>
      <c r="H29" t="s">
        <v>90</v>
      </c>
      <c r="I29">
        <v>0.13489399999999999</v>
      </c>
      <c r="J29">
        <v>69.61</v>
      </c>
      <c r="K29">
        <v>-9.39</v>
      </c>
      <c r="N29" t="s">
        <v>26</v>
      </c>
      <c r="R29" t="s">
        <v>93</v>
      </c>
      <c r="S29" t="s">
        <v>94</v>
      </c>
    </row>
    <row r="30" spans="1:19" x14ac:dyDescent="0.25">
      <c r="A30" s="33">
        <v>45911.734956157408</v>
      </c>
      <c r="B30" s="1">
        <v>45911</v>
      </c>
      <c r="C30" t="s">
        <v>23</v>
      </c>
      <c r="D30" t="s">
        <v>30</v>
      </c>
      <c r="E30" t="s">
        <v>31</v>
      </c>
      <c r="F30" t="s">
        <v>32</v>
      </c>
      <c r="G30" t="s">
        <v>95</v>
      </c>
      <c r="H30" t="s">
        <v>96</v>
      </c>
      <c r="I30">
        <v>5.2408000000000003E-2</v>
      </c>
      <c r="J30">
        <v>141.58000000000001</v>
      </c>
      <c r="K30">
        <v>-7.42</v>
      </c>
      <c r="N30" t="s">
        <v>26</v>
      </c>
      <c r="R30" t="s">
        <v>97</v>
      </c>
      <c r="S30" t="s">
        <v>98</v>
      </c>
    </row>
    <row r="31" spans="1:19" x14ac:dyDescent="0.25">
      <c r="A31" s="33">
        <v>45911.734956504632</v>
      </c>
      <c r="B31" s="1">
        <v>45911</v>
      </c>
      <c r="C31" t="s">
        <v>23</v>
      </c>
      <c r="D31" t="s">
        <v>30</v>
      </c>
      <c r="E31" t="s">
        <v>31</v>
      </c>
      <c r="F31" t="s">
        <v>32</v>
      </c>
      <c r="G31" t="s">
        <v>95</v>
      </c>
      <c r="H31" t="s">
        <v>96</v>
      </c>
      <c r="I31">
        <v>1</v>
      </c>
      <c r="J31">
        <v>141.58000000000001</v>
      </c>
      <c r="K31">
        <v>-141.58000000000001</v>
      </c>
      <c r="L31" s="28">
        <v>-1</v>
      </c>
      <c r="N31" t="s">
        <v>26</v>
      </c>
      <c r="R31" t="s">
        <v>99</v>
      </c>
      <c r="S31" t="s">
        <v>100</v>
      </c>
    </row>
    <row r="32" spans="1:19" x14ac:dyDescent="0.25">
      <c r="A32" s="33">
        <v>45911.737073356482</v>
      </c>
      <c r="B32" s="1">
        <v>45911</v>
      </c>
      <c r="C32" t="s">
        <v>23</v>
      </c>
      <c r="D32" t="s">
        <v>30</v>
      </c>
      <c r="E32" t="s">
        <v>31</v>
      </c>
      <c r="F32" t="s">
        <v>32</v>
      </c>
      <c r="G32" t="s">
        <v>101</v>
      </c>
      <c r="H32" t="s">
        <v>102</v>
      </c>
      <c r="I32">
        <v>1</v>
      </c>
      <c r="J32">
        <v>35.81</v>
      </c>
      <c r="K32">
        <v>-35.81</v>
      </c>
      <c r="L32" s="28">
        <v>-1</v>
      </c>
      <c r="N32" t="s">
        <v>26</v>
      </c>
      <c r="R32" t="s">
        <v>103</v>
      </c>
      <c r="S32" t="s">
        <v>104</v>
      </c>
    </row>
    <row r="33" spans="1:19" x14ac:dyDescent="0.25">
      <c r="A33" s="33">
        <v>45911.737073368058</v>
      </c>
      <c r="B33" s="1">
        <v>45911</v>
      </c>
      <c r="C33" t="s">
        <v>23</v>
      </c>
      <c r="D33" t="s">
        <v>30</v>
      </c>
      <c r="E33" t="s">
        <v>31</v>
      </c>
      <c r="F33" t="s">
        <v>32</v>
      </c>
      <c r="G33" t="s">
        <v>101</v>
      </c>
      <c r="H33" t="s">
        <v>102</v>
      </c>
      <c r="I33">
        <v>0.36833199999999999</v>
      </c>
      <c r="J33">
        <v>35.81</v>
      </c>
      <c r="K33">
        <v>-13.19</v>
      </c>
      <c r="N33" t="s">
        <v>26</v>
      </c>
      <c r="R33" t="s">
        <v>105</v>
      </c>
      <c r="S33" t="s">
        <v>106</v>
      </c>
    </row>
    <row r="34" spans="1:19" x14ac:dyDescent="0.25">
      <c r="A34" s="33">
        <v>45911.981621226849</v>
      </c>
      <c r="B34" s="1">
        <v>45911</v>
      </c>
      <c r="C34" t="s">
        <v>23</v>
      </c>
      <c r="D34" t="s">
        <v>30</v>
      </c>
      <c r="E34" t="s">
        <v>31</v>
      </c>
      <c r="F34" t="s">
        <v>64</v>
      </c>
      <c r="G34" t="s">
        <v>107</v>
      </c>
      <c r="H34" t="s">
        <v>108</v>
      </c>
      <c r="I34">
        <v>2.3671950000000002</v>
      </c>
      <c r="J34">
        <v>20.6995</v>
      </c>
      <c r="K34">
        <v>-49</v>
      </c>
      <c r="L34" s="28">
        <v>-1</v>
      </c>
      <c r="N34" t="s">
        <v>26</v>
      </c>
      <c r="R34" t="s">
        <v>109</v>
      </c>
      <c r="S34" t="s">
        <v>110</v>
      </c>
    </row>
    <row r="35" spans="1:19" x14ac:dyDescent="0.25">
      <c r="A35" s="33">
        <v>45911.990772376448</v>
      </c>
      <c r="B35" s="1">
        <v>45911</v>
      </c>
      <c r="C35" t="s">
        <v>23</v>
      </c>
      <c r="D35" t="s">
        <v>24</v>
      </c>
      <c r="E35" t="s">
        <v>25</v>
      </c>
      <c r="K35">
        <v>30</v>
      </c>
      <c r="N35" t="s">
        <v>26</v>
      </c>
      <c r="R35" t="s">
        <v>27</v>
      </c>
      <c r="S35" t="s">
        <v>111</v>
      </c>
    </row>
    <row r="36" spans="1:19" x14ac:dyDescent="0.25">
      <c r="A36" s="33">
        <v>45911.980774319367</v>
      </c>
      <c r="B36" s="1">
        <v>45911</v>
      </c>
      <c r="C36" t="s">
        <v>23</v>
      </c>
      <c r="D36" t="s">
        <v>24</v>
      </c>
      <c r="E36" t="s">
        <v>25</v>
      </c>
      <c r="K36">
        <v>49.01</v>
      </c>
      <c r="N36" t="s">
        <v>26</v>
      </c>
      <c r="R36" t="s">
        <v>27</v>
      </c>
      <c r="S36" t="s">
        <v>112</v>
      </c>
    </row>
    <row r="37" spans="1:19" x14ac:dyDescent="0.25">
      <c r="A37" s="33">
        <v>45911.733647706213</v>
      </c>
      <c r="B37" s="1">
        <v>45911</v>
      </c>
      <c r="C37" t="s">
        <v>23</v>
      </c>
      <c r="D37" t="s">
        <v>24</v>
      </c>
      <c r="E37" t="s">
        <v>25</v>
      </c>
      <c r="K37">
        <v>200</v>
      </c>
      <c r="N37" t="s">
        <v>26</v>
      </c>
      <c r="R37" t="s">
        <v>27</v>
      </c>
      <c r="S37" t="s">
        <v>113</v>
      </c>
    </row>
    <row r="38" spans="1:19" x14ac:dyDescent="0.25">
      <c r="A38" s="33">
        <v>45911.991932916673</v>
      </c>
      <c r="B38" s="1">
        <v>45911</v>
      </c>
      <c r="C38" t="s">
        <v>23</v>
      </c>
      <c r="D38" t="s">
        <v>30</v>
      </c>
      <c r="E38" t="s">
        <v>31</v>
      </c>
      <c r="F38" t="s">
        <v>64</v>
      </c>
      <c r="G38" t="s">
        <v>114</v>
      </c>
      <c r="H38" t="s">
        <v>115</v>
      </c>
      <c r="I38">
        <v>3.17</v>
      </c>
      <c r="J38">
        <v>3.46387</v>
      </c>
      <c r="K38">
        <v>-10.98</v>
      </c>
      <c r="L38" s="28">
        <v>-1</v>
      </c>
      <c r="N38" t="s">
        <v>26</v>
      </c>
      <c r="R38" t="s">
        <v>116</v>
      </c>
      <c r="S38" t="s">
        <v>117</v>
      </c>
    </row>
    <row r="39" spans="1:19" x14ac:dyDescent="0.25">
      <c r="A39" s="33">
        <v>45911.992177650463</v>
      </c>
      <c r="B39" s="1">
        <v>45911</v>
      </c>
      <c r="C39" t="s">
        <v>23</v>
      </c>
      <c r="D39" t="s">
        <v>30</v>
      </c>
      <c r="E39" t="s">
        <v>31</v>
      </c>
      <c r="F39" t="s">
        <v>64</v>
      </c>
      <c r="G39" t="s">
        <v>118</v>
      </c>
      <c r="H39" t="s">
        <v>119</v>
      </c>
      <c r="I39">
        <v>4.691738</v>
      </c>
      <c r="J39">
        <v>3.6233900000000001</v>
      </c>
      <c r="K39">
        <v>-17</v>
      </c>
      <c r="L39" s="28">
        <v>-1</v>
      </c>
      <c r="N39" t="s">
        <v>26</v>
      </c>
      <c r="R39" t="s">
        <v>120</v>
      </c>
      <c r="S39" t="s">
        <v>121</v>
      </c>
    </row>
    <row r="40" spans="1:19" x14ac:dyDescent="0.25">
      <c r="A40" s="33">
        <v>45916.714019219457</v>
      </c>
      <c r="B40" s="1">
        <v>45916</v>
      </c>
      <c r="C40" t="s">
        <v>23</v>
      </c>
      <c r="D40" t="s">
        <v>24</v>
      </c>
      <c r="E40" t="s">
        <v>25</v>
      </c>
      <c r="K40">
        <v>81</v>
      </c>
      <c r="N40" t="s">
        <v>26</v>
      </c>
      <c r="R40" t="s">
        <v>27</v>
      </c>
      <c r="S40" t="s">
        <v>122</v>
      </c>
    </row>
    <row r="41" spans="1:19" x14ac:dyDescent="0.25">
      <c r="A41" s="33">
        <v>45916.748298668979</v>
      </c>
      <c r="B41" s="1">
        <v>45916</v>
      </c>
      <c r="C41" t="s">
        <v>23</v>
      </c>
      <c r="D41" t="s">
        <v>30</v>
      </c>
      <c r="E41" t="s">
        <v>31</v>
      </c>
      <c r="F41" t="s">
        <v>32</v>
      </c>
      <c r="G41" t="s">
        <v>123</v>
      </c>
      <c r="H41" t="s">
        <v>124</v>
      </c>
      <c r="I41">
        <v>2</v>
      </c>
      <c r="J41">
        <v>40</v>
      </c>
      <c r="K41">
        <v>-80</v>
      </c>
      <c r="L41" s="28">
        <v>-1</v>
      </c>
      <c r="N41" t="s">
        <v>26</v>
      </c>
      <c r="R41" t="s">
        <v>125</v>
      </c>
      <c r="S41" t="s">
        <v>126</v>
      </c>
    </row>
    <row r="42" spans="1:19" x14ac:dyDescent="0.25">
      <c r="A42" s="33">
        <v>45924.665929386567</v>
      </c>
      <c r="B42" s="1">
        <v>45924</v>
      </c>
      <c r="C42" t="s">
        <v>23</v>
      </c>
      <c r="D42" t="s">
        <v>30</v>
      </c>
      <c r="E42" t="s">
        <v>82</v>
      </c>
      <c r="F42" t="s">
        <v>32</v>
      </c>
      <c r="G42" t="s">
        <v>123</v>
      </c>
      <c r="H42" t="s">
        <v>124</v>
      </c>
      <c r="I42">
        <v>-1</v>
      </c>
      <c r="J42">
        <v>45.88</v>
      </c>
      <c r="K42">
        <v>45.88</v>
      </c>
      <c r="L42" s="28">
        <v>-1</v>
      </c>
      <c r="M42">
        <v>-0.91</v>
      </c>
      <c r="N42" t="s">
        <v>26</v>
      </c>
      <c r="R42" t="s">
        <v>127</v>
      </c>
      <c r="S42" t="s">
        <v>128</v>
      </c>
    </row>
    <row r="43" spans="1:19" x14ac:dyDescent="0.25">
      <c r="A43" s="33">
        <v>45924.666172557867</v>
      </c>
      <c r="B43" s="1">
        <v>45924</v>
      </c>
      <c r="C43" t="s">
        <v>23</v>
      </c>
      <c r="D43" t="s">
        <v>30</v>
      </c>
      <c r="E43" t="s">
        <v>82</v>
      </c>
      <c r="F43" t="s">
        <v>32</v>
      </c>
      <c r="G43" t="s">
        <v>33</v>
      </c>
      <c r="H43" t="s">
        <v>34</v>
      </c>
      <c r="I43">
        <v>-0.50466200000000005</v>
      </c>
      <c r="J43">
        <v>101.7</v>
      </c>
      <c r="K43">
        <v>51.32</v>
      </c>
      <c r="L43" s="28">
        <v>-1</v>
      </c>
      <c r="M43">
        <v>-1.01</v>
      </c>
      <c r="N43" t="s">
        <v>26</v>
      </c>
      <c r="R43" t="s">
        <v>129</v>
      </c>
      <c r="S43" t="s">
        <v>130</v>
      </c>
    </row>
    <row r="44" spans="1:19" x14ac:dyDescent="0.25">
      <c r="A44" s="33">
        <v>45924.716028750001</v>
      </c>
      <c r="B44" s="1">
        <v>45924</v>
      </c>
      <c r="C44" t="s">
        <v>23</v>
      </c>
      <c r="D44" t="s">
        <v>30</v>
      </c>
      <c r="E44" t="s">
        <v>82</v>
      </c>
      <c r="F44" t="s">
        <v>32</v>
      </c>
      <c r="G44" t="s">
        <v>40</v>
      </c>
      <c r="H44" t="s">
        <v>41</v>
      </c>
      <c r="I44">
        <v>-1</v>
      </c>
      <c r="J44">
        <v>151.56</v>
      </c>
      <c r="K44">
        <v>151.56</v>
      </c>
      <c r="L44" s="28">
        <v>-1</v>
      </c>
      <c r="M44">
        <v>-1.58</v>
      </c>
      <c r="N44" t="s">
        <v>26</v>
      </c>
      <c r="R44" t="s">
        <v>131</v>
      </c>
      <c r="S44" t="s">
        <v>132</v>
      </c>
    </row>
    <row r="45" spans="1:19" x14ac:dyDescent="0.25">
      <c r="A45" s="33">
        <v>45924.716028831019</v>
      </c>
      <c r="B45" s="1">
        <v>45924</v>
      </c>
      <c r="C45" t="s">
        <v>23</v>
      </c>
      <c r="D45" t="s">
        <v>30</v>
      </c>
      <c r="E45" t="s">
        <v>82</v>
      </c>
      <c r="F45" t="s">
        <v>32</v>
      </c>
      <c r="G45" t="s">
        <v>40</v>
      </c>
      <c r="H45" t="s">
        <v>41</v>
      </c>
      <c r="I45">
        <v>-0.32744200000000001</v>
      </c>
      <c r="J45">
        <v>151.56</v>
      </c>
      <c r="K45">
        <v>49.63</v>
      </c>
      <c r="M45">
        <v>-0.02</v>
      </c>
      <c r="N45" t="s">
        <v>26</v>
      </c>
      <c r="R45" t="s">
        <v>133</v>
      </c>
      <c r="S45" t="s">
        <v>134</v>
      </c>
    </row>
    <row r="46" spans="1:19" x14ac:dyDescent="0.25">
      <c r="A46" s="33">
        <v>45924.716160810189</v>
      </c>
      <c r="B46" s="1">
        <v>45924</v>
      </c>
      <c r="C46" t="s">
        <v>23</v>
      </c>
      <c r="D46" t="s">
        <v>30</v>
      </c>
      <c r="E46" t="s">
        <v>82</v>
      </c>
      <c r="F46" t="s">
        <v>32</v>
      </c>
      <c r="G46" t="s">
        <v>95</v>
      </c>
      <c r="H46" t="s">
        <v>96</v>
      </c>
      <c r="I46">
        <v>-1</v>
      </c>
      <c r="J46">
        <v>153.46</v>
      </c>
      <c r="K46">
        <v>153.46</v>
      </c>
      <c r="L46" s="28">
        <v>-1</v>
      </c>
      <c r="M46">
        <v>-2.6</v>
      </c>
      <c r="N46" t="s">
        <v>26</v>
      </c>
      <c r="R46" t="s">
        <v>135</v>
      </c>
      <c r="S46" t="s">
        <v>136</v>
      </c>
    </row>
    <row r="47" spans="1:19" x14ac:dyDescent="0.25">
      <c r="A47" s="33">
        <v>45924.716160821758</v>
      </c>
      <c r="B47" s="1">
        <v>45924</v>
      </c>
      <c r="C47" t="s">
        <v>23</v>
      </c>
      <c r="D47" t="s">
        <v>30</v>
      </c>
      <c r="E47" t="s">
        <v>82</v>
      </c>
      <c r="F47" t="s">
        <v>32</v>
      </c>
      <c r="G47" t="s">
        <v>95</v>
      </c>
      <c r="H47" t="s">
        <v>96</v>
      </c>
      <c r="I47">
        <v>-5.2408000000000003E-2</v>
      </c>
      <c r="J47">
        <v>153.46</v>
      </c>
      <c r="K47">
        <v>8.0399999999999991</v>
      </c>
      <c r="M47">
        <v>-0.16</v>
      </c>
      <c r="N47" t="s">
        <v>26</v>
      </c>
      <c r="R47" t="s">
        <v>137</v>
      </c>
      <c r="S47" t="s">
        <v>138</v>
      </c>
    </row>
    <row r="48" spans="1:19" x14ac:dyDescent="0.25">
      <c r="A48" s="33">
        <v>45924.716332974538</v>
      </c>
      <c r="B48" s="1">
        <v>45924</v>
      </c>
      <c r="C48" t="s">
        <v>23</v>
      </c>
      <c r="D48" t="s">
        <v>30</v>
      </c>
      <c r="E48" t="s">
        <v>82</v>
      </c>
      <c r="F48" t="s">
        <v>32</v>
      </c>
      <c r="G48" t="s">
        <v>47</v>
      </c>
      <c r="H48" t="s">
        <v>48</v>
      </c>
      <c r="I48">
        <v>-1.7408E-2</v>
      </c>
      <c r="J48">
        <v>98.48</v>
      </c>
      <c r="K48">
        <v>1.71</v>
      </c>
      <c r="M48">
        <v>-0.04</v>
      </c>
      <c r="N48" t="s">
        <v>26</v>
      </c>
      <c r="R48" t="s">
        <v>139</v>
      </c>
      <c r="S48" t="s">
        <v>140</v>
      </c>
    </row>
    <row r="49" spans="1:19" x14ac:dyDescent="0.25">
      <c r="A49" s="33">
        <v>45924.716333055563</v>
      </c>
      <c r="B49" s="1">
        <v>45924</v>
      </c>
      <c r="C49" t="s">
        <v>23</v>
      </c>
      <c r="D49" t="s">
        <v>30</v>
      </c>
      <c r="E49" t="s">
        <v>82</v>
      </c>
      <c r="F49" t="s">
        <v>32</v>
      </c>
      <c r="G49" t="s">
        <v>47</v>
      </c>
      <c r="H49" t="s">
        <v>48</v>
      </c>
      <c r="I49">
        <v>-1</v>
      </c>
      <c r="J49">
        <v>98.48</v>
      </c>
      <c r="K49">
        <v>98.48</v>
      </c>
      <c r="L49" s="28">
        <v>-1</v>
      </c>
      <c r="M49">
        <v>-2.12</v>
      </c>
      <c r="N49" t="s">
        <v>26</v>
      </c>
      <c r="R49" t="s">
        <v>141</v>
      </c>
      <c r="S49" t="s">
        <v>142</v>
      </c>
    </row>
    <row r="50" spans="1:19" x14ac:dyDescent="0.25">
      <c r="A50" s="33">
        <v>45924.716463553239</v>
      </c>
      <c r="B50" s="1">
        <v>45924</v>
      </c>
      <c r="C50" t="s">
        <v>23</v>
      </c>
      <c r="D50" t="s">
        <v>30</v>
      </c>
      <c r="E50" t="s">
        <v>82</v>
      </c>
      <c r="F50" t="s">
        <v>32</v>
      </c>
      <c r="G50" t="s">
        <v>89</v>
      </c>
      <c r="H50" t="s">
        <v>90</v>
      </c>
      <c r="I50">
        <v>-1</v>
      </c>
      <c r="J50">
        <v>77.790000000000006</v>
      </c>
      <c r="K50">
        <v>77.790000000000006</v>
      </c>
      <c r="L50" s="28">
        <v>-1</v>
      </c>
      <c r="M50">
        <v>-1.63</v>
      </c>
      <c r="N50" t="s">
        <v>26</v>
      </c>
      <c r="R50" t="s">
        <v>143</v>
      </c>
      <c r="S50" t="s">
        <v>144</v>
      </c>
    </row>
    <row r="51" spans="1:19" x14ac:dyDescent="0.25">
      <c r="A51" s="33">
        <v>45924.716473738423</v>
      </c>
      <c r="B51" s="1">
        <v>45924</v>
      </c>
      <c r="C51" t="s">
        <v>23</v>
      </c>
      <c r="D51" t="s">
        <v>30</v>
      </c>
      <c r="E51" t="s">
        <v>82</v>
      </c>
      <c r="F51" t="s">
        <v>32</v>
      </c>
      <c r="G51" t="s">
        <v>89</v>
      </c>
      <c r="H51" t="s">
        <v>90</v>
      </c>
      <c r="I51">
        <v>-0.13489399999999999</v>
      </c>
      <c r="J51">
        <v>77.790000000000006</v>
      </c>
      <c r="K51">
        <v>10.49</v>
      </c>
      <c r="M51">
        <v>-0.28999999999999998</v>
      </c>
      <c r="N51" t="s">
        <v>26</v>
      </c>
      <c r="R51" t="s">
        <v>145</v>
      </c>
      <c r="S51" t="s">
        <v>146</v>
      </c>
    </row>
    <row r="52" spans="1:19" x14ac:dyDescent="0.25">
      <c r="A52" s="33">
        <v>45924.718084687498</v>
      </c>
      <c r="B52" s="1">
        <v>45924</v>
      </c>
      <c r="C52" t="s">
        <v>23</v>
      </c>
      <c r="D52" t="s">
        <v>30</v>
      </c>
      <c r="E52" t="s">
        <v>82</v>
      </c>
      <c r="F52" t="s">
        <v>32</v>
      </c>
      <c r="G52" t="s">
        <v>33</v>
      </c>
      <c r="H52" t="s">
        <v>34</v>
      </c>
      <c r="I52">
        <v>-0.50466299999999997</v>
      </c>
      <c r="J52">
        <v>103.8</v>
      </c>
      <c r="K52">
        <v>52.38</v>
      </c>
      <c r="L52" s="28">
        <v>-1</v>
      </c>
      <c r="M52">
        <v>-1.28</v>
      </c>
      <c r="N52" t="s">
        <v>26</v>
      </c>
      <c r="R52" t="s">
        <v>147</v>
      </c>
      <c r="S52" t="s">
        <v>148</v>
      </c>
    </row>
    <row r="53" spans="1:19" x14ac:dyDescent="0.25">
      <c r="A53" s="33">
        <v>45924.71822476852</v>
      </c>
      <c r="B53" s="1">
        <v>45924</v>
      </c>
      <c r="C53" t="s">
        <v>23</v>
      </c>
      <c r="D53" t="s">
        <v>30</v>
      </c>
      <c r="E53" t="s">
        <v>82</v>
      </c>
      <c r="F53" t="s">
        <v>32</v>
      </c>
      <c r="G53" t="s">
        <v>123</v>
      </c>
      <c r="H53" t="s">
        <v>124</v>
      </c>
      <c r="I53">
        <v>-1</v>
      </c>
      <c r="J53">
        <v>46.42</v>
      </c>
      <c r="K53">
        <v>46.42</v>
      </c>
      <c r="L53" s="28">
        <v>-1</v>
      </c>
      <c r="M53">
        <v>-1.29</v>
      </c>
      <c r="N53" t="s">
        <v>26</v>
      </c>
      <c r="R53" t="s">
        <v>127</v>
      </c>
      <c r="S53" t="s">
        <v>149</v>
      </c>
    </row>
    <row r="54" spans="1:19" x14ac:dyDescent="0.25">
      <c r="A54" s="33">
        <v>45924.721522037027</v>
      </c>
      <c r="B54" s="1">
        <v>45924</v>
      </c>
      <c r="C54" t="s">
        <v>23</v>
      </c>
      <c r="D54" t="s">
        <v>30</v>
      </c>
      <c r="E54" t="s">
        <v>82</v>
      </c>
      <c r="F54" t="s">
        <v>32</v>
      </c>
      <c r="G54" t="s">
        <v>76</v>
      </c>
      <c r="H54" t="s">
        <v>77</v>
      </c>
      <c r="I54">
        <v>-0.18687799999999999</v>
      </c>
      <c r="J54">
        <v>11.63</v>
      </c>
      <c r="K54">
        <v>2.17</v>
      </c>
      <c r="M54">
        <v>-7.0000000000000007E-2</v>
      </c>
      <c r="N54" t="s">
        <v>26</v>
      </c>
      <c r="R54" t="s">
        <v>150</v>
      </c>
      <c r="S54" t="s">
        <v>151</v>
      </c>
    </row>
    <row r="55" spans="1:19" x14ac:dyDescent="0.25">
      <c r="A55" s="33">
        <v>45924.72152204861</v>
      </c>
      <c r="B55" s="1">
        <v>45924</v>
      </c>
      <c r="C55" t="s">
        <v>23</v>
      </c>
      <c r="D55" t="s">
        <v>30</v>
      </c>
      <c r="E55" t="s">
        <v>82</v>
      </c>
      <c r="F55" t="s">
        <v>32</v>
      </c>
      <c r="G55" t="s">
        <v>76</v>
      </c>
      <c r="H55" t="s">
        <v>77</v>
      </c>
      <c r="I55">
        <v>-2</v>
      </c>
      <c r="J55">
        <v>11.63</v>
      </c>
      <c r="K55">
        <v>23.26</v>
      </c>
      <c r="L55" s="28">
        <v>-1</v>
      </c>
      <c r="M55">
        <v>-0.3</v>
      </c>
      <c r="N55" t="s">
        <v>26</v>
      </c>
      <c r="R55" t="s">
        <v>152</v>
      </c>
      <c r="S55" t="s">
        <v>153</v>
      </c>
    </row>
    <row r="56" spans="1:19" x14ac:dyDescent="0.25">
      <c r="A56" s="33">
        <v>45926.874781273153</v>
      </c>
      <c r="B56" s="1">
        <v>45926</v>
      </c>
      <c r="C56" t="s">
        <v>23</v>
      </c>
      <c r="D56" t="s">
        <v>30</v>
      </c>
      <c r="E56" t="s">
        <v>31</v>
      </c>
      <c r="F56" t="s">
        <v>32</v>
      </c>
      <c r="G56" t="s">
        <v>154</v>
      </c>
      <c r="H56" t="s">
        <v>155</v>
      </c>
      <c r="I56">
        <v>4</v>
      </c>
      <c r="J56">
        <v>22.83</v>
      </c>
      <c r="K56">
        <v>-91.32</v>
      </c>
      <c r="L56" s="28">
        <v>-1</v>
      </c>
      <c r="N56" t="s">
        <v>26</v>
      </c>
      <c r="R56" t="s">
        <v>156</v>
      </c>
      <c r="S56" t="s">
        <v>157</v>
      </c>
    </row>
    <row r="57" spans="1:19" x14ac:dyDescent="0.25">
      <c r="A57" s="33">
        <v>45926.874781284721</v>
      </c>
      <c r="B57" s="1">
        <v>45926</v>
      </c>
      <c r="C57" t="s">
        <v>23</v>
      </c>
      <c r="D57" t="s">
        <v>30</v>
      </c>
      <c r="E57" t="s">
        <v>31</v>
      </c>
      <c r="F57" t="s">
        <v>32</v>
      </c>
      <c r="G57" t="s">
        <v>154</v>
      </c>
      <c r="H57" t="s">
        <v>155</v>
      </c>
      <c r="I57">
        <v>0.33450000000000002</v>
      </c>
      <c r="J57">
        <v>22.83</v>
      </c>
      <c r="K57">
        <v>-7.64</v>
      </c>
      <c r="N57" t="s">
        <v>26</v>
      </c>
      <c r="R57" t="s">
        <v>158</v>
      </c>
      <c r="S57" t="s">
        <v>159</v>
      </c>
    </row>
    <row r="58" spans="1:19" x14ac:dyDescent="0.25">
      <c r="A58" s="33">
        <v>45926.945464833712</v>
      </c>
      <c r="B58" s="1">
        <v>45926</v>
      </c>
      <c r="C58" t="s">
        <v>23</v>
      </c>
      <c r="D58" t="s">
        <v>24</v>
      </c>
      <c r="E58" t="s">
        <v>25</v>
      </c>
      <c r="K58">
        <v>100</v>
      </c>
      <c r="N58" t="s">
        <v>26</v>
      </c>
      <c r="R58" t="s">
        <v>27</v>
      </c>
      <c r="S58" t="s">
        <v>160</v>
      </c>
    </row>
    <row r="59" spans="1:19" x14ac:dyDescent="0.25">
      <c r="A59" s="33">
        <v>45926.319023787168</v>
      </c>
      <c r="B59" s="1">
        <v>45926</v>
      </c>
      <c r="C59" t="s">
        <v>23</v>
      </c>
      <c r="D59" t="s">
        <v>24</v>
      </c>
      <c r="E59" t="s">
        <v>161</v>
      </c>
      <c r="K59">
        <v>-750</v>
      </c>
      <c r="N59" t="s">
        <v>26</v>
      </c>
      <c r="R59" t="s">
        <v>162</v>
      </c>
      <c r="S59" t="s">
        <v>163</v>
      </c>
    </row>
    <row r="60" spans="1:19" x14ac:dyDescent="0.25">
      <c r="A60" s="33">
        <v>45926.872015387547</v>
      </c>
      <c r="B60" s="1">
        <v>45926</v>
      </c>
      <c r="C60" t="s">
        <v>23</v>
      </c>
      <c r="D60" t="s">
        <v>24</v>
      </c>
      <c r="E60" t="s">
        <v>25</v>
      </c>
      <c r="K60">
        <v>100</v>
      </c>
      <c r="N60" t="s">
        <v>26</v>
      </c>
      <c r="R60" t="s">
        <v>27</v>
      </c>
      <c r="S60" t="s">
        <v>164</v>
      </c>
    </row>
    <row r="61" spans="1:19" x14ac:dyDescent="0.25">
      <c r="A61" s="33">
        <v>45928.537476462057</v>
      </c>
      <c r="B61" s="1">
        <v>45928</v>
      </c>
      <c r="C61" t="s">
        <v>23</v>
      </c>
      <c r="D61" t="s">
        <v>24</v>
      </c>
      <c r="E61" t="s">
        <v>161</v>
      </c>
      <c r="K61">
        <v>-100</v>
      </c>
      <c r="N61" t="s">
        <v>26</v>
      </c>
      <c r="R61" t="s">
        <v>162</v>
      </c>
      <c r="S61" t="s">
        <v>165</v>
      </c>
    </row>
    <row r="62" spans="1:19" x14ac:dyDescent="0.25">
      <c r="A62" s="33">
        <v>45930.407963409169</v>
      </c>
      <c r="B62" s="1">
        <v>45930</v>
      </c>
      <c r="C62" t="s">
        <v>23</v>
      </c>
      <c r="D62" t="s">
        <v>24</v>
      </c>
      <c r="E62" t="s">
        <v>25</v>
      </c>
      <c r="K62">
        <v>51</v>
      </c>
      <c r="N62" t="s">
        <v>26</v>
      </c>
      <c r="R62" t="s">
        <v>27</v>
      </c>
      <c r="S62" t="s">
        <v>166</v>
      </c>
    </row>
    <row r="63" spans="1:19" x14ac:dyDescent="0.25">
      <c r="A63" s="33">
        <v>45930.40881277778</v>
      </c>
      <c r="B63" s="1">
        <v>45930</v>
      </c>
      <c r="C63" t="s">
        <v>23</v>
      </c>
      <c r="D63" t="s">
        <v>30</v>
      </c>
      <c r="E63" t="s">
        <v>31</v>
      </c>
      <c r="F63" t="s">
        <v>32</v>
      </c>
      <c r="G63" t="s">
        <v>167</v>
      </c>
      <c r="H63" t="s">
        <v>168</v>
      </c>
      <c r="I63">
        <v>17</v>
      </c>
      <c r="J63">
        <v>2.8</v>
      </c>
      <c r="K63">
        <v>-47.6</v>
      </c>
      <c r="L63" s="28">
        <v>-1</v>
      </c>
      <c r="N63" t="s">
        <v>26</v>
      </c>
      <c r="R63" t="s">
        <v>169</v>
      </c>
      <c r="S63" t="s">
        <v>170</v>
      </c>
    </row>
    <row r="64" spans="1:19" x14ac:dyDescent="0.25">
      <c r="A64" s="33">
        <v>45930.408812789348</v>
      </c>
      <c r="B64" s="1">
        <v>45930</v>
      </c>
      <c r="C64" t="s">
        <v>23</v>
      </c>
      <c r="D64" t="s">
        <v>30</v>
      </c>
      <c r="E64" t="s">
        <v>31</v>
      </c>
      <c r="F64" t="s">
        <v>32</v>
      </c>
      <c r="G64" t="s">
        <v>167</v>
      </c>
      <c r="H64" t="s">
        <v>168</v>
      </c>
      <c r="I64">
        <v>0.85714199999999996</v>
      </c>
      <c r="J64">
        <v>2.8</v>
      </c>
      <c r="K64">
        <v>-2.4</v>
      </c>
      <c r="N64" t="s">
        <v>26</v>
      </c>
      <c r="R64" t="s">
        <v>171</v>
      </c>
      <c r="S64" t="s">
        <v>172</v>
      </c>
    </row>
    <row r="65" spans="1:19" x14ac:dyDescent="0.25">
      <c r="A65" s="33">
        <v>45931.636972511573</v>
      </c>
      <c r="B65" s="1">
        <v>45931</v>
      </c>
      <c r="C65" t="s">
        <v>23</v>
      </c>
      <c r="D65" t="s">
        <v>30</v>
      </c>
      <c r="E65" t="s">
        <v>31</v>
      </c>
      <c r="F65" t="s">
        <v>32</v>
      </c>
      <c r="G65" t="s">
        <v>154</v>
      </c>
      <c r="H65" t="s">
        <v>155</v>
      </c>
      <c r="I65">
        <v>2</v>
      </c>
      <c r="J65">
        <v>20.72</v>
      </c>
      <c r="K65">
        <v>-41.44</v>
      </c>
      <c r="L65" s="28">
        <v>-1</v>
      </c>
      <c r="N65" t="s">
        <v>26</v>
      </c>
      <c r="R65" t="s">
        <v>173</v>
      </c>
      <c r="S65" t="s">
        <v>174</v>
      </c>
    </row>
    <row r="66" spans="1:19" x14ac:dyDescent="0.25">
      <c r="A66" s="33">
        <v>45931.636972511573</v>
      </c>
      <c r="B66" s="1">
        <v>45931</v>
      </c>
      <c r="C66" t="s">
        <v>23</v>
      </c>
      <c r="D66" t="s">
        <v>30</v>
      </c>
      <c r="E66" t="s">
        <v>31</v>
      </c>
      <c r="F66" t="s">
        <v>32</v>
      </c>
      <c r="G66" t="s">
        <v>154</v>
      </c>
      <c r="H66" t="s">
        <v>155</v>
      </c>
      <c r="I66">
        <v>0.36486400000000002</v>
      </c>
      <c r="J66">
        <v>20.72</v>
      </c>
      <c r="K66">
        <v>-7.56</v>
      </c>
      <c r="N66" t="s">
        <v>26</v>
      </c>
      <c r="R66" t="s">
        <v>175</v>
      </c>
      <c r="S66" t="s">
        <v>176</v>
      </c>
    </row>
    <row r="67" spans="1:19" x14ac:dyDescent="0.25">
      <c r="A67" s="33">
        <v>45931.637119981271</v>
      </c>
      <c r="B67" s="1">
        <v>45931</v>
      </c>
      <c r="C67" t="s">
        <v>23</v>
      </c>
      <c r="D67" t="s">
        <v>24</v>
      </c>
      <c r="E67" t="s">
        <v>25</v>
      </c>
      <c r="K67">
        <v>50</v>
      </c>
      <c r="N67" t="s">
        <v>26</v>
      </c>
      <c r="R67" t="s">
        <v>27</v>
      </c>
      <c r="S67" t="s">
        <v>177</v>
      </c>
    </row>
    <row r="68" spans="1:19" x14ac:dyDescent="0.25">
      <c r="A68" s="33">
        <v>45932.717521023093</v>
      </c>
      <c r="B68" s="1">
        <v>45932</v>
      </c>
      <c r="C68" t="s">
        <v>23</v>
      </c>
      <c r="D68" t="s">
        <v>24</v>
      </c>
      <c r="E68" t="s">
        <v>178</v>
      </c>
      <c r="F68" t="s">
        <v>32</v>
      </c>
      <c r="G68" t="s">
        <v>40</v>
      </c>
      <c r="H68" t="s">
        <v>41</v>
      </c>
      <c r="I68">
        <v>1.327442</v>
      </c>
      <c r="K68">
        <v>0.01</v>
      </c>
      <c r="N68" t="s">
        <v>26</v>
      </c>
      <c r="O68">
        <v>0.01</v>
      </c>
      <c r="P68" t="s">
        <v>179</v>
      </c>
      <c r="Q68">
        <v>0.85295100000000001</v>
      </c>
      <c r="R68" t="s">
        <v>180</v>
      </c>
      <c r="S68" t="s">
        <v>181</v>
      </c>
    </row>
    <row r="69" spans="1:19" x14ac:dyDescent="0.25">
      <c r="A69" s="33">
        <v>45932.719350763888</v>
      </c>
      <c r="B69" s="1">
        <v>45932</v>
      </c>
      <c r="C69" t="s">
        <v>23</v>
      </c>
      <c r="D69" t="s">
        <v>30</v>
      </c>
      <c r="E69" t="s">
        <v>82</v>
      </c>
      <c r="F69" t="s">
        <v>64</v>
      </c>
      <c r="G69" t="s">
        <v>65</v>
      </c>
      <c r="H69" t="s">
        <v>66</v>
      </c>
      <c r="I69">
        <v>-1.004294</v>
      </c>
      <c r="J69">
        <v>190.279</v>
      </c>
      <c r="K69">
        <v>191.1</v>
      </c>
      <c r="L69" s="28">
        <v>-1</v>
      </c>
      <c r="N69" t="s">
        <v>26</v>
      </c>
      <c r="R69" t="s">
        <v>182</v>
      </c>
      <c r="S69" t="s">
        <v>183</v>
      </c>
    </row>
    <row r="70" spans="1:19" x14ac:dyDescent="0.25">
      <c r="A70" s="33">
        <v>45932.753552858798</v>
      </c>
      <c r="B70" s="1">
        <v>45932</v>
      </c>
      <c r="C70" t="s">
        <v>23</v>
      </c>
      <c r="D70" t="s">
        <v>30</v>
      </c>
      <c r="E70" t="s">
        <v>82</v>
      </c>
      <c r="F70" t="s">
        <v>32</v>
      </c>
      <c r="G70" t="s">
        <v>55</v>
      </c>
      <c r="H70" t="s">
        <v>56</v>
      </c>
      <c r="I70">
        <v>-1</v>
      </c>
      <c r="J70">
        <v>34.284999999999997</v>
      </c>
      <c r="K70">
        <v>34.29</v>
      </c>
      <c r="L70" s="28">
        <v>-1</v>
      </c>
      <c r="M70">
        <v>-0.28999999999999998</v>
      </c>
      <c r="N70" t="s">
        <v>26</v>
      </c>
      <c r="R70" t="s">
        <v>184</v>
      </c>
      <c r="S70" t="s">
        <v>185</v>
      </c>
    </row>
    <row r="71" spans="1:19" x14ac:dyDescent="0.25">
      <c r="A71" s="33">
        <v>45932.753553877323</v>
      </c>
      <c r="B71" s="1">
        <v>45932</v>
      </c>
      <c r="C71" t="s">
        <v>23</v>
      </c>
      <c r="D71" t="s">
        <v>30</v>
      </c>
      <c r="E71" t="s">
        <v>82</v>
      </c>
      <c r="F71" t="s">
        <v>32</v>
      </c>
      <c r="G71" t="s">
        <v>55</v>
      </c>
      <c r="H71" t="s">
        <v>56</v>
      </c>
      <c r="I71">
        <v>-0.87119899999999995</v>
      </c>
      <c r="J71">
        <v>34.284999999999997</v>
      </c>
      <c r="K71">
        <v>29.87</v>
      </c>
      <c r="M71">
        <v>-0.28000000000000003</v>
      </c>
      <c r="N71" t="s">
        <v>26</v>
      </c>
      <c r="R71" t="s">
        <v>186</v>
      </c>
      <c r="S71" t="s">
        <v>187</v>
      </c>
    </row>
    <row r="72" spans="1:19" x14ac:dyDescent="0.25">
      <c r="A72" s="33">
        <v>45932.753730879631</v>
      </c>
      <c r="B72" s="1">
        <v>45932</v>
      </c>
      <c r="C72" t="s">
        <v>23</v>
      </c>
      <c r="D72" t="s">
        <v>30</v>
      </c>
      <c r="E72" t="s">
        <v>82</v>
      </c>
      <c r="F72" t="s">
        <v>32</v>
      </c>
      <c r="G72" t="s">
        <v>101</v>
      </c>
      <c r="H72" t="s">
        <v>102</v>
      </c>
      <c r="I72">
        <v>-1</v>
      </c>
      <c r="J72">
        <v>39.08</v>
      </c>
      <c r="K72">
        <v>39.08</v>
      </c>
      <c r="L72" s="28">
        <v>-1</v>
      </c>
      <c r="M72">
        <v>-0.33</v>
      </c>
      <c r="N72" t="s">
        <v>26</v>
      </c>
      <c r="R72" t="s">
        <v>188</v>
      </c>
      <c r="S72" t="s">
        <v>189</v>
      </c>
    </row>
    <row r="73" spans="1:19" x14ac:dyDescent="0.25">
      <c r="A73" s="33">
        <v>45932.753737210653</v>
      </c>
      <c r="B73" s="1">
        <v>45932</v>
      </c>
      <c r="C73" t="s">
        <v>23</v>
      </c>
      <c r="D73" t="s">
        <v>30</v>
      </c>
      <c r="E73" t="s">
        <v>82</v>
      </c>
      <c r="F73" t="s">
        <v>32</v>
      </c>
      <c r="G73" t="s">
        <v>101</v>
      </c>
      <c r="H73" t="s">
        <v>102</v>
      </c>
      <c r="I73">
        <v>-0.36833199999999999</v>
      </c>
      <c r="J73">
        <v>39.08</v>
      </c>
      <c r="K73">
        <v>14.39</v>
      </c>
      <c r="M73">
        <v>-0.31</v>
      </c>
      <c r="N73" t="s">
        <v>26</v>
      </c>
      <c r="R73" t="s">
        <v>190</v>
      </c>
      <c r="S73" t="s">
        <v>191</v>
      </c>
    </row>
    <row r="74" spans="1:19" x14ac:dyDescent="0.25">
      <c r="A74" s="33">
        <v>45932.755681192131</v>
      </c>
      <c r="B74" s="1">
        <v>45932</v>
      </c>
      <c r="C74" t="s">
        <v>23</v>
      </c>
      <c r="D74" t="s">
        <v>30</v>
      </c>
      <c r="E74" t="s">
        <v>31</v>
      </c>
      <c r="F74" t="s">
        <v>32</v>
      </c>
      <c r="G74" t="s">
        <v>167</v>
      </c>
      <c r="H74" t="s">
        <v>168</v>
      </c>
      <c r="I74">
        <v>39</v>
      </c>
      <c r="J74">
        <v>2.89</v>
      </c>
      <c r="K74">
        <v>-112.71</v>
      </c>
      <c r="L74" s="28">
        <v>-1</v>
      </c>
      <c r="N74" t="s">
        <v>26</v>
      </c>
      <c r="R74" t="s">
        <v>192</v>
      </c>
      <c r="S74" t="s">
        <v>193</v>
      </c>
    </row>
    <row r="75" spans="1:19" x14ac:dyDescent="0.25">
      <c r="A75" s="33">
        <v>45932.755708090277</v>
      </c>
      <c r="B75" s="1">
        <v>45932</v>
      </c>
      <c r="C75" t="s">
        <v>23</v>
      </c>
      <c r="D75" t="s">
        <v>30</v>
      </c>
      <c r="E75" t="s">
        <v>31</v>
      </c>
      <c r="F75" t="s">
        <v>32</v>
      </c>
      <c r="G75" t="s">
        <v>167</v>
      </c>
      <c r="H75" t="s">
        <v>168</v>
      </c>
      <c r="I75">
        <v>0.37823800000000002</v>
      </c>
      <c r="J75">
        <v>2.89</v>
      </c>
      <c r="K75">
        <v>-1.0900000000000001</v>
      </c>
      <c r="N75" t="s">
        <v>26</v>
      </c>
      <c r="R75" t="s">
        <v>194</v>
      </c>
      <c r="S75" t="s">
        <v>195</v>
      </c>
    </row>
    <row r="76" spans="1:19" x14ac:dyDescent="0.25">
      <c r="A76" s="33">
        <v>45932.784417719908</v>
      </c>
      <c r="B76" s="1">
        <v>45932</v>
      </c>
      <c r="C76" t="s">
        <v>23</v>
      </c>
      <c r="D76" t="s">
        <v>30</v>
      </c>
      <c r="E76" t="s">
        <v>31</v>
      </c>
      <c r="F76" t="s">
        <v>32</v>
      </c>
      <c r="G76" t="s">
        <v>167</v>
      </c>
      <c r="H76" t="s">
        <v>168</v>
      </c>
      <c r="I76">
        <v>6</v>
      </c>
      <c r="J76">
        <v>2.855</v>
      </c>
      <c r="K76">
        <v>-17.13</v>
      </c>
      <c r="L76" s="28">
        <v>-1</v>
      </c>
      <c r="N76" t="s">
        <v>26</v>
      </c>
      <c r="R76" t="s">
        <v>196</v>
      </c>
      <c r="S76" t="s">
        <v>197</v>
      </c>
    </row>
    <row r="77" spans="1:19" x14ac:dyDescent="0.25">
      <c r="A77" s="33">
        <v>45932.784432210647</v>
      </c>
      <c r="B77" s="1">
        <v>45932</v>
      </c>
      <c r="C77" t="s">
        <v>23</v>
      </c>
      <c r="D77" t="s">
        <v>30</v>
      </c>
      <c r="E77" t="s">
        <v>31</v>
      </c>
      <c r="F77" t="s">
        <v>32</v>
      </c>
      <c r="G77" t="s">
        <v>167</v>
      </c>
      <c r="H77" t="s">
        <v>168</v>
      </c>
      <c r="I77">
        <v>0.65499099999999999</v>
      </c>
      <c r="J77">
        <v>2.855</v>
      </c>
      <c r="K77">
        <v>-1.87</v>
      </c>
      <c r="N77" t="s">
        <v>26</v>
      </c>
      <c r="R77" t="s">
        <v>198</v>
      </c>
      <c r="S77" t="s">
        <v>199</v>
      </c>
    </row>
    <row r="78" spans="1:19" x14ac:dyDescent="0.25">
      <c r="A78" s="33">
        <v>45932.784922615741</v>
      </c>
      <c r="B78" s="1">
        <v>45932</v>
      </c>
      <c r="C78" t="s">
        <v>23</v>
      </c>
      <c r="D78" t="s">
        <v>30</v>
      </c>
      <c r="E78" t="s">
        <v>31</v>
      </c>
      <c r="F78" t="s">
        <v>32</v>
      </c>
      <c r="G78" t="s">
        <v>167</v>
      </c>
      <c r="H78" t="s">
        <v>168</v>
      </c>
      <c r="I78">
        <v>59</v>
      </c>
      <c r="J78">
        <v>2.8650000000000002</v>
      </c>
      <c r="K78">
        <v>-169.04</v>
      </c>
      <c r="L78" s="28">
        <v>-1</v>
      </c>
      <c r="N78" t="s">
        <v>26</v>
      </c>
      <c r="R78" t="s">
        <v>200</v>
      </c>
      <c r="S78" t="s">
        <v>201</v>
      </c>
    </row>
    <row r="79" spans="1:19" x14ac:dyDescent="0.25">
      <c r="A79" s="33">
        <v>45932.784923749998</v>
      </c>
      <c r="B79" s="1">
        <v>45932</v>
      </c>
      <c r="C79" t="s">
        <v>23</v>
      </c>
      <c r="D79" t="s">
        <v>30</v>
      </c>
      <c r="E79" t="s">
        <v>31</v>
      </c>
      <c r="F79" t="s">
        <v>32</v>
      </c>
      <c r="G79" t="s">
        <v>167</v>
      </c>
      <c r="H79" t="s">
        <v>168</v>
      </c>
      <c r="I79">
        <v>0.33682299999999998</v>
      </c>
      <c r="J79">
        <v>2.8650000000000002</v>
      </c>
      <c r="K79">
        <v>-0.96</v>
      </c>
      <c r="N79" t="s">
        <v>26</v>
      </c>
      <c r="R79" t="s">
        <v>202</v>
      </c>
      <c r="S79" t="s">
        <v>203</v>
      </c>
    </row>
    <row r="80" spans="1:19" x14ac:dyDescent="0.25">
      <c r="A80" s="33">
        <v>45937.932461180142</v>
      </c>
      <c r="B80" s="1">
        <v>45937</v>
      </c>
      <c r="C80" t="s">
        <v>23</v>
      </c>
      <c r="D80" t="s">
        <v>24</v>
      </c>
      <c r="E80" t="s">
        <v>25</v>
      </c>
      <c r="K80">
        <v>250</v>
      </c>
      <c r="N80" t="s">
        <v>26</v>
      </c>
      <c r="R80" t="s">
        <v>27</v>
      </c>
      <c r="S80" t="s">
        <v>204</v>
      </c>
    </row>
    <row r="81" spans="1:19" x14ac:dyDescent="0.25">
      <c r="A81" s="33">
        <v>45937.953325405091</v>
      </c>
      <c r="B81" s="1">
        <v>45937</v>
      </c>
      <c r="C81" t="s">
        <v>23</v>
      </c>
      <c r="D81" t="s">
        <v>30</v>
      </c>
      <c r="E81" t="s">
        <v>31</v>
      </c>
      <c r="F81" t="s">
        <v>32</v>
      </c>
      <c r="G81" t="s">
        <v>205</v>
      </c>
      <c r="H81" t="s">
        <v>206</v>
      </c>
      <c r="I81">
        <v>30</v>
      </c>
      <c r="J81">
        <v>3.2719999999999998</v>
      </c>
      <c r="K81">
        <v>-98.16</v>
      </c>
      <c r="L81" s="28">
        <v>-1</v>
      </c>
      <c r="N81" t="s">
        <v>26</v>
      </c>
      <c r="R81" t="s">
        <v>207</v>
      </c>
      <c r="S81" t="s">
        <v>208</v>
      </c>
    </row>
    <row r="82" spans="1:19" x14ac:dyDescent="0.25">
      <c r="A82" s="33">
        <v>45937.953325462957</v>
      </c>
      <c r="B82" s="1">
        <v>45937</v>
      </c>
      <c r="C82" t="s">
        <v>23</v>
      </c>
      <c r="D82" t="s">
        <v>30</v>
      </c>
      <c r="E82" t="s">
        <v>31</v>
      </c>
      <c r="F82" t="s">
        <v>32</v>
      </c>
      <c r="G82" t="s">
        <v>205</v>
      </c>
      <c r="H82" t="s">
        <v>206</v>
      </c>
      <c r="I82">
        <v>0.56234700000000004</v>
      </c>
      <c r="J82">
        <v>3.2719999999999998</v>
      </c>
      <c r="K82">
        <v>-1.84</v>
      </c>
      <c r="N82" t="s">
        <v>26</v>
      </c>
      <c r="R82" t="s">
        <v>209</v>
      </c>
      <c r="S82" t="s">
        <v>210</v>
      </c>
    </row>
    <row r="83" spans="1:19" x14ac:dyDescent="0.25">
      <c r="A83" s="33">
        <v>45937.954772488432</v>
      </c>
      <c r="B83" s="1">
        <v>45937</v>
      </c>
      <c r="C83" t="s">
        <v>23</v>
      </c>
      <c r="D83" t="s">
        <v>30</v>
      </c>
      <c r="E83" t="s">
        <v>31</v>
      </c>
      <c r="F83" t="s">
        <v>32</v>
      </c>
      <c r="G83" t="s">
        <v>211</v>
      </c>
      <c r="H83" t="s">
        <v>212</v>
      </c>
      <c r="I83">
        <v>0.96721299999999999</v>
      </c>
      <c r="J83">
        <v>12.1</v>
      </c>
      <c r="K83">
        <v>-11.7</v>
      </c>
      <c r="N83" t="s">
        <v>26</v>
      </c>
      <c r="R83" t="s">
        <v>213</v>
      </c>
      <c r="S83" t="s">
        <v>214</v>
      </c>
    </row>
    <row r="84" spans="1:19" x14ac:dyDescent="0.25">
      <c r="A84" s="33">
        <v>45937.954772500001</v>
      </c>
      <c r="B84" s="1">
        <v>45937</v>
      </c>
      <c r="C84" t="s">
        <v>23</v>
      </c>
      <c r="D84" t="s">
        <v>30</v>
      </c>
      <c r="E84" t="s">
        <v>31</v>
      </c>
      <c r="F84" t="s">
        <v>32</v>
      </c>
      <c r="G84" t="s">
        <v>211</v>
      </c>
      <c r="H84" t="s">
        <v>212</v>
      </c>
      <c r="I84">
        <v>11</v>
      </c>
      <c r="J84">
        <v>12.1</v>
      </c>
      <c r="K84">
        <v>-133.1</v>
      </c>
      <c r="L84" s="28">
        <v>-1</v>
      </c>
      <c r="N84" t="s">
        <v>26</v>
      </c>
      <c r="R84" t="s">
        <v>215</v>
      </c>
      <c r="S84" t="s">
        <v>216</v>
      </c>
    </row>
    <row r="85" spans="1:19" x14ac:dyDescent="0.25">
      <c r="A85" s="33">
        <v>45938.379238020832</v>
      </c>
      <c r="B85" s="1">
        <v>45938</v>
      </c>
      <c r="C85" t="s">
        <v>23</v>
      </c>
      <c r="D85" t="s">
        <v>30</v>
      </c>
      <c r="E85" t="s">
        <v>82</v>
      </c>
      <c r="F85" t="s">
        <v>32</v>
      </c>
      <c r="G85" t="s">
        <v>167</v>
      </c>
      <c r="H85" t="s">
        <v>168</v>
      </c>
      <c r="I85">
        <v>-123</v>
      </c>
      <c r="J85">
        <v>3.63</v>
      </c>
      <c r="K85">
        <v>446.49</v>
      </c>
      <c r="L85" s="28">
        <v>-1</v>
      </c>
      <c r="M85">
        <v>-23.55</v>
      </c>
      <c r="N85" t="s">
        <v>26</v>
      </c>
      <c r="R85" t="s">
        <v>217</v>
      </c>
      <c r="S85" t="s">
        <v>218</v>
      </c>
    </row>
    <row r="86" spans="1:19" x14ac:dyDescent="0.25">
      <c r="A86" s="33">
        <v>45938.379238125002</v>
      </c>
      <c r="B86" s="1">
        <v>45938</v>
      </c>
      <c r="C86" t="s">
        <v>23</v>
      </c>
      <c r="D86" t="s">
        <v>30</v>
      </c>
      <c r="E86" t="s">
        <v>82</v>
      </c>
      <c r="F86" t="s">
        <v>32</v>
      </c>
      <c r="G86" t="s">
        <v>167</v>
      </c>
      <c r="H86" t="s">
        <v>168</v>
      </c>
      <c r="I86">
        <v>-0.22719400000000001</v>
      </c>
      <c r="J86">
        <v>3.63</v>
      </c>
      <c r="K86">
        <v>0.82</v>
      </c>
      <c r="M86">
        <v>-0.05</v>
      </c>
      <c r="N86" t="s">
        <v>26</v>
      </c>
      <c r="R86" t="s">
        <v>219</v>
      </c>
      <c r="S86" t="s">
        <v>220</v>
      </c>
    </row>
    <row r="87" spans="1:19" x14ac:dyDescent="0.25">
      <c r="A87" s="33">
        <v>45938.380235393517</v>
      </c>
      <c r="B87" s="1">
        <v>45938</v>
      </c>
      <c r="C87" t="s">
        <v>23</v>
      </c>
      <c r="D87" t="s">
        <v>30</v>
      </c>
      <c r="E87" t="s">
        <v>82</v>
      </c>
      <c r="F87" t="s">
        <v>32</v>
      </c>
      <c r="G87" t="s">
        <v>154</v>
      </c>
      <c r="H87" t="s">
        <v>155</v>
      </c>
      <c r="I87">
        <v>-6</v>
      </c>
      <c r="J87">
        <v>31.35</v>
      </c>
      <c r="K87">
        <v>188.1</v>
      </c>
      <c r="L87" s="28">
        <v>-1</v>
      </c>
      <c r="M87">
        <v>-13.66</v>
      </c>
      <c r="N87" t="s">
        <v>26</v>
      </c>
      <c r="R87" t="s">
        <v>221</v>
      </c>
      <c r="S87" t="s">
        <v>222</v>
      </c>
    </row>
    <row r="88" spans="1:19" x14ac:dyDescent="0.25">
      <c r="A88" s="33">
        <v>45938.380235428238</v>
      </c>
      <c r="B88" s="1">
        <v>45938</v>
      </c>
      <c r="C88" t="s">
        <v>23</v>
      </c>
      <c r="D88" t="s">
        <v>30</v>
      </c>
      <c r="E88" t="s">
        <v>82</v>
      </c>
      <c r="F88" t="s">
        <v>32</v>
      </c>
      <c r="G88" t="s">
        <v>154</v>
      </c>
      <c r="H88" t="s">
        <v>155</v>
      </c>
      <c r="I88">
        <v>-0.69936399999999999</v>
      </c>
      <c r="J88">
        <v>31.35</v>
      </c>
      <c r="K88">
        <v>21.93</v>
      </c>
      <c r="M88">
        <v>-1.92</v>
      </c>
      <c r="N88" t="s">
        <v>26</v>
      </c>
      <c r="R88" t="s">
        <v>223</v>
      </c>
      <c r="S88" t="s">
        <v>224</v>
      </c>
    </row>
    <row r="89" spans="1:19" x14ac:dyDescent="0.25">
      <c r="A89" s="33">
        <v>45939.919665483198</v>
      </c>
      <c r="B89" s="1">
        <v>45939</v>
      </c>
      <c r="C89" t="s">
        <v>23</v>
      </c>
      <c r="D89" t="s">
        <v>24</v>
      </c>
      <c r="E89" t="s">
        <v>25</v>
      </c>
      <c r="K89">
        <v>100</v>
      </c>
      <c r="N89" t="s">
        <v>26</v>
      </c>
      <c r="R89" t="s">
        <v>27</v>
      </c>
      <c r="S89" t="s">
        <v>225</v>
      </c>
    </row>
    <row r="90" spans="1:19" x14ac:dyDescent="0.25">
      <c r="A90" s="33">
        <v>45939.920300057871</v>
      </c>
      <c r="B90" s="1">
        <v>45939</v>
      </c>
      <c r="C90" t="s">
        <v>23</v>
      </c>
      <c r="D90" t="s">
        <v>30</v>
      </c>
      <c r="E90" t="s">
        <v>31</v>
      </c>
      <c r="F90" t="s">
        <v>32</v>
      </c>
      <c r="G90" t="s">
        <v>226</v>
      </c>
      <c r="H90" t="s">
        <v>227</v>
      </c>
      <c r="I90">
        <v>0.21123900000000001</v>
      </c>
      <c r="J90">
        <v>16.084</v>
      </c>
      <c r="K90">
        <v>-3.4</v>
      </c>
      <c r="N90" t="s">
        <v>26</v>
      </c>
      <c r="R90" t="s">
        <v>228</v>
      </c>
      <c r="S90" t="s">
        <v>229</v>
      </c>
    </row>
    <row r="91" spans="1:19" x14ac:dyDescent="0.25">
      <c r="A91" s="33">
        <v>45939.920300057871</v>
      </c>
      <c r="B91" s="1">
        <v>45939</v>
      </c>
      <c r="C91" t="s">
        <v>23</v>
      </c>
      <c r="D91" t="s">
        <v>30</v>
      </c>
      <c r="E91" t="s">
        <v>31</v>
      </c>
      <c r="F91" t="s">
        <v>32</v>
      </c>
      <c r="G91" t="s">
        <v>226</v>
      </c>
      <c r="H91" t="s">
        <v>227</v>
      </c>
      <c r="I91">
        <v>7</v>
      </c>
      <c r="J91">
        <v>16.084</v>
      </c>
      <c r="K91">
        <v>-112.59</v>
      </c>
      <c r="L91" s="28">
        <v>-1</v>
      </c>
      <c r="N91" t="s">
        <v>26</v>
      </c>
      <c r="R91" t="s">
        <v>230</v>
      </c>
      <c r="S91" t="s">
        <v>231</v>
      </c>
    </row>
    <row r="92" spans="1:19" x14ac:dyDescent="0.25">
      <c r="A92" s="33">
        <v>45939.937102038282</v>
      </c>
      <c r="B92" s="1">
        <v>45939</v>
      </c>
      <c r="C92" t="s">
        <v>23</v>
      </c>
      <c r="D92" t="s">
        <v>24</v>
      </c>
      <c r="E92" t="s">
        <v>25</v>
      </c>
      <c r="K92">
        <v>100</v>
      </c>
      <c r="N92" t="s">
        <v>26</v>
      </c>
      <c r="R92" t="s">
        <v>27</v>
      </c>
      <c r="S92" t="s">
        <v>232</v>
      </c>
    </row>
    <row r="93" spans="1:19" x14ac:dyDescent="0.25">
      <c r="A93" s="33">
        <v>45939.360853141181</v>
      </c>
      <c r="B93" s="1">
        <v>45939</v>
      </c>
      <c r="C93" t="s">
        <v>23</v>
      </c>
      <c r="D93" t="s">
        <v>24</v>
      </c>
      <c r="E93" t="s">
        <v>161</v>
      </c>
      <c r="K93">
        <v>-600</v>
      </c>
      <c r="N93" t="s">
        <v>26</v>
      </c>
      <c r="R93" t="s">
        <v>162</v>
      </c>
      <c r="S93" t="s">
        <v>233</v>
      </c>
    </row>
    <row r="94" spans="1:19" x14ac:dyDescent="0.25">
      <c r="A94" s="33">
        <v>45939.93792178241</v>
      </c>
      <c r="B94" s="1">
        <v>45939</v>
      </c>
      <c r="C94" t="s">
        <v>23</v>
      </c>
      <c r="D94" t="s">
        <v>30</v>
      </c>
      <c r="E94" t="s">
        <v>31</v>
      </c>
      <c r="F94" t="s">
        <v>64</v>
      </c>
      <c r="G94" t="s">
        <v>69</v>
      </c>
      <c r="H94" t="s">
        <v>69</v>
      </c>
      <c r="I94">
        <v>10.314556</v>
      </c>
      <c r="J94">
        <v>2.423918</v>
      </c>
      <c r="K94">
        <v>-25</v>
      </c>
      <c r="L94" s="28">
        <v>-1</v>
      </c>
      <c r="N94" t="s">
        <v>26</v>
      </c>
      <c r="R94" t="s">
        <v>234</v>
      </c>
      <c r="S94" t="s">
        <v>235</v>
      </c>
    </row>
    <row r="95" spans="1:19" x14ac:dyDescent="0.25">
      <c r="A95" s="33">
        <v>45939.938118333332</v>
      </c>
      <c r="B95" s="1">
        <v>45939</v>
      </c>
      <c r="C95" t="s">
        <v>23</v>
      </c>
      <c r="D95" t="s">
        <v>30</v>
      </c>
      <c r="E95" t="s">
        <v>31</v>
      </c>
      <c r="F95" t="s">
        <v>64</v>
      </c>
      <c r="G95" t="s">
        <v>72</v>
      </c>
      <c r="H95" t="s">
        <v>73</v>
      </c>
      <c r="I95">
        <v>28.448975999999998</v>
      </c>
      <c r="J95">
        <v>0.70282800000000001</v>
      </c>
      <c r="K95">
        <v>-19.989999999999998</v>
      </c>
      <c r="L95" s="28">
        <v>-1</v>
      </c>
      <c r="N95" t="s">
        <v>26</v>
      </c>
      <c r="R95" t="s">
        <v>236</v>
      </c>
      <c r="S95" t="s">
        <v>237</v>
      </c>
    </row>
    <row r="96" spans="1:19" x14ac:dyDescent="0.25">
      <c r="A96" s="33">
        <v>45939.938826863428</v>
      </c>
      <c r="B96" s="1">
        <v>45939</v>
      </c>
      <c r="C96" t="s">
        <v>23</v>
      </c>
      <c r="D96" t="s">
        <v>30</v>
      </c>
      <c r="E96" t="s">
        <v>31</v>
      </c>
      <c r="F96" t="s">
        <v>64</v>
      </c>
      <c r="G96" t="s">
        <v>118</v>
      </c>
      <c r="H96" t="s">
        <v>119</v>
      </c>
      <c r="I96">
        <v>7.1401029999999999</v>
      </c>
      <c r="J96">
        <v>3.50034</v>
      </c>
      <c r="K96">
        <v>-24.99</v>
      </c>
      <c r="L96" s="28">
        <v>-1</v>
      </c>
      <c r="N96" t="s">
        <v>26</v>
      </c>
      <c r="R96" t="s">
        <v>238</v>
      </c>
      <c r="S96" t="s">
        <v>239</v>
      </c>
    </row>
    <row r="97" spans="1:19" x14ac:dyDescent="0.25">
      <c r="A97" s="33">
        <v>45939.938979039347</v>
      </c>
      <c r="B97" s="1">
        <v>45939</v>
      </c>
      <c r="C97" t="s">
        <v>23</v>
      </c>
      <c r="D97" t="s">
        <v>30</v>
      </c>
      <c r="E97" t="s">
        <v>31</v>
      </c>
      <c r="F97" t="s">
        <v>64</v>
      </c>
      <c r="G97" t="s">
        <v>114</v>
      </c>
      <c r="H97" t="s">
        <v>115</v>
      </c>
      <c r="I97">
        <v>8.69</v>
      </c>
      <c r="J97">
        <v>2.8759800000000002</v>
      </c>
      <c r="K97">
        <v>-24.99</v>
      </c>
      <c r="L97" s="28">
        <v>-1</v>
      </c>
      <c r="N97" t="s">
        <v>26</v>
      </c>
      <c r="R97" t="s">
        <v>240</v>
      </c>
      <c r="S97" t="s">
        <v>241</v>
      </c>
    </row>
    <row r="98" spans="1:19" x14ac:dyDescent="0.25">
      <c r="A98" s="33">
        <v>45996.502973935188</v>
      </c>
      <c r="B98" s="1">
        <v>45996</v>
      </c>
      <c r="C98" t="s">
        <v>23</v>
      </c>
      <c r="D98" t="s">
        <v>30</v>
      </c>
      <c r="E98" t="s">
        <v>31</v>
      </c>
      <c r="F98" t="s">
        <v>32</v>
      </c>
      <c r="G98" t="s">
        <v>167</v>
      </c>
      <c r="H98" t="s">
        <v>168</v>
      </c>
      <c r="I98">
        <v>0.77513699999999996</v>
      </c>
      <c r="J98">
        <v>1.0940000000000001</v>
      </c>
      <c r="K98">
        <v>-0.85</v>
      </c>
      <c r="N98" t="s">
        <v>26</v>
      </c>
      <c r="R98" t="s">
        <v>242</v>
      </c>
      <c r="S98" t="s">
        <v>243</v>
      </c>
    </row>
    <row r="99" spans="1:19" x14ac:dyDescent="0.25">
      <c r="A99" s="33">
        <v>45996.502973958333</v>
      </c>
      <c r="B99" s="1">
        <v>45996</v>
      </c>
      <c r="C99" t="s">
        <v>23</v>
      </c>
      <c r="D99" t="s">
        <v>30</v>
      </c>
      <c r="E99" t="s">
        <v>31</v>
      </c>
      <c r="F99" t="s">
        <v>32</v>
      </c>
      <c r="G99" t="s">
        <v>167</v>
      </c>
      <c r="H99" t="s">
        <v>168</v>
      </c>
      <c r="I99">
        <v>108</v>
      </c>
      <c r="J99">
        <v>1.0940000000000001</v>
      </c>
      <c r="K99">
        <v>-118.15</v>
      </c>
      <c r="L99" s="28">
        <v>-1</v>
      </c>
      <c r="N99" t="s">
        <v>26</v>
      </c>
      <c r="R99" t="s">
        <v>244</v>
      </c>
      <c r="S99" t="s">
        <v>245</v>
      </c>
    </row>
    <row r="100" spans="1:19" x14ac:dyDescent="0.25">
      <c r="A100" s="33">
        <v>45996.515991581538</v>
      </c>
      <c r="B100" s="1">
        <v>45996</v>
      </c>
      <c r="C100" t="s">
        <v>23</v>
      </c>
      <c r="D100" t="s">
        <v>24</v>
      </c>
      <c r="E100" t="s">
        <v>25</v>
      </c>
      <c r="K100">
        <v>100</v>
      </c>
      <c r="N100" t="s">
        <v>26</v>
      </c>
      <c r="R100" t="s">
        <v>246</v>
      </c>
      <c r="S100" t="s">
        <v>247</v>
      </c>
    </row>
    <row r="101" spans="1:19" x14ac:dyDescent="0.25">
      <c r="A101" s="33">
        <v>45996.501651919709</v>
      </c>
      <c r="B101" s="1">
        <v>45996</v>
      </c>
      <c r="C101" t="s">
        <v>23</v>
      </c>
      <c r="D101" t="s">
        <v>24</v>
      </c>
      <c r="E101" t="s">
        <v>25</v>
      </c>
      <c r="K101">
        <v>17.7</v>
      </c>
      <c r="N101" t="s">
        <v>26</v>
      </c>
      <c r="R101" t="s">
        <v>246</v>
      </c>
      <c r="S101" t="s">
        <v>248</v>
      </c>
    </row>
    <row r="102" spans="1:19" x14ac:dyDescent="0.25">
      <c r="A102" s="33">
        <v>45996.500159141571</v>
      </c>
      <c r="B102" s="1">
        <v>45996</v>
      </c>
      <c r="C102" t="s">
        <v>23</v>
      </c>
      <c r="D102" t="s">
        <v>24</v>
      </c>
      <c r="E102" t="s">
        <v>25</v>
      </c>
      <c r="K102">
        <v>100</v>
      </c>
      <c r="N102" t="s">
        <v>26</v>
      </c>
      <c r="R102" t="s">
        <v>246</v>
      </c>
      <c r="S102" t="s">
        <v>249</v>
      </c>
    </row>
    <row r="103" spans="1:19" x14ac:dyDescent="0.25">
      <c r="A103" s="33">
        <v>45996.516818101853</v>
      </c>
      <c r="B103" s="1">
        <v>45996</v>
      </c>
      <c r="C103" t="s">
        <v>23</v>
      </c>
      <c r="D103" t="s">
        <v>30</v>
      </c>
      <c r="E103" t="s">
        <v>31</v>
      </c>
      <c r="F103" t="s">
        <v>64</v>
      </c>
      <c r="G103" t="s">
        <v>72</v>
      </c>
      <c r="H103" t="s">
        <v>73</v>
      </c>
      <c r="I103">
        <v>134.17307700000001</v>
      </c>
      <c r="J103">
        <v>0.37263099999999999</v>
      </c>
      <c r="K103">
        <v>-50</v>
      </c>
      <c r="L103" s="28">
        <v>-1</v>
      </c>
      <c r="N103" t="s">
        <v>26</v>
      </c>
      <c r="R103" t="s">
        <v>250</v>
      </c>
      <c r="S103" t="s">
        <v>251</v>
      </c>
    </row>
    <row r="104" spans="1:19" x14ac:dyDescent="0.25">
      <c r="A104" s="33">
        <v>45996.517609976851</v>
      </c>
      <c r="B104" s="1">
        <v>45996</v>
      </c>
      <c r="C104" t="s">
        <v>23</v>
      </c>
      <c r="D104" t="s">
        <v>30</v>
      </c>
      <c r="E104" t="s">
        <v>31</v>
      </c>
      <c r="F104" t="s">
        <v>64</v>
      </c>
      <c r="G104" t="s">
        <v>69</v>
      </c>
      <c r="H104" t="s">
        <v>69</v>
      </c>
      <c r="I104">
        <v>26.372817000000001</v>
      </c>
      <c r="J104">
        <v>1.782424</v>
      </c>
      <c r="K104">
        <v>-47.01</v>
      </c>
      <c r="L104" s="28">
        <v>-1</v>
      </c>
      <c r="N104" t="s">
        <v>26</v>
      </c>
      <c r="R104" t="s">
        <v>252</v>
      </c>
      <c r="S104" t="s">
        <v>253</v>
      </c>
    </row>
    <row r="105" spans="1:19" x14ac:dyDescent="0.25">
      <c r="A105" s="33">
        <v>45999.367096898153</v>
      </c>
      <c r="B105" s="1">
        <v>45999</v>
      </c>
      <c r="C105" t="s">
        <v>23</v>
      </c>
      <c r="D105" t="s">
        <v>30</v>
      </c>
      <c r="E105" t="s">
        <v>31</v>
      </c>
      <c r="F105" t="s">
        <v>32</v>
      </c>
      <c r="G105" t="s">
        <v>211</v>
      </c>
      <c r="H105" t="s">
        <v>212</v>
      </c>
      <c r="I105">
        <v>8</v>
      </c>
      <c r="J105">
        <v>5.75</v>
      </c>
      <c r="K105">
        <v>-46</v>
      </c>
      <c r="L105" s="28">
        <v>-1</v>
      </c>
      <c r="N105" t="s">
        <v>26</v>
      </c>
      <c r="R105" t="s">
        <v>254</v>
      </c>
      <c r="S105" t="s">
        <v>255</v>
      </c>
    </row>
    <row r="106" spans="1:19" x14ac:dyDescent="0.25">
      <c r="A106" s="33">
        <v>45999.367096898153</v>
      </c>
      <c r="B106" s="1">
        <v>45999</v>
      </c>
      <c r="C106" t="s">
        <v>23</v>
      </c>
      <c r="D106" t="s">
        <v>30</v>
      </c>
      <c r="E106" t="s">
        <v>31</v>
      </c>
      <c r="F106" t="s">
        <v>32</v>
      </c>
      <c r="G106" t="s">
        <v>211</v>
      </c>
      <c r="H106" t="s">
        <v>212</v>
      </c>
      <c r="I106">
        <v>0.69565200000000005</v>
      </c>
      <c r="J106">
        <v>5.75</v>
      </c>
      <c r="K106">
        <v>-4</v>
      </c>
      <c r="N106" t="s">
        <v>26</v>
      </c>
      <c r="R106" t="s">
        <v>256</v>
      </c>
      <c r="S106" t="s">
        <v>257</v>
      </c>
    </row>
    <row r="107" spans="1:19" x14ac:dyDescent="0.25">
      <c r="A107" s="33">
        <v>45999.46150601493</v>
      </c>
      <c r="B107" s="1">
        <v>45999</v>
      </c>
      <c r="C107" t="s">
        <v>23</v>
      </c>
      <c r="D107" t="s">
        <v>24</v>
      </c>
      <c r="E107" t="s">
        <v>258</v>
      </c>
      <c r="K107">
        <v>21</v>
      </c>
      <c r="N107" t="s">
        <v>26</v>
      </c>
      <c r="R107" t="s">
        <v>259</v>
      </c>
      <c r="S107" t="s">
        <v>260</v>
      </c>
    </row>
    <row r="108" spans="1:19" x14ac:dyDescent="0.25">
      <c r="A108" s="33">
        <v>45999.366685409339</v>
      </c>
      <c r="B108" s="1">
        <v>45999</v>
      </c>
      <c r="C108" t="s">
        <v>23</v>
      </c>
      <c r="D108" t="s">
        <v>24</v>
      </c>
      <c r="E108" t="s">
        <v>25</v>
      </c>
      <c r="K108">
        <v>50</v>
      </c>
      <c r="N108" t="s">
        <v>26</v>
      </c>
      <c r="R108" t="s">
        <v>246</v>
      </c>
      <c r="S108" t="s">
        <v>261</v>
      </c>
    </row>
    <row r="109" spans="1:19" x14ac:dyDescent="0.25">
      <c r="A109" s="33">
        <v>45999.461651724538</v>
      </c>
      <c r="B109" s="1">
        <v>45999</v>
      </c>
      <c r="C109" t="s">
        <v>23</v>
      </c>
      <c r="D109" t="s">
        <v>30</v>
      </c>
      <c r="E109" t="s">
        <v>31</v>
      </c>
      <c r="F109" t="s">
        <v>32</v>
      </c>
      <c r="G109" t="s">
        <v>262</v>
      </c>
      <c r="H109" t="s">
        <v>263</v>
      </c>
      <c r="I109">
        <v>0.58191400000000004</v>
      </c>
      <c r="J109">
        <v>34.335000000000001</v>
      </c>
      <c r="K109">
        <v>-19.98</v>
      </c>
      <c r="L109" s="28">
        <v>-1</v>
      </c>
      <c r="N109" t="s">
        <v>26</v>
      </c>
      <c r="R109" t="s">
        <v>264</v>
      </c>
      <c r="S109" t="s">
        <v>265</v>
      </c>
    </row>
    <row r="110" spans="1:19" x14ac:dyDescent="0.25">
      <c r="A110" s="33">
        <v>46000.625715532413</v>
      </c>
      <c r="B110" s="1">
        <v>46000</v>
      </c>
      <c r="C110" t="s">
        <v>23</v>
      </c>
      <c r="D110" t="s">
        <v>30</v>
      </c>
      <c r="E110" t="s">
        <v>31</v>
      </c>
      <c r="F110" t="s">
        <v>32</v>
      </c>
      <c r="G110" t="s">
        <v>154</v>
      </c>
      <c r="H110" t="s">
        <v>155</v>
      </c>
      <c r="I110">
        <v>0.27538000000000001</v>
      </c>
      <c r="J110">
        <v>24.32</v>
      </c>
      <c r="K110">
        <v>-6.7</v>
      </c>
      <c r="N110" t="s">
        <v>26</v>
      </c>
      <c r="R110" t="s">
        <v>266</v>
      </c>
      <c r="S110" t="s">
        <v>267</v>
      </c>
    </row>
    <row r="111" spans="1:19" x14ac:dyDescent="0.25">
      <c r="A111" s="33">
        <v>46000.625715555558</v>
      </c>
      <c r="B111" s="1">
        <v>46000</v>
      </c>
      <c r="C111" t="s">
        <v>23</v>
      </c>
      <c r="D111" t="s">
        <v>30</v>
      </c>
      <c r="E111" t="s">
        <v>31</v>
      </c>
      <c r="F111" t="s">
        <v>32</v>
      </c>
      <c r="G111" t="s">
        <v>154</v>
      </c>
      <c r="H111" t="s">
        <v>155</v>
      </c>
      <c r="I111">
        <v>10</v>
      </c>
      <c r="J111">
        <v>24.32</v>
      </c>
      <c r="K111">
        <v>-243.2</v>
      </c>
      <c r="L111" s="28">
        <v>-1</v>
      </c>
      <c r="N111" t="s">
        <v>26</v>
      </c>
      <c r="R111" t="s">
        <v>268</v>
      </c>
      <c r="S111" t="s">
        <v>269</v>
      </c>
    </row>
    <row r="112" spans="1:19" x14ac:dyDescent="0.25">
      <c r="A112" s="33">
        <v>46000.850685910671</v>
      </c>
      <c r="B112" s="1">
        <v>46000</v>
      </c>
      <c r="C112" t="s">
        <v>23</v>
      </c>
      <c r="D112" t="s">
        <v>24</v>
      </c>
      <c r="E112" t="s">
        <v>25</v>
      </c>
      <c r="K112">
        <v>90</v>
      </c>
      <c r="N112" t="s">
        <v>26</v>
      </c>
      <c r="R112" t="s">
        <v>246</v>
      </c>
      <c r="S112" t="s">
        <v>270</v>
      </c>
    </row>
    <row r="113" spans="1:19" x14ac:dyDescent="0.25">
      <c r="A113" s="33">
        <v>46000.625322162057</v>
      </c>
      <c r="B113" s="1">
        <v>46000</v>
      </c>
      <c r="C113" t="s">
        <v>23</v>
      </c>
      <c r="D113" t="s">
        <v>24</v>
      </c>
      <c r="E113" t="s">
        <v>25</v>
      </c>
      <c r="K113">
        <v>251</v>
      </c>
      <c r="N113" t="s">
        <v>26</v>
      </c>
      <c r="R113" t="s">
        <v>246</v>
      </c>
      <c r="S113" t="s">
        <v>271</v>
      </c>
    </row>
    <row r="114" spans="1:19" x14ac:dyDescent="0.25">
      <c r="A114" s="33">
        <v>46000.8513996412</v>
      </c>
      <c r="B114" s="1">
        <v>46000</v>
      </c>
      <c r="C114" t="s">
        <v>23</v>
      </c>
      <c r="D114" t="s">
        <v>30</v>
      </c>
      <c r="E114" t="s">
        <v>31</v>
      </c>
      <c r="F114" t="s">
        <v>64</v>
      </c>
      <c r="G114" t="s">
        <v>114</v>
      </c>
      <c r="H114" t="s">
        <v>115</v>
      </c>
      <c r="I114">
        <v>13.04</v>
      </c>
      <c r="J114">
        <v>1.53383</v>
      </c>
      <c r="K114">
        <v>-20</v>
      </c>
      <c r="L114" s="28">
        <v>-1</v>
      </c>
      <c r="N114" t="s">
        <v>26</v>
      </c>
      <c r="R114" t="s">
        <v>272</v>
      </c>
      <c r="S114" t="s">
        <v>273</v>
      </c>
    </row>
    <row r="115" spans="1:19" x14ac:dyDescent="0.25">
      <c r="A115" s="33">
        <v>46000.851704247689</v>
      </c>
      <c r="B115" s="1">
        <v>46000</v>
      </c>
      <c r="C115" t="s">
        <v>23</v>
      </c>
      <c r="D115" t="s">
        <v>30</v>
      </c>
      <c r="E115" t="s">
        <v>31</v>
      </c>
      <c r="F115" t="s">
        <v>64</v>
      </c>
      <c r="G115" t="s">
        <v>118</v>
      </c>
      <c r="H115" t="s">
        <v>119</v>
      </c>
      <c r="I115">
        <v>10.857816</v>
      </c>
      <c r="J115">
        <v>2.0261900000000002</v>
      </c>
      <c r="K115">
        <v>-22</v>
      </c>
      <c r="L115" s="28">
        <v>-1</v>
      </c>
      <c r="N115" t="s">
        <v>26</v>
      </c>
      <c r="R115" t="s">
        <v>274</v>
      </c>
      <c r="S115" t="s">
        <v>275</v>
      </c>
    </row>
    <row r="116" spans="1:19" x14ac:dyDescent="0.25">
      <c r="A116" s="33">
        <v>46000.852138923612</v>
      </c>
      <c r="B116" s="1">
        <v>46000</v>
      </c>
      <c r="C116" t="s">
        <v>23</v>
      </c>
      <c r="D116" t="s">
        <v>30</v>
      </c>
      <c r="E116" t="s">
        <v>31</v>
      </c>
      <c r="F116" t="s">
        <v>64</v>
      </c>
      <c r="G116" t="s">
        <v>107</v>
      </c>
      <c r="H116" t="s">
        <v>108</v>
      </c>
      <c r="I116">
        <v>3.5138129999999999</v>
      </c>
      <c r="J116">
        <v>12.806699999999999</v>
      </c>
      <c r="K116">
        <v>-45</v>
      </c>
      <c r="L116" s="28">
        <v>-1</v>
      </c>
      <c r="N116" t="s">
        <v>26</v>
      </c>
      <c r="R116" t="s">
        <v>276</v>
      </c>
      <c r="S116" t="s">
        <v>277</v>
      </c>
    </row>
    <row r="117" spans="1:19" x14ac:dyDescent="0.25">
      <c r="A117" s="33">
        <v>46001.444740833344</v>
      </c>
      <c r="B117" s="1">
        <v>46001</v>
      </c>
      <c r="C117" t="s">
        <v>23</v>
      </c>
      <c r="D117" t="s">
        <v>30</v>
      </c>
      <c r="E117" t="s">
        <v>31</v>
      </c>
      <c r="F117" t="s">
        <v>32</v>
      </c>
      <c r="G117" t="s">
        <v>211</v>
      </c>
      <c r="H117" t="s">
        <v>212</v>
      </c>
      <c r="I117">
        <v>0.16666600000000001</v>
      </c>
      <c r="J117">
        <v>5.95</v>
      </c>
      <c r="K117">
        <v>-0.99</v>
      </c>
      <c r="N117" t="s">
        <v>26</v>
      </c>
      <c r="R117" t="s">
        <v>278</v>
      </c>
      <c r="S117" t="s">
        <v>279</v>
      </c>
    </row>
    <row r="118" spans="1:19" x14ac:dyDescent="0.25">
      <c r="A118" s="33">
        <v>46001.444740914347</v>
      </c>
      <c r="B118" s="1">
        <v>46001</v>
      </c>
      <c r="C118" t="s">
        <v>23</v>
      </c>
      <c r="D118" t="s">
        <v>30</v>
      </c>
      <c r="E118" t="s">
        <v>31</v>
      </c>
      <c r="F118" t="s">
        <v>32</v>
      </c>
      <c r="G118" t="s">
        <v>211</v>
      </c>
      <c r="H118" t="s">
        <v>212</v>
      </c>
      <c r="I118">
        <v>10</v>
      </c>
      <c r="J118">
        <v>5.95</v>
      </c>
      <c r="K118">
        <v>-59.5</v>
      </c>
      <c r="L118" s="28">
        <v>-1</v>
      </c>
      <c r="N118" t="s">
        <v>26</v>
      </c>
      <c r="R118" t="s">
        <v>280</v>
      </c>
      <c r="S118" t="s">
        <v>281</v>
      </c>
    </row>
    <row r="119" spans="1:19" x14ac:dyDescent="0.25">
      <c r="A119" s="33">
        <v>46001.445081550934</v>
      </c>
      <c r="B119" s="1">
        <v>46001</v>
      </c>
      <c r="C119" t="s">
        <v>23</v>
      </c>
      <c r="D119" t="s">
        <v>30</v>
      </c>
      <c r="E119" t="s">
        <v>31</v>
      </c>
      <c r="F119" t="s">
        <v>32</v>
      </c>
      <c r="G119" t="s">
        <v>262</v>
      </c>
      <c r="H119" t="s">
        <v>263</v>
      </c>
      <c r="I119">
        <v>1</v>
      </c>
      <c r="J119">
        <v>36.195</v>
      </c>
      <c r="K119">
        <v>-36.200000000000003</v>
      </c>
      <c r="L119" s="28">
        <v>-1</v>
      </c>
      <c r="N119" t="s">
        <v>26</v>
      </c>
      <c r="R119" t="s">
        <v>282</v>
      </c>
      <c r="S119" t="s">
        <v>283</v>
      </c>
    </row>
    <row r="120" spans="1:19" x14ac:dyDescent="0.25">
      <c r="A120" s="33">
        <v>46001.445081585647</v>
      </c>
      <c r="B120" s="1">
        <v>46001</v>
      </c>
      <c r="C120" t="s">
        <v>23</v>
      </c>
      <c r="D120" t="s">
        <v>30</v>
      </c>
      <c r="E120" t="s">
        <v>31</v>
      </c>
      <c r="F120" t="s">
        <v>32</v>
      </c>
      <c r="G120" t="s">
        <v>262</v>
      </c>
      <c r="H120" t="s">
        <v>263</v>
      </c>
      <c r="I120">
        <v>2.2239999999999999E-2</v>
      </c>
      <c r="J120">
        <v>36.195</v>
      </c>
      <c r="K120">
        <v>-0.8</v>
      </c>
      <c r="N120" t="s">
        <v>26</v>
      </c>
      <c r="R120" t="s">
        <v>284</v>
      </c>
      <c r="S120" t="s">
        <v>285</v>
      </c>
    </row>
    <row r="121" spans="1:19" x14ac:dyDescent="0.25">
      <c r="A121" s="33">
        <v>46001.555669988433</v>
      </c>
      <c r="B121" s="1">
        <v>46001</v>
      </c>
      <c r="C121" t="s">
        <v>23</v>
      </c>
      <c r="D121" t="s">
        <v>30</v>
      </c>
      <c r="E121" t="s">
        <v>31</v>
      </c>
      <c r="F121" t="s">
        <v>32</v>
      </c>
      <c r="G121" t="s">
        <v>154</v>
      </c>
      <c r="H121" t="s">
        <v>155</v>
      </c>
      <c r="I121">
        <v>0.16742399999999999</v>
      </c>
      <c r="J121">
        <v>24.19</v>
      </c>
      <c r="K121">
        <v>-4.05</v>
      </c>
      <c r="N121" t="s">
        <v>26</v>
      </c>
      <c r="R121" t="s">
        <v>286</v>
      </c>
      <c r="S121" t="s">
        <v>287</v>
      </c>
    </row>
    <row r="122" spans="1:19" x14ac:dyDescent="0.25">
      <c r="A122" s="33">
        <v>46001.555670000002</v>
      </c>
      <c r="B122" s="1">
        <v>46001</v>
      </c>
      <c r="C122" t="s">
        <v>23</v>
      </c>
      <c r="D122" t="s">
        <v>30</v>
      </c>
      <c r="E122" t="s">
        <v>31</v>
      </c>
      <c r="F122" t="s">
        <v>32</v>
      </c>
      <c r="G122" t="s">
        <v>154</v>
      </c>
      <c r="H122" t="s">
        <v>155</v>
      </c>
      <c r="I122">
        <v>5</v>
      </c>
      <c r="J122">
        <v>24.19</v>
      </c>
      <c r="K122">
        <v>-120.95</v>
      </c>
      <c r="L122" s="28">
        <v>-1</v>
      </c>
      <c r="N122" t="s">
        <v>26</v>
      </c>
      <c r="R122" t="s">
        <v>288</v>
      </c>
      <c r="S122" t="s">
        <v>289</v>
      </c>
    </row>
    <row r="123" spans="1:19" x14ac:dyDescent="0.25">
      <c r="A123" s="33">
        <v>46001.998918399913</v>
      </c>
      <c r="B123" s="1">
        <v>46001</v>
      </c>
      <c r="C123" t="s">
        <v>23</v>
      </c>
      <c r="D123" t="s">
        <v>24</v>
      </c>
      <c r="E123" t="s">
        <v>25</v>
      </c>
      <c r="K123">
        <v>200</v>
      </c>
      <c r="N123" t="s">
        <v>26</v>
      </c>
      <c r="R123" t="s">
        <v>246</v>
      </c>
      <c r="S123" t="s">
        <v>290</v>
      </c>
    </row>
    <row r="124" spans="1:19" x14ac:dyDescent="0.25">
      <c r="A124" s="33">
        <v>46001.442611032173</v>
      </c>
      <c r="B124" s="1">
        <v>46001</v>
      </c>
      <c r="C124" t="s">
        <v>23</v>
      </c>
      <c r="D124" t="s">
        <v>24</v>
      </c>
      <c r="E124" t="s">
        <v>25</v>
      </c>
      <c r="K124">
        <v>100</v>
      </c>
      <c r="N124" t="s">
        <v>26</v>
      </c>
      <c r="R124" t="s">
        <v>246</v>
      </c>
      <c r="S124" t="s">
        <v>291</v>
      </c>
    </row>
    <row r="125" spans="1:19" x14ac:dyDescent="0.25">
      <c r="A125" s="33">
        <v>46001.555256399377</v>
      </c>
      <c r="B125" s="1">
        <v>46001</v>
      </c>
      <c r="C125" t="s">
        <v>23</v>
      </c>
      <c r="D125" t="s">
        <v>24</v>
      </c>
      <c r="E125" t="s">
        <v>25</v>
      </c>
      <c r="K125">
        <v>126</v>
      </c>
      <c r="N125" t="s">
        <v>26</v>
      </c>
      <c r="R125" t="s">
        <v>246</v>
      </c>
      <c r="S125" t="s">
        <v>292</v>
      </c>
    </row>
    <row r="126" spans="1:19" x14ac:dyDescent="0.25">
      <c r="A126" s="33">
        <v>46001.999550624998</v>
      </c>
      <c r="B126" s="1">
        <v>46001</v>
      </c>
      <c r="C126" t="s">
        <v>23</v>
      </c>
      <c r="D126" t="s">
        <v>30</v>
      </c>
      <c r="E126" t="s">
        <v>31</v>
      </c>
      <c r="F126" t="s">
        <v>32</v>
      </c>
      <c r="G126" t="s">
        <v>293</v>
      </c>
      <c r="H126" t="s">
        <v>294</v>
      </c>
      <c r="I126">
        <v>23</v>
      </c>
      <c r="J126">
        <v>8.35</v>
      </c>
      <c r="K126">
        <v>-192.05</v>
      </c>
      <c r="L126" s="28">
        <v>-1</v>
      </c>
      <c r="N126" t="s">
        <v>26</v>
      </c>
      <c r="R126" t="s">
        <v>295</v>
      </c>
      <c r="S126" t="s">
        <v>296</v>
      </c>
    </row>
    <row r="127" spans="1:19" x14ac:dyDescent="0.25">
      <c r="A127" s="33">
        <v>46001.99955064815</v>
      </c>
      <c r="B127" s="1">
        <v>46001</v>
      </c>
      <c r="C127" t="s">
        <v>23</v>
      </c>
      <c r="D127" t="s">
        <v>30</v>
      </c>
      <c r="E127" t="s">
        <v>31</v>
      </c>
      <c r="F127" t="s">
        <v>32</v>
      </c>
      <c r="G127" t="s">
        <v>293</v>
      </c>
      <c r="H127" t="s">
        <v>294</v>
      </c>
      <c r="I127">
        <v>0.83233500000000005</v>
      </c>
      <c r="J127">
        <v>8.35</v>
      </c>
      <c r="K127">
        <v>-6.95</v>
      </c>
      <c r="N127" t="s">
        <v>26</v>
      </c>
      <c r="R127" t="s">
        <v>297</v>
      </c>
      <c r="S127" t="s">
        <v>298</v>
      </c>
    </row>
    <row r="128" spans="1:19" x14ac:dyDescent="0.25">
      <c r="A128" s="33">
        <v>46008.475763593968</v>
      </c>
      <c r="B128" s="1">
        <v>46008</v>
      </c>
      <c r="C128" t="s">
        <v>23</v>
      </c>
      <c r="D128" t="s">
        <v>24</v>
      </c>
      <c r="E128" t="s">
        <v>25</v>
      </c>
      <c r="K128">
        <v>104.66</v>
      </c>
      <c r="N128" t="s">
        <v>26</v>
      </c>
      <c r="R128" t="s">
        <v>246</v>
      </c>
      <c r="S128" t="s">
        <v>299</v>
      </c>
    </row>
    <row r="129" spans="1:19" x14ac:dyDescent="0.25">
      <c r="A129" s="33">
        <v>46008.476163923609</v>
      </c>
      <c r="B129" s="1">
        <v>46008</v>
      </c>
      <c r="C129" t="s">
        <v>23</v>
      </c>
      <c r="D129" t="s">
        <v>30</v>
      </c>
      <c r="E129" t="s">
        <v>31</v>
      </c>
      <c r="F129" t="s">
        <v>32</v>
      </c>
      <c r="G129" t="s">
        <v>300</v>
      </c>
      <c r="H129" t="s">
        <v>301</v>
      </c>
      <c r="I129">
        <v>30</v>
      </c>
      <c r="J129">
        <v>1.885</v>
      </c>
      <c r="K129">
        <v>-56.55</v>
      </c>
      <c r="L129" s="28">
        <v>-1</v>
      </c>
      <c r="N129" t="s">
        <v>26</v>
      </c>
      <c r="R129" t="s">
        <v>302</v>
      </c>
      <c r="S129" t="s">
        <v>303</v>
      </c>
    </row>
    <row r="130" spans="1:19" x14ac:dyDescent="0.25">
      <c r="A130" s="33">
        <v>46008.476523634257</v>
      </c>
      <c r="B130" s="1">
        <v>46008</v>
      </c>
      <c r="C130" t="s">
        <v>23</v>
      </c>
      <c r="D130" t="s">
        <v>30</v>
      </c>
      <c r="E130" t="s">
        <v>31</v>
      </c>
      <c r="F130" t="s">
        <v>32</v>
      </c>
      <c r="G130" t="s">
        <v>304</v>
      </c>
      <c r="H130" t="s">
        <v>305</v>
      </c>
      <c r="I130">
        <v>50</v>
      </c>
      <c r="J130">
        <v>0.35599999999999998</v>
      </c>
      <c r="K130">
        <v>-17.8</v>
      </c>
      <c r="L130" s="28">
        <v>-1</v>
      </c>
      <c r="N130" t="s">
        <v>26</v>
      </c>
      <c r="R130" t="s">
        <v>306</v>
      </c>
      <c r="S130" t="s">
        <v>307</v>
      </c>
    </row>
    <row r="131" spans="1:19" x14ac:dyDescent="0.25">
      <c r="A131" s="33">
        <v>46008.479308310183</v>
      </c>
      <c r="B131" s="1">
        <v>46008</v>
      </c>
      <c r="C131" t="s">
        <v>23</v>
      </c>
      <c r="D131" t="s">
        <v>30</v>
      </c>
      <c r="E131" t="s">
        <v>31</v>
      </c>
      <c r="F131" t="s">
        <v>32</v>
      </c>
      <c r="G131" t="s">
        <v>308</v>
      </c>
      <c r="H131" t="s">
        <v>309</v>
      </c>
      <c r="I131">
        <v>0.34567900000000001</v>
      </c>
      <c r="J131">
        <v>2.2679999999999998</v>
      </c>
      <c r="K131">
        <v>-0.78</v>
      </c>
      <c r="N131" t="s">
        <v>26</v>
      </c>
      <c r="R131" t="s">
        <v>310</v>
      </c>
      <c r="S131" t="s">
        <v>311</v>
      </c>
    </row>
    <row r="132" spans="1:19" x14ac:dyDescent="0.25">
      <c r="A132" s="33">
        <v>46008.479308333342</v>
      </c>
      <c r="B132" s="1">
        <v>46008</v>
      </c>
      <c r="C132" t="s">
        <v>23</v>
      </c>
      <c r="D132" t="s">
        <v>30</v>
      </c>
      <c r="E132" t="s">
        <v>31</v>
      </c>
      <c r="F132" t="s">
        <v>32</v>
      </c>
      <c r="G132" t="s">
        <v>308</v>
      </c>
      <c r="H132" t="s">
        <v>309</v>
      </c>
      <c r="I132">
        <v>12</v>
      </c>
      <c r="J132">
        <v>2.2679999999999998</v>
      </c>
      <c r="K132">
        <v>-27.22</v>
      </c>
      <c r="L132" s="28">
        <v>-1</v>
      </c>
      <c r="N132" t="s">
        <v>26</v>
      </c>
      <c r="R132" t="s">
        <v>312</v>
      </c>
      <c r="S132" t="s">
        <v>313</v>
      </c>
    </row>
    <row r="133" spans="1:19" x14ac:dyDescent="0.25">
      <c r="A133" s="33">
        <v>46009.926098937307</v>
      </c>
      <c r="B133" s="1">
        <v>46009</v>
      </c>
      <c r="C133" t="s">
        <v>23</v>
      </c>
      <c r="D133" t="s">
        <v>24</v>
      </c>
      <c r="E133" t="s">
        <v>25</v>
      </c>
      <c r="K133">
        <v>150</v>
      </c>
      <c r="N133" t="s">
        <v>26</v>
      </c>
      <c r="R133" t="s">
        <v>246</v>
      </c>
      <c r="S133" t="s">
        <v>314</v>
      </c>
    </row>
    <row r="134" spans="1:19" x14ac:dyDescent="0.25">
      <c r="A134" s="33">
        <v>46009.934303344897</v>
      </c>
      <c r="B134" s="1">
        <v>46009</v>
      </c>
      <c r="C134" t="s">
        <v>23</v>
      </c>
      <c r="D134" t="s">
        <v>30</v>
      </c>
      <c r="E134" t="s">
        <v>31</v>
      </c>
      <c r="F134" t="s">
        <v>32</v>
      </c>
      <c r="G134" t="s">
        <v>315</v>
      </c>
      <c r="H134" t="s">
        <v>316</v>
      </c>
      <c r="I134">
        <v>14</v>
      </c>
      <c r="J134">
        <v>5.3</v>
      </c>
      <c r="K134">
        <v>-74.2</v>
      </c>
      <c r="L134" s="28">
        <v>-1</v>
      </c>
      <c r="N134" t="s">
        <v>26</v>
      </c>
      <c r="R134" t="s">
        <v>317</v>
      </c>
      <c r="S134" t="s">
        <v>318</v>
      </c>
    </row>
    <row r="135" spans="1:19" x14ac:dyDescent="0.25">
      <c r="A135" s="33">
        <v>46009.93430335648</v>
      </c>
      <c r="B135" s="1">
        <v>46009</v>
      </c>
      <c r="C135" t="s">
        <v>23</v>
      </c>
      <c r="D135" t="s">
        <v>30</v>
      </c>
      <c r="E135" t="s">
        <v>31</v>
      </c>
      <c r="F135" t="s">
        <v>32</v>
      </c>
      <c r="G135" t="s">
        <v>315</v>
      </c>
      <c r="H135" t="s">
        <v>316</v>
      </c>
      <c r="I135">
        <v>0.90566000000000002</v>
      </c>
      <c r="J135">
        <v>5.3</v>
      </c>
      <c r="K135">
        <v>-4.8</v>
      </c>
      <c r="N135" t="s">
        <v>26</v>
      </c>
      <c r="R135" t="s">
        <v>319</v>
      </c>
      <c r="S135" t="s">
        <v>320</v>
      </c>
    </row>
    <row r="136" spans="1:19" x14ac:dyDescent="0.25">
      <c r="A136" s="33">
        <v>46009.934796643523</v>
      </c>
      <c r="B136" s="1">
        <v>46009</v>
      </c>
      <c r="C136" t="s">
        <v>23</v>
      </c>
      <c r="D136" t="s">
        <v>30</v>
      </c>
      <c r="E136" t="s">
        <v>31</v>
      </c>
      <c r="F136" t="s">
        <v>32</v>
      </c>
      <c r="G136" t="s">
        <v>321</v>
      </c>
      <c r="H136" t="s">
        <v>322</v>
      </c>
      <c r="I136">
        <v>0.401785</v>
      </c>
      <c r="J136">
        <v>4.4800000000000004</v>
      </c>
      <c r="K136">
        <v>-1.8</v>
      </c>
      <c r="N136" t="s">
        <v>26</v>
      </c>
      <c r="R136" t="s">
        <v>323</v>
      </c>
      <c r="S136" t="s">
        <v>324</v>
      </c>
    </row>
    <row r="137" spans="1:19" x14ac:dyDescent="0.25">
      <c r="A137" s="33">
        <v>46009.934796655092</v>
      </c>
      <c r="B137" s="1">
        <v>46009</v>
      </c>
      <c r="C137" t="s">
        <v>23</v>
      </c>
      <c r="D137" t="s">
        <v>30</v>
      </c>
      <c r="E137" t="s">
        <v>31</v>
      </c>
      <c r="F137" t="s">
        <v>32</v>
      </c>
      <c r="G137" t="s">
        <v>321</v>
      </c>
      <c r="H137" t="s">
        <v>322</v>
      </c>
      <c r="I137">
        <v>15</v>
      </c>
      <c r="J137">
        <v>4.4800000000000004</v>
      </c>
      <c r="K137">
        <v>-67.2</v>
      </c>
      <c r="L137" s="28">
        <v>-1</v>
      </c>
      <c r="N137" t="s">
        <v>26</v>
      </c>
      <c r="R137" t="s">
        <v>325</v>
      </c>
      <c r="S137" t="s">
        <v>326</v>
      </c>
    </row>
    <row r="138" spans="1:19" x14ac:dyDescent="0.25">
      <c r="A138" s="33">
        <v>46010.96521358133</v>
      </c>
      <c r="B138" s="1">
        <v>46010</v>
      </c>
      <c r="C138" t="s">
        <v>23</v>
      </c>
      <c r="D138" t="s">
        <v>24</v>
      </c>
      <c r="E138" t="s">
        <v>25</v>
      </c>
      <c r="K138">
        <v>100</v>
      </c>
      <c r="N138" t="s">
        <v>26</v>
      </c>
      <c r="R138" t="s">
        <v>246</v>
      </c>
      <c r="S138" t="s">
        <v>327</v>
      </c>
    </row>
    <row r="139" spans="1:19" x14ac:dyDescent="0.25">
      <c r="A139" s="33">
        <v>46010.965658680558</v>
      </c>
      <c r="B139" s="1">
        <v>46010</v>
      </c>
      <c r="C139" t="s">
        <v>23</v>
      </c>
      <c r="D139" t="s">
        <v>30</v>
      </c>
      <c r="E139" t="s">
        <v>31</v>
      </c>
      <c r="F139" t="s">
        <v>32</v>
      </c>
      <c r="G139" t="s">
        <v>328</v>
      </c>
      <c r="H139" t="s">
        <v>329</v>
      </c>
      <c r="I139">
        <v>0.265129</v>
      </c>
      <c r="J139">
        <v>6.92</v>
      </c>
      <c r="K139">
        <v>-1.83</v>
      </c>
      <c r="N139" t="s">
        <v>26</v>
      </c>
      <c r="R139" t="s">
        <v>330</v>
      </c>
      <c r="S139" t="s">
        <v>331</v>
      </c>
    </row>
    <row r="140" spans="1:19" x14ac:dyDescent="0.25">
      <c r="A140" s="33">
        <v>46010.965658692126</v>
      </c>
      <c r="B140" s="1">
        <v>46010</v>
      </c>
      <c r="C140" t="s">
        <v>23</v>
      </c>
      <c r="D140" t="s">
        <v>30</v>
      </c>
      <c r="E140" t="s">
        <v>31</v>
      </c>
      <c r="F140" t="s">
        <v>32</v>
      </c>
      <c r="G140" t="s">
        <v>328</v>
      </c>
      <c r="H140" t="s">
        <v>329</v>
      </c>
      <c r="I140">
        <v>14</v>
      </c>
      <c r="J140">
        <v>6.92</v>
      </c>
      <c r="K140">
        <v>-96.88</v>
      </c>
      <c r="L140" s="28">
        <v>-1</v>
      </c>
      <c r="N140" t="s">
        <v>26</v>
      </c>
      <c r="R140" t="s">
        <v>332</v>
      </c>
      <c r="S140" t="s">
        <v>333</v>
      </c>
    </row>
    <row r="141" spans="1:19" x14ac:dyDescent="0.25">
      <c r="A141" s="33">
        <v>46020.425961099543</v>
      </c>
      <c r="B141" s="1">
        <v>46020</v>
      </c>
      <c r="C141" t="s">
        <v>23</v>
      </c>
      <c r="D141" t="s">
        <v>30</v>
      </c>
      <c r="E141" t="s">
        <v>31</v>
      </c>
      <c r="F141" t="s">
        <v>32</v>
      </c>
      <c r="G141" t="s">
        <v>334</v>
      </c>
      <c r="H141" t="s">
        <v>335</v>
      </c>
      <c r="I141">
        <v>0.73710900000000001</v>
      </c>
      <c r="J141">
        <v>5.915</v>
      </c>
      <c r="K141">
        <v>-4.3600000000000003</v>
      </c>
      <c r="N141" t="s">
        <v>26</v>
      </c>
      <c r="R141" t="s">
        <v>336</v>
      </c>
      <c r="S141" t="s">
        <v>337</v>
      </c>
    </row>
    <row r="142" spans="1:19" x14ac:dyDescent="0.25">
      <c r="A142" s="33">
        <v>46020.425961099543</v>
      </c>
      <c r="B142" s="1">
        <v>46020</v>
      </c>
      <c r="C142" t="s">
        <v>23</v>
      </c>
      <c r="D142" t="s">
        <v>30</v>
      </c>
      <c r="E142" t="s">
        <v>31</v>
      </c>
      <c r="F142" t="s">
        <v>32</v>
      </c>
      <c r="G142" t="s">
        <v>334</v>
      </c>
      <c r="H142" t="s">
        <v>335</v>
      </c>
      <c r="I142">
        <v>16</v>
      </c>
      <c r="J142">
        <v>5.915</v>
      </c>
      <c r="K142">
        <v>-94.64</v>
      </c>
      <c r="L142" s="28">
        <v>-1</v>
      </c>
      <c r="N142" t="s">
        <v>26</v>
      </c>
      <c r="R142" t="s">
        <v>338</v>
      </c>
      <c r="S142" t="s">
        <v>339</v>
      </c>
    </row>
    <row r="143" spans="1:19" x14ac:dyDescent="0.25">
      <c r="A143" s="33">
        <v>46020.426338888887</v>
      </c>
      <c r="B143" s="1">
        <v>46020</v>
      </c>
      <c r="C143" t="s">
        <v>23</v>
      </c>
      <c r="D143" t="s">
        <v>30</v>
      </c>
      <c r="E143" t="s">
        <v>31</v>
      </c>
      <c r="F143" t="s">
        <v>32</v>
      </c>
      <c r="G143" t="s">
        <v>340</v>
      </c>
      <c r="H143" t="s">
        <v>341</v>
      </c>
      <c r="I143">
        <v>0.55322300000000002</v>
      </c>
      <c r="J143">
        <v>5.3360000000000003</v>
      </c>
      <c r="K143">
        <v>-2.95</v>
      </c>
      <c r="N143" t="s">
        <v>26</v>
      </c>
      <c r="R143" t="s">
        <v>342</v>
      </c>
      <c r="S143" t="s">
        <v>343</v>
      </c>
    </row>
    <row r="144" spans="1:19" x14ac:dyDescent="0.25">
      <c r="A144" s="33">
        <v>46020.42633905093</v>
      </c>
      <c r="B144" s="1">
        <v>46020</v>
      </c>
      <c r="C144" t="s">
        <v>23</v>
      </c>
      <c r="D144" t="s">
        <v>30</v>
      </c>
      <c r="E144" t="s">
        <v>31</v>
      </c>
      <c r="F144" t="s">
        <v>32</v>
      </c>
      <c r="G144" t="s">
        <v>340</v>
      </c>
      <c r="H144" t="s">
        <v>341</v>
      </c>
      <c r="I144">
        <v>18</v>
      </c>
      <c r="J144">
        <v>5.3360000000000003</v>
      </c>
      <c r="K144">
        <v>-96.05</v>
      </c>
      <c r="L144" s="28">
        <v>-1</v>
      </c>
      <c r="N144" t="s">
        <v>26</v>
      </c>
      <c r="R144" t="s">
        <v>344</v>
      </c>
      <c r="S144" t="s">
        <v>345</v>
      </c>
    </row>
    <row r="145" spans="1:19" x14ac:dyDescent="0.25">
      <c r="A145" s="33">
        <v>46020.669710403017</v>
      </c>
      <c r="B145" s="1">
        <v>46020</v>
      </c>
      <c r="C145" t="s">
        <v>23</v>
      </c>
      <c r="D145" t="s">
        <v>24</v>
      </c>
      <c r="E145" t="s">
        <v>25</v>
      </c>
      <c r="K145">
        <v>89.73</v>
      </c>
      <c r="N145" t="s">
        <v>26</v>
      </c>
      <c r="R145" t="s">
        <v>246</v>
      </c>
      <c r="S145" t="s">
        <v>346</v>
      </c>
    </row>
    <row r="146" spans="1:19" x14ac:dyDescent="0.25">
      <c r="A146" s="33">
        <v>46020.425389571203</v>
      </c>
      <c r="B146" s="1">
        <v>46020</v>
      </c>
      <c r="C146" t="s">
        <v>23</v>
      </c>
      <c r="D146" t="s">
        <v>24</v>
      </c>
      <c r="E146" t="s">
        <v>25</v>
      </c>
      <c r="K146">
        <v>200</v>
      </c>
      <c r="N146" t="s">
        <v>26</v>
      </c>
      <c r="R146" t="s">
        <v>246</v>
      </c>
      <c r="S146" t="s">
        <v>347</v>
      </c>
    </row>
    <row r="147" spans="1:19" x14ac:dyDescent="0.25">
      <c r="A147" s="33">
        <v>46020.671694062497</v>
      </c>
      <c r="B147" s="1">
        <v>46020</v>
      </c>
      <c r="C147" t="s">
        <v>23</v>
      </c>
      <c r="D147" t="s">
        <v>30</v>
      </c>
      <c r="E147" t="s">
        <v>31</v>
      </c>
      <c r="F147" t="s">
        <v>32</v>
      </c>
      <c r="G147" t="s">
        <v>348</v>
      </c>
      <c r="H147" t="s">
        <v>349</v>
      </c>
      <c r="I147">
        <v>28</v>
      </c>
      <c r="J147">
        <v>3.14</v>
      </c>
      <c r="K147">
        <v>-87.92</v>
      </c>
      <c r="L147" s="28">
        <v>-1</v>
      </c>
      <c r="N147" t="s">
        <v>26</v>
      </c>
      <c r="R147" t="s">
        <v>350</v>
      </c>
      <c r="S147" t="s">
        <v>351</v>
      </c>
    </row>
    <row r="148" spans="1:19" x14ac:dyDescent="0.25">
      <c r="A148" s="33">
        <v>46020.671694108787</v>
      </c>
      <c r="B148" s="1">
        <v>46020</v>
      </c>
      <c r="C148" t="s">
        <v>23</v>
      </c>
      <c r="D148" t="s">
        <v>30</v>
      </c>
      <c r="E148" t="s">
        <v>31</v>
      </c>
      <c r="F148" t="s">
        <v>32</v>
      </c>
      <c r="G148" t="s">
        <v>348</v>
      </c>
      <c r="H148" t="s">
        <v>349</v>
      </c>
      <c r="I148">
        <v>0.343949</v>
      </c>
      <c r="J148">
        <v>3.14</v>
      </c>
      <c r="K148">
        <v>-1.08</v>
      </c>
      <c r="N148" t="s">
        <v>26</v>
      </c>
      <c r="R148" t="s">
        <v>352</v>
      </c>
      <c r="S148" t="s">
        <v>353</v>
      </c>
    </row>
    <row r="149" spans="1:19" x14ac:dyDescent="0.25">
      <c r="A149" s="33">
        <v>46026.629058918799</v>
      </c>
      <c r="B149" s="1">
        <v>46026</v>
      </c>
      <c r="C149" t="s">
        <v>23</v>
      </c>
      <c r="D149" t="s">
        <v>24</v>
      </c>
      <c r="E149" t="s">
        <v>25</v>
      </c>
      <c r="K149">
        <v>44.56</v>
      </c>
      <c r="N149" t="s">
        <v>26</v>
      </c>
      <c r="R149" t="s">
        <v>246</v>
      </c>
      <c r="S149" t="s">
        <v>354</v>
      </c>
    </row>
    <row r="150" spans="1:19" x14ac:dyDescent="0.25">
      <c r="A150" s="33">
        <v>46026.629378043981</v>
      </c>
      <c r="B150" s="1">
        <v>46026</v>
      </c>
      <c r="C150" t="s">
        <v>23</v>
      </c>
      <c r="D150" t="s">
        <v>30</v>
      </c>
      <c r="E150" t="s">
        <v>31</v>
      </c>
      <c r="F150" t="s">
        <v>64</v>
      </c>
      <c r="G150" t="s">
        <v>355</v>
      </c>
      <c r="H150" t="s">
        <v>356</v>
      </c>
      <c r="I150">
        <v>223.93145699999999</v>
      </c>
      <c r="J150">
        <v>0.102711</v>
      </c>
      <c r="K150">
        <v>-23</v>
      </c>
      <c r="L150" s="28">
        <v>-1</v>
      </c>
      <c r="N150" t="s">
        <v>26</v>
      </c>
      <c r="R150" t="s">
        <v>357</v>
      </c>
      <c r="S150" t="s">
        <v>358</v>
      </c>
    </row>
    <row r="151" spans="1:19" x14ac:dyDescent="0.25">
      <c r="A151" s="33">
        <v>46026.632798460647</v>
      </c>
      <c r="B151" s="1">
        <v>46026</v>
      </c>
      <c r="C151" t="s">
        <v>23</v>
      </c>
      <c r="D151" t="s">
        <v>30</v>
      </c>
      <c r="E151" t="s">
        <v>31</v>
      </c>
      <c r="F151" t="s">
        <v>64</v>
      </c>
      <c r="G151" t="s">
        <v>359</v>
      </c>
      <c r="H151" t="s">
        <v>360</v>
      </c>
      <c r="I151">
        <v>160.77442500000001</v>
      </c>
      <c r="J151">
        <v>0.11817800000000001</v>
      </c>
      <c r="K151">
        <v>-19</v>
      </c>
      <c r="L151" s="28">
        <v>-1</v>
      </c>
      <c r="N151" t="s">
        <v>26</v>
      </c>
      <c r="R151" t="s">
        <v>361</v>
      </c>
      <c r="S151" t="s">
        <v>362</v>
      </c>
    </row>
    <row r="152" spans="1:19" x14ac:dyDescent="0.25">
      <c r="A152" s="33">
        <v>46027.394525918091</v>
      </c>
      <c r="B152" s="1">
        <v>46027</v>
      </c>
      <c r="C152" t="s">
        <v>23</v>
      </c>
      <c r="D152" t="s">
        <v>24</v>
      </c>
      <c r="E152" t="s">
        <v>25</v>
      </c>
      <c r="K152">
        <v>100</v>
      </c>
      <c r="N152" t="s">
        <v>26</v>
      </c>
      <c r="R152" t="s">
        <v>246</v>
      </c>
      <c r="S152" t="s">
        <v>363</v>
      </c>
    </row>
    <row r="153" spans="1:19" x14ac:dyDescent="0.25">
      <c r="A153" s="33">
        <v>46027.394806840282</v>
      </c>
      <c r="B153" s="1">
        <v>46027</v>
      </c>
      <c r="C153" t="s">
        <v>23</v>
      </c>
      <c r="D153" t="s">
        <v>30</v>
      </c>
      <c r="E153" t="s">
        <v>31</v>
      </c>
      <c r="F153" t="s">
        <v>32</v>
      </c>
      <c r="G153" t="s">
        <v>364</v>
      </c>
      <c r="H153" t="s">
        <v>365</v>
      </c>
      <c r="I153">
        <v>39</v>
      </c>
      <c r="J153">
        <v>2.5099999999999998</v>
      </c>
      <c r="K153">
        <v>-97.89</v>
      </c>
      <c r="L153" s="28">
        <v>-1</v>
      </c>
      <c r="N153" t="s">
        <v>26</v>
      </c>
      <c r="R153" t="s">
        <v>366</v>
      </c>
      <c r="S153" t="s">
        <v>367</v>
      </c>
    </row>
    <row r="154" spans="1:19" x14ac:dyDescent="0.25">
      <c r="A154" s="33">
        <v>46027.394806898148</v>
      </c>
      <c r="B154" s="1">
        <v>46027</v>
      </c>
      <c r="C154" t="s">
        <v>23</v>
      </c>
      <c r="D154" t="s">
        <v>30</v>
      </c>
      <c r="E154" t="s">
        <v>31</v>
      </c>
      <c r="F154" t="s">
        <v>32</v>
      </c>
      <c r="G154" t="s">
        <v>364</v>
      </c>
      <c r="H154" t="s">
        <v>365</v>
      </c>
      <c r="I154">
        <v>0.44223099999999999</v>
      </c>
      <c r="J154">
        <v>2.5099999999999998</v>
      </c>
      <c r="K154">
        <v>-1.1100000000000001</v>
      </c>
      <c r="N154" t="s">
        <v>26</v>
      </c>
      <c r="R154" t="s">
        <v>368</v>
      </c>
      <c r="S154" t="s">
        <v>369</v>
      </c>
    </row>
    <row r="155" spans="1:19" x14ac:dyDescent="0.25">
      <c r="A155" s="33">
        <v>46028.438121962943</v>
      </c>
      <c r="B155" s="1">
        <v>46028</v>
      </c>
      <c r="C155" t="s">
        <v>23</v>
      </c>
      <c r="D155" t="s">
        <v>24</v>
      </c>
      <c r="E155" t="s">
        <v>25</v>
      </c>
      <c r="K155">
        <v>61.44</v>
      </c>
      <c r="N155" t="s">
        <v>26</v>
      </c>
      <c r="R155" t="s">
        <v>246</v>
      </c>
      <c r="S155" t="s">
        <v>370</v>
      </c>
    </row>
    <row r="156" spans="1:19" x14ac:dyDescent="0.25">
      <c r="A156" s="33">
        <v>46028.439709837963</v>
      </c>
      <c r="B156" s="1">
        <v>46028</v>
      </c>
      <c r="C156" t="s">
        <v>23</v>
      </c>
      <c r="D156" t="s">
        <v>30</v>
      </c>
      <c r="E156" t="s">
        <v>31</v>
      </c>
      <c r="F156" t="s">
        <v>32</v>
      </c>
      <c r="G156" t="s">
        <v>205</v>
      </c>
      <c r="H156" t="s">
        <v>206</v>
      </c>
      <c r="I156">
        <v>20</v>
      </c>
      <c r="J156">
        <v>2.0179999999999998</v>
      </c>
      <c r="K156">
        <v>-40.36</v>
      </c>
      <c r="L156" s="28">
        <v>-1</v>
      </c>
      <c r="N156" t="s">
        <v>26</v>
      </c>
      <c r="R156" t="s">
        <v>371</v>
      </c>
      <c r="S156" t="s">
        <v>372</v>
      </c>
    </row>
    <row r="157" spans="1:19" x14ac:dyDescent="0.25">
      <c r="A157" s="33">
        <v>46028.439710185186</v>
      </c>
      <c r="B157" s="1">
        <v>46028</v>
      </c>
      <c r="C157" t="s">
        <v>23</v>
      </c>
      <c r="D157" t="s">
        <v>30</v>
      </c>
      <c r="E157" t="s">
        <v>31</v>
      </c>
      <c r="F157" t="s">
        <v>32</v>
      </c>
      <c r="G157" t="s">
        <v>205</v>
      </c>
      <c r="H157" t="s">
        <v>206</v>
      </c>
      <c r="I157">
        <v>0.31714500000000001</v>
      </c>
      <c r="J157">
        <v>2.0179999999999998</v>
      </c>
      <c r="K157">
        <v>-0.64</v>
      </c>
      <c r="N157" t="s">
        <v>26</v>
      </c>
      <c r="R157" t="s">
        <v>373</v>
      </c>
      <c r="S157" t="s">
        <v>374</v>
      </c>
    </row>
    <row r="158" spans="1:19" x14ac:dyDescent="0.25">
      <c r="A158" s="33">
        <v>46028.441398726849</v>
      </c>
      <c r="B158" s="1">
        <v>46028</v>
      </c>
      <c r="C158" t="s">
        <v>23</v>
      </c>
      <c r="D158" t="s">
        <v>30</v>
      </c>
      <c r="E158" t="s">
        <v>31</v>
      </c>
      <c r="F158" t="s">
        <v>32</v>
      </c>
      <c r="G158" t="s">
        <v>211</v>
      </c>
      <c r="H158" t="s">
        <v>212</v>
      </c>
      <c r="I158">
        <v>0.92561899999999997</v>
      </c>
      <c r="J158">
        <v>4.82</v>
      </c>
      <c r="K158">
        <v>-4.46</v>
      </c>
      <c r="N158" t="s">
        <v>26</v>
      </c>
      <c r="R158" t="s">
        <v>375</v>
      </c>
      <c r="S158" t="s">
        <v>376</v>
      </c>
    </row>
    <row r="159" spans="1:19" x14ac:dyDescent="0.25">
      <c r="A159" s="33">
        <v>46028.441398773153</v>
      </c>
      <c r="B159" s="1">
        <v>46028</v>
      </c>
      <c r="C159" t="s">
        <v>23</v>
      </c>
      <c r="D159" t="s">
        <v>30</v>
      </c>
      <c r="E159" t="s">
        <v>31</v>
      </c>
      <c r="F159" t="s">
        <v>32</v>
      </c>
      <c r="G159" t="s">
        <v>211</v>
      </c>
      <c r="H159" t="s">
        <v>212</v>
      </c>
      <c r="I159">
        <v>3</v>
      </c>
      <c r="J159">
        <v>4.82</v>
      </c>
      <c r="K159">
        <v>-14.46</v>
      </c>
      <c r="L159" s="28">
        <v>-1</v>
      </c>
      <c r="N159" t="s">
        <v>26</v>
      </c>
      <c r="R159" t="s">
        <v>377</v>
      </c>
      <c r="S159" t="s">
        <v>378</v>
      </c>
    </row>
    <row r="160" spans="1:19" x14ac:dyDescent="0.25">
      <c r="A160" s="33">
        <v>46029.371774227533</v>
      </c>
      <c r="B160" s="1">
        <v>46029</v>
      </c>
      <c r="C160" t="s">
        <v>23</v>
      </c>
      <c r="D160" t="s">
        <v>24</v>
      </c>
      <c r="E160" t="s">
        <v>25</v>
      </c>
      <c r="K160">
        <v>29.34</v>
      </c>
      <c r="N160" t="s">
        <v>26</v>
      </c>
      <c r="R160" t="s">
        <v>246</v>
      </c>
      <c r="S160" t="s">
        <v>379</v>
      </c>
    </row>
    <row r="161" spans="1:19" x14ac:dyDescent="0.25">
      <c r="A161" s="33">
        <v>46029.488468738433</v>
      </c>
      <c r="B161" s="1">
        <v>46029</v>
      </c>
      <c r="C161" t="s">
        <v>23</v>
      </c>
      <c r="D161" t="s">
        <v>30</v>
      </c>
      <c r="E161" t="s">
        <v>31</v>
      </c>
      <c r="F161" t="s">
        <v>32</v>
      </c>
      <c r="G161" t="s">
        <v>380</v>
      </c>
      <c r="H161" t="s">
        <v>381</v>
      </c>
      <c r="I161">
        <v>1.75E-3</v>
      </c>
      <c r="J161">
        <v>3.9990000000000001</v>
      </c>
      <c r="K161">
        <v>-0.01</v>
      </c>
      <c r="N161" t="s">
        <v>26</v>
      </c>
      <c r="R161" t="s">
        <v>382</v>
      </c>
      <c r="S161" t="s">
        <v>383</v>
      </c>
    </row>
    <row r="162" spans="1:19" x14ac:dyDescent="0.25">
      <c r="A162" s="33">
        <v>46029.488468750002</v>
      </c>
      <c r="B162" s="1">
        <v>46029</v>
      </c>
      <c r="C162" t="s">
        <v>23</v>
      </c>
      <c r="D162" t="s">
        <v>30</v>
      </c>
      <c r="E162" t="s">
        <v>31</v>
      </c>
      <c r="F162" t="s">
        <v>32</v>
      </c>
      <c r="G162" t="s">
        <v>380</v>
      </c>
      <c r="H162" t="s">
        <v>381</v>
      </c>
      <c r="I162">
        <v>7</v>
      </c>
      <c r="J162">
        <v>3.9990000000000001</v>
      </c>
      <c r="K162">
        <v>-27.99</v>
      </c>
      <c r="L162" s="28">
        <v>-1</v>
      </c>
      <c r="N162" t="s">
        <v>26</v>
      </c>
      <c r="R162" t="s">
        <v>384</v>
      </c>
      <c r="S162" t="s">
        <v>385</v>
      </c>
    </row>
    <row r="163" spans="1:19" x14ac:dyDescent="0.25">
      <c r="A163" s="33">
        <v>46029.900733738417</v>
      </c>
      <c r="B163" s="1">
        <v>46029</v>
      </c>
      <c r="C163" t="s">
        <v>23</v>
      </c>
      <c r="D163" t="s">
        <v>30</v>
      </c>
      <c r="E163" t="s">
        <v>82</v>
      </c>
      <c r="F163" t="s">
        <v>32</v>
      </c>
      <c r="G163" t="s">
        <v>167</v>
      </c>
      <c r="H163" t="s">
        <v>168</v>
      </c>
      <c r="I163">
        <v>-0.38756800000000002</v>
      </c>
      <c r="J163">
        <v>2.27</v>
      </c>
      <c r="K163">
        <v>0.88</v>
      </c>
      <c r="M163">
        <v>-0.12</v>
      </c>
      <c r="N163" t="s">
        <v>26</v>
      </c>
      <c r="R163" t="s">
        <v>386</v>
      </c>
      <c r="S163" t="s">
        <v>387</v>
      </c>
    </row>
    <row r="164" spans="1:19" x14ac:dyDescent="0.25">
      <c r="A164" s="33">
        <v>46029.90073390046</v>
      </c>
      <c r="B164" s="1">
        <v>46029</v>
      </c>
      <c r="C164" t="s">
        <v>23</v>
      </c>
      <c r="D164" t="s">
        <v>30</v>
      </c>
      <c r="E164" t="s">
        <v>82</v>
      </c>
      <c r="F164" t="s">
        <v>32</v>
      </c>
      <c r="G164" t="s">
        <v>167</v>
      </c>
      <c r="H164" t="s">
        <v>168</v>
      </c>
      <c r="I164">
        <v>-54</v>
      </c>
      <c r="J164">
        <v>2.27</v>
      </c>
      <c r="K164">
        <v>122.58</v>
      </c>
      <c r="L164" s="28">
        <v>-1</v>
      </c>
      <c r="M164">
        <v>-16.350000000000001</v>
      </c>
      <c r="N164" t="s">
        <v>26</v>
      </c>
      <c r="R164" t="s">
        <v>388</v>
      </c>
      <c r="S164" t="s">
        <v>389</v>
      </c>
    </row>
    <row r="165" spans="1:19" x14ac:dyDescent="0.25">
      <c r="A165" s="33">
        <v>46030.062443987707</v>
      </c>
      <c r="B165" s="1">
        <v>46029</v>
      </c>
      <c r="C165" t="s">
        <v>23</v>
      </c>
      <c r="D165" t="s">
        <v>24</v>
      </c>
      <c r="E165" t="s">
        <v>390</v>
      </c>
      <c r="K165">
        <v>0</v>
      </c>
      <c r="M165">
        <v>16.47</v>
      </c>
      <c r="N165" t="s">
        <v>26</v>
      </c>
      <c r="R165" t="s">
        <v>391</v>
      </c>
      <c r="S165" t="s">
        <v>392</v>
      </c>
    </row>
    <row r="166" spans="1:19" x14ac:dyDescent="0.25">
      <c r="A166" s="33">
        <v>46031.878211296287</v>
      </c>
      <c r="B166" s="1">
        <v>46031</v>
      </c>
      <c r="C166" t="s">
        <v>23</v>
      </c>
      <c r="D166" t="s">
        <v>30</v>
      </c>
      <c r="E166" t="s">
        <v>82</v>
      </c>
      <c r="F166" t="s">
        <v>32</v>
      </c>
      <c r="G166" t="s">
        <v>226</v>
      </c>
      <c r="H166" t="s">
        <v>227</v>
      </c>
      <c r="I166">
        <v>-7</v>
      </c>
      <c r="J166">
        <v>14</v>
      </c>
      <c r="K166">
        <v>98</v>
      </c>
      <c r="L166" s="28">
        <v>-1</v>
      </c>
      <c r="N166" t="s">
        <v>26</v>
      </c>
      <c r="R166" t="s">
        <v>393</v>
      </c>
      <c r="S166" t="s">
        <v>394</v>
      </c>
    </row>
    <row r="167" spans="1:19" x14ac:dyDescent="0.25">
      <c r="A167" s="33">
        <v>46031.926677303243</v>
      </c>
      <c r="B167" s="1">
        <v>46031</v>
      </c>
      <c r="C167" t="s">
        <v>23</v>
      </c>
      <c r="D167" t="s">
        <v>30</v>
      </c>
      <c r="E167" t="s">
        <v>82</v>
      </c>
      <c r="F167" t="s">
        <v>32</v>
      </c>
      <c r="G167" t="s">
        <v>154</v>
      </c>
      <c r="H167" t="s">
        <v>155</v>
      </c>
      <c r="I167">
        <v>-15</v>
      </c>
      <c r="J167">
        <v>24.4</v>
      </c>
      <c r="K167">
        <v>366</v>
      </c>
      <c r="L167" s="28">
        <v>-1</v>
      </c>
      <c r="N167" t="s">
        <v>26</v>
      </c>
      <c r="R167" t="s">
        <v>395</v>
      </c>
      <c r="S167" t="s">
        <v>396</v>
      </c>
    </row>
    <row r="168" spans="1:19" x14ac:dyDescent="0.25">
      <c r="A168" s="33">
        <v>46032.402800254342</v>
      </c>
      <c r="B168" s="1">
        <v>46032</v>
      </c>
      <c r="C168" t="s">
        <v>23</v>
      </c>
      <c r="D168" t="s">
        <v>24</v>
      </c>
      <c r="E168" t="s">
        <v>161</v>
      </c>
      <c r="K168">
        <v>-584.46</v>
      </c>
      <c r="N168" t="s">
        <v>26</v>
      </c>
      <c r="R168" t="s">
        <v>397</v>
      </c>
      <c r="S168" t="s">
        <v>398</v>
      </c>
    </row>
    <row r="169" spans="1:19" x14ac:dyDescent="0.25">
      <c r="A169" s="33">
        <v>46034.945141643519</v>
      </c>
      <c r="B169" s="1">
        <v>46034</v>
      </c>
      <c r="C169" t="s">
        <v>23</v>
      </c>
      <c r="D169" t="s">
        <v>30</v>
      </c>
      <c r="E169" t="s">
        <v>82</v>
      </c>
      <c r="F169" t="s">
        <v>32</v>
      </c>
      <c r="G169" t="s">
        <v>293</v>
      </c>
      <c r="H169" t="s">
        <v>294</v>
      </c>
      <c r="I169">
        <v>-0.83233500000000005</v>
      </c>
      <c r="J169">
        <v>10.6</v>
      </c>
      <c r="K169">
        <v>8.82</v>
      </c>
      <c r="L169" s="28">
        <v>-1</v>
      </c>
      <c r="N169" t="s">
        <v>26</v>
      </c>
      <c r="R169" t="s">
        <v>399</v>
      </c>
      <c r="S169" t="s">
        <v>400</v>
      </c>
    </row>
    <row r="170" spans="1:19" x14ac:dyDescent="0.25">
      <c r="A170" s="33">
        <v>46034.945467696758</v>
      </c>
      <c r="B170" s="1">
        <v>46034</v>
      </c>
      <c r="C170" t="s">
        <v>23</v>
      </c>
      <c r="D170" t="s">
        <v>30</v>
      </c>
      <c r="E170" t="s">
        <v>82</v>
      </c>
      <c r="F170" t="s">
        <v>32</v>
      </c>
      <c r="G170" t="s">
        <v>293</v>
      </c>
      <c r="H170" t="s">
        <v>294</v>
      </c>
      <c r="I170">
        <v>-23</v>
      </c>
      <c r="J170">
        <v>10.6</v>
      </c>
      <c r="K170">
        <v>243.8</v>
      </c>
      <c r="L170" s="28">
        <v>-1</v>
      </c>
      <c r="N170" t="s">
        <v>26</v>
      </c>
      <c r="R170" t="s">
        <v>401</v>
      </c>
      <c r="S170" t="s">
        <v>402</v>
      </c>
    </row>
    <row r="171" spans="1:19" x14ac:dyDescent="0.25">
      <c r="A171" s="33">
        <v>46034.945786377313</v>
      </c>
      <c r="B171" s="1">
        <v>46034</v>
      </c>
      <c r="C171" t="s">
        <v>23</v>
      </c>
      <c r="D171" t="s">
        <v>30</v>
      </c>
      <c r="E171" t="s">
        <v>82</v>
      </c>
      <c r="F171" t="s">
        <v>32</v>
      </c>
      <c r="G171" t="s">
        <v>328</v>
      </c>
      <c r="H171" t="s">
        <v>329</v>
      </c>
      <c r="I171">
        <v>-0.265129</v>
      </c>
      <c r="J171">
        <v>10.199999999999999</v>
      </c>
      <c r="K171">
        <v>2.7</v>
      </c>
      <c r="N171" t="s">
        <v>26</v>
      </c>
      <c r="R171" t="s">
        <v>403</v>
      </c>
      <c r="S171" t="s">
        <v>404</v>
      </c>
    </row>
    <row r="172" spans="1:19" x14ac:dyDescent="0.25">
      <c r="A172" s="33">
        <v>46034.945786377313</v>
      </c>
      <c r="B172" s="1">
        <v>46034</v>
      </c>
      <c r="C172" t="s">
        <v>23</v>
      </c>
      <c r="D172" t="s">
        <v>30</v>
      </c>
      <c r="E172" t="s">
        <v>82</v>
      </c>
      <c r="F172" t="s">
        <v>32</v>
      </c>
      <c r="G172" t="s">
        <v>328</v>
      </c>
      <c r="H172" t="s">
        <v>329</v>
      </c>
      <c r="I172">
        <v>-14</v>
      </c>
      <c r="J172">
        <v>10.199999999999999</v>
      </c>
      <c r="K172">
        <v>142.80000000000001</v>
      </c>
      <c r="L172" s="28">
        <v>-1</v>
      </c>
      <c r="N172" t="s">
        <v>26</v>
      </c>
      <c r="R172" t="s">
        <v>405</v>
      </c>
      <c r="S172" t="s">
        <v>406</v>
      </c>
    </row>
    <row r="173" spans="1:19" x14ac:dyDescent="0.25">
      <c r="A173" s="33">
        <v>46034.946124212962</v>
      </c>
      <c r="B173" s="1">
        <v>46034</v>
      </c>
      <c r="C173" t="s">
        <v>23</v>
      </c>
      <c r="D173" t="s">
        <v>30</v>
      </c>
      <c r="E173" t="s">
        <v>82</v>
      </c>
      <c r="F173" t="s">
        <v>32</v>
      </c>
      <c r="G173" t="s">
        <v>315</v>
      </c>
      <c r="H173" t="s">
        <v>316</v>
      </c>
      <c r="I173">
        <v>-14</v>
      </c>
      <c r="J173">
        <v>8.25</v>
      </c>
      <c r="K173">
        <v>115.5</v>
      </c>
      <c r="L173" s="28">
        <v>-1</v>
      </c>
      <c r="N173" t="s">
        <v>26</v>
      </c>
      <c r="R173" t="s">
        <v>407</v>
      </c>
      <c r="S173" t="s">
        <v>408</v>
      </c>
    </row>
    <row r="174" spans="1:19" x14ac:dyDescent="0.25">
      <c r="A174" s="33">
        <v>46034.946124224538</v>
      </c>
      <c r="B174" s="1">
        <v>46034</v>
      </c>
      <c r="C174" t="s">
        <v>23</v>
      </c>
      <c r="D174" t="s">
        <v>30</v>
      </c>
      <c r="E174" t="s">
        <v>82</v>
      </c>
      <c r="F174" t="s">
        <v>32</v>
      </c>
      <c r="G174" t="s">
        <v>315</v>
      </c>
      <c r="H174" t="s">
        <v>316</v>
      </c>
      <c r="I174">
        <v>-0.90566000000000002</v>
      </c>
      <c r="J174">
        <v>8.25</v>
      </c>
      <c r="K174">
        <v>7.47</v>
      </c>
      <c r="N174" t="s">
        <v>26</v>
      </c>
      <c r="R174" t="s">
        <v>409</v>
      </c>
      <c r="S174" t="s">
        <v>410</v>
      </c>
    </row>
    <row r="175" spans="1:19" x14ac:dyDescent="0.25">
      <c r="A175" s="33">
        <v>46034.946442291657</v>
      </c>
      <c r="B175" s="1">
        <v>46034</v>
      </c>
      <c r="C175" t="s">
        <v>23</v>
      </c>
      <c r="D175" t="s">
        <v>30</v>
      </c>
      <c r="E175" t="s">
        <v>82</v>
      </c>
      <c r="F175" t="s">
        <v>32</v>
      </c>
      <c r="G175" t="s">
        <v>167</v>
      </c>
      <c r="H175" t="s">
        <v>168</v>
      </c>
      <c r="I175">
        <v>-54</v>
      </c>
      <c r="J175">
        <v>2.2050000000000001</v>
      </c>
      <c r="K175">
        <v>119.07</v>
      </c>
      <c r="L175" s="28">
        <v>-1</v>
      </c>
      <c r="N175" t="s">
        <v>26</v>
      </c>
      <c r="R175" t="s">
        <v>388</v>
      </c>
      <c r="S175" t="s">
        <v>411</v>
      </c>
    </row>
    <row r="176" spans="1:19" x14ac:dyDescent="0.25">
      <c r="A176" s="33">
        <v>46034.946442314817</v>
      </c>
      <c r="B176" s="1">
        <v>46034</v>
      </c>
      <c r="C176" t="s">
        <v>23</v>
      </c>
      <c r="D176" t="s">
        <v>30</v>
      </c>
      <c r="E176" t="s">
        <v>82</v>
      </c>
      <c r="F176" t="s">
        <v>32</v>
      </c>
      <c r="G176" t="s">
        <v>167</v>
      </c>
      <c r="H176" t="s">
        <v>168</v>
      </c>
      <c r="I176">
        <v>-0.387569</v>
      </c>
      <c r="J176">
        <v>2.2050000000000001</v>
      </c>
      <c r="K176">
        <v>0.85</v>
      </c>
      <c r="N176" t="s">
        <v>26</v>
      </c>
      <c r="R176" t="s">
        <v>412</v>
      </c>
      <c r="S176" t="s">
        <v>413</v>
      </c>
    </row>
    <row r="177" spans="1:19" x14ac:dyDescent="0.25">
      <c r="A177" s="33">
        <v>46034.946768136571</v>
      </c>
      <c r="B177" s="1">
        <v>46034</v>
      </c>
      <c r="C177" t="s">
        <v>23</v>
      </c>
      <c r="D177" t="s">
        <v>30</v>
      </c>
      <c r="E177" t="s">
        <v>82</v>
      </c>
      <c r="F177" t="s">
        <v>32</v>
      </c>
      <c r="G177" t="s">
        <v>340</v>
      </c>
      <c r="H177" t="s">
        <v>341</v>
      </c>
      <c r="I177">
        <v>-0.55322300000000002</v>
      </c>
      <c r="J177">
        <v>6.4219999999999997</v>
      </c>
      <c r="K177">
        <v>3.55</v>
      </c>
      <c r="N177" t="s">
        <v>26</v>
      </c>
      <c r="R177" t="s">
        <v>414</v>
      </c>
      <c r="S177" t="s">
        <v>415</v>
      </c>
    </row>
    <row r="178" spans="1:19" x14ac:dyDescent="0.25">
      <c r="A178" s="33">
        <v>46034.946768136571</v>
      </c>
      <c r="B178" s="1">
        <v>46034</v>
      </c>
      <c r="C178" t="s">
        <v>23</v>
      </c>
      <c r="D178" t="s">
        <v>30</v>
      </c>
      <c r="E178" t="s">
        <v>82</v>
      </c>
      <c r="F178" t="s">
        <v>32</v>
      </c>
      <c r="G178" t="s">
        <v>340</v>
      </c>
      <c r="H178" t="s">
        <v>341</v>
      </c>
      <c r="I178">
        <v>-18</v>
      </c>
      <c r="J178">
        <v>6.4219999999999997</v>
      </c>
      <c r="K178">
        <v>115.6</v>
      </c>
      <c r="L178" s="28">
        <v>-1</v>
      </c>
      <c r="N178" t="s">
        <v>26</v>
      </c>
      <c r="R178" t="s">
        <v>416</v>
      </c>
      <c r="S178" t="s">
        <v>417</v>
      </c>
    </row>
    <row r="179" spans="1:19" x14ac:dyDescent="0.25">
      <c r="A179" s="33">
        <v>46034.947047881942</v>
      </c>
      <c r="B179" s="1">
        <v>46034</v>
      </c>
      <c r="C179" t="s">
        <v>23</v>
      </c>
      <c r="D179" t="s">
        <v>30</v>
      </c>
      <c r="E179" t="s">
        <v>82</v>
      </c>
      <c r="F179" t="s">
        <v>32</v>
      </c>
      <c r="G179" t="s">
        <v>364</v>
      </c>
      <c r="H179" t="s">
        <v>365</v>
      </c>
      <c r="I179">
        <v>-39</v>
      </c>
      <c r="J179">
        <v>2.95</v>
      </c>
      <c r="K179">
        <v>115.05</v>
      </c>
      <c r="L179" s="28">
        <v>-1</v>
      </c>
      <c r="N179" t="s">
        <v>26</v>
      </c>
      <c r="R179" t="s">
        <v>418</v>
      </c>
      <c r="S179" t="s">
        <v>419</v>
      </c>
    </row>
    <row r="180" spans="1:19" x14ac:dyDescent="0.25">
      <c r="A180" s="33">
        <v>46034.947047881942</v>
      </c>
      <c r="B180" s="1">
        <v>46034</v>
      </c>
      <c r="C180" t="s">
        <v>23</v>
      </c>
      <c r="D180" t="s">
        <v>30</v>
      </c>
      <c r="E180" t="s">
        <v>82</v>
      </c>
      <c r="F180" t="s">
        <v>32</v>
      </c>
      <c r="G180" t="s">
        <v>364</v>
      </c>
      <c r="H180" t="s">
        <v>365</v>
      </c>
      <c r="I180">
        <v>-0.44223099999999999</v>
      </c>
      <c r="J180">
        <v>2.95</v>
      </c>
      <c r="K180">
        <v>1.3</v>
      </c>
      <c r="N180" t="s">
        <v>26</v>
      </c>
      <c r="R180" t="s">
        <v>420</v>
      </c>
      <c r="S180" t="s">
        <v>421</v>
      </c>
    </row>
    <row r="181" spans="1:19" x14ac:dyDescent="0.25">
      <c r="A181" s="33">
        <v>46034.948239375</v>
      </c>
      <c r="B181" s="1">
        <v>46034</v>
      </c>
      <c r="C181" t="s">
        <v>23</v>
      </c>
      <c r="D181" t="s">
        <v>30</v>
      </c>
      <c r="E181" t="s">
        <v>82</v>
      </c>
      <c r="F181" t="s">
        <v>32</v>
      </c>
      <c r="G181" t="s">
        <v>154</v>
      </c>
      <c r="H181" t="s">
        <v>155</v>
      </c>
      <c r="I181">
        <v>-0.44280399999999998</v>
      </c>
      <c r="J181">
        <v>24.32</v>
      </c>
      <c r="K181">
        <v>10.77</v>
      </c>
      <c r="L181" s="28">
        <v>-1</v>
      </c>
      <c r="N181" t="s">
        <v>26</v>
      </c>
      <c r="R181" t="s">
        <v>422</v>
      </c>
      <c r="S181" t="s">
        <v>423</v>
      </c>
    </row>
    <row r="182" spans="1:19" x14ac:dyDescent="0.25">
      <c r="A182" s="33">
        <v>46034.953509907413</v>
      </c>
      <c r="B182" s="1">
        <v>46034</v>
      </c>
      <c r="C182" t="s">
        <v>23</v>
      </c>
      <c r="D182" t="s">
        <v>30</v>
      </c>
      <c r="E182" t="s">
        <v>82</v>
      </c>
      <c r="F182" t="s">
        <v>32</v>
      </c>
      <c r="G182" t="s">
        <v>321</v>
      </c>
      <c r="H182" t="s">
        <v>322</v>
      </c>
      <c r="I182">
        <v>-0.401785</v>
      </c>
      <c r="J182">
        <v>5.3</v>
      </c>
      <c r="K182">
        <v>2.13</v>
      </c>
      <c r="N182" t="s">
        <v>26</v>
      </c>
      <c r="R182" t="s">
        <v>424</v>
      </c>
      <c r="S182" t="s">
        <v>425</v>
      </c>
    </row>
    <row r="183" spans="1:19" x14ac:dyDescent="0.25">
      <c r="A183" s="33">
        <v>46034.953509918982</v>
      </c>
      <c r="B183" s="1">
        <v>46034</v>
      </c>
      <c r="C183" t="s">
        <v>23</v>
      </c>
      <c r="D183" t="s">
        <v>30</v>
      </c>
      <c r="E183" t="s">
        <v>82</v>
      </c>
      <c r="F183" t="s">
        <v>32</v>
      </c>
      <c r="G183" t="s">
        <v>321</v>
      </c>
      <c r="H183" t="s">
        <v>322</v>
      </c>
      <c r="I183">
        <v>-15</v>
      </c>
      <c r="J183">
        <v>5.3</v>
      </c>
      <c r="K183">
        <v>79.5</v>
      </c>
      <c r="L183" s="28">
        <v>-1</v>
      </c>
      <c r="N183" t="s">
        <v>26</v>
      </c>
      <c r="R183" t="s">
        <v>426</v>
      </c>
      <c r="S183" t="s">
        <v>427</v>
      </c>
    </row>
    <row r="184" spans="1:19" x14ac:dyDescent="0.25">
      <c r="A184" s="33">
        <v>46035.285263593418</v>
      </c>
      <c r="B184" s="1">
        <v>46035</v>
      </c>
      <c r="C184" t="s">
        <v>23</v>
      </c>
      <c r="D184" t="s">
        <v>24</v>
      </c>
      <c r="E184" t="s">
        <v>161</v>
      </c>
      <c r="K184">
        <v>-960.46</v>
      </c>
      <c r="N184" t="s">
        <v>26</v>
      </c>
      <c r="R184" t="s">
        <v>397</v>
      </c>
      <c r="S184" t="s">
        <v>428</v>
      </c>
    </row>
    <row r="185" spans="1:19" x14ac:dyDescent="0.25">
      <c r="A185" s="33">
        <v>46035.415984050916</v>
      </c>
      <c r="B185" s="1">
        <v>46035</v>
      </c>
      <c r="C185" t="s">
        <v>23</v>
      </c>
      <c r="D185" t="s">
        <v>30</v>
      </c>
      <c r="E185" t="s">
        <v>82</v>
      </c>
      <c r="F185" t="s">
        <v>32</v>
      </c>
      <c r="G185" t="s">
        <v>334</v>
      </c>
      <c r="H185" t="s">
        <v>335</v>
      </c>
      <c r="I185">
        <v>-16</v>
      </c>
      <c r="J185">
        <v>6.4850000000000003</v>
      </c>
      <c r="K185">
        <v>103.76</v>
      </c>
      <c r="L185" s="28">
        <v>-1</v>
      </c>
      <c r="N185" t="s">
        <v>26</v>
      </c>
      <c r="R185" t="s">
        <v>429</v>
      </c>
      <c r="S185" t="s">
        <v>430</v>
      </c>
    </row>
    <row r="186" spans="1:19" x14ac:dyDescent="0.25">
      <c r="A186" s="33">
        <v>46035.420192013888</v>
      </c>
      <c r="B186" s="1">
        <v>46035</v>
      </c>
      <c r="C186" t="s">
        <v>23</v>
      </c>
      <c r="D186" t="s">
        <v>30</v>
      </c>
      <c r="E186" t="s">
        <v>82</v>
      </c>
      <c r="F186" t="s">
        <v>32</v>
      </c>
      <c r="G186" t="s">
        <v>334</v>
      </c>
      <c r="H186" t="s">
        <v>335</v>
      </c>
      <c r="I186">
        <v>-0.73710900000000001</v>
      </c>
      <c r="J186">
        <v>6.43</v>
      </c>
      <c r="K186">
        <v>4.74</v>
      </c>
      <c r="L186" s="28">
        <v>-1</v>
      </c>
      <c r="N186" t="s">
        <v>26</v>
      </c>
      <c r="R186" t="s">
        <v>431</v>
      </c>
      <c r="S186" t="s">
        <v>432</v>
      </c>
    </row>
    <row r="187" spans="1:19" x14ac:dyDescent="0.25">
      <c r="A187" s="33">
        <v>46035.551619537036</v>
      </c>
      <c r="B187" s="1">
        <v>46035</v>
      </c>
      <c r="C187" t="s">
        <v>23</v>
      </c>
      <c r="D187" t="s">
        <v>30</v>
      </c>
      <c r="E187" t="s">
        <v>82</v>
      </c>
      <c r="F187" t="s">
        <v>32</v>
      </c>
      <c r="G187" t="s">
        <v>226</v>
      </c>
      <c r="H187" t="s">
        <v>227</v>
      </c>
      <c r="I187">
        <v>-0.21123900000000001</v>
      </c>
      <c r="J187">
        <v>14.86</v>
      </c>
      <c r="K187">
        <v>3.14</v>
      </c>
      <c r="L187" s="28">
        <v>-1</v>
      </c>
      <c r="N187" t="s">
        <v>26</v>
      </c>
      <c r="R187" t="s">
        <v>433</v>
      </c>
      <c r="S187" t="s">
        <v>434</v>
      </c>
    </row>
    <row r="188" spans="1:19" x14ac:dyDescent="0.25">
      <c r="A188" s="33">
        <v>46035.790358738428</v>
      </c>
      <c r="B188" s="1">
        <v>46035</v>
      </c>
      <c r="C188" t="s">
        <v>23</v>
      </c>
      <c r="D188" t="s">
        <v>30</v>
      </c>
      <c r="E188" t="s">
        <v>82</v>
      </c>
      <c r="F188" t="s">
        <v>32</v>
      </c>
      <c r="G188" t="s">
        <v>262</v>
      </c>
      <c r="H188" t="s">
        <v>263</v>
      </c>
      <c r="I188">
        <v>-2.2239999999999999E-2</v>
      </c>
      <c r="J188">
        <v>38.895000000000003</v>
      </c>
      <c r="K188">
        <v>0.87</v>
      </c>
      <c r="L188" s="28">
        <v>-1</v>
      </c>
      <c r="N188" t="s">
        <v>26</v>
      </c>
      <c r="R188" t="s">
        <v>435</v>
      </c>
      <c r="S188" t="s">
        <v>436</v>
      </c>
    </row>
    <row r="189" spans="1:19" x14ac:dyDescent="0.25">
      <c r="A189" s="33">
        <v>46035.790916053244</v>
      </c>
      <c r="B189" s="1">
        <v>46035</v>
      </c>
      <c r="C189" t="s">
        <v>23</v>
      </c>
      <c r="D189" t="s">
        <v>30</v>
      </c>
      <c r="E189" t="s">
        <v>82</v>
      </c>
      <c r="F189" t="s">
        <v>32</v>
      </c>
      <c r="G189" t="s">
        <v>262</v>
      </c>
      <c r="H189" t="s">
        <v>263</v>
      </c>
      <c r="I189">
        <v>-1</v>
      </c>
      <c r="J189">
        <v>38.884999999999998</v>
      </c>
      <c r="K189">
        <v>38.89</v>
      </c>
      <c r="L189" s="28">
        <v>-1</v>
      </c>
      <c r="N189" t="s">
        <v>26</v>
      </c>
      <c r="R189" t="s">
        <v>437</v>
      </c>
      <c r="S189" t="s">
        <v>438</v>
      </c>
    </row>
    <row r="190" spans="1:19" x14ac:dyDescent="0.25">
      <c r="A190" s="33">
        <v>46035.792867175929</v>
      </c>
      <c r="B190" s="1">
        <v>46035</v>
      </c>
      <c r="C190" t="s">
        <v>23</v>
      </c>
      <c r="D190" t="s">
        <v>30</v>
      </c>
      <c r="E190" t="s">
        <v>82</v>
      </c>
      <c r="F190" t="s">
        <v>32</v>
      </c>
      <c r="G190" t="s">
        <v>308</v>
      </c>
      <c r="H190" t="s">
        <v>309</v>
      </c>
      <c r="I190">
        <v>-0.34567900000000001</v>
      </c>
      <c r="J190">
        <v>2.6859999999999999</v>
      </c>
      <c r="K190">
        <v>0.93</v>
      </c>
      <c r="N190" t="s">
        <v>26</v>
      </c>
      <c r="R190" t="s">
        <v>439</v>
      </c>
      <c r="S190" t="s">
        <v>440</v>
      </c>
    </row>
    <row r="191" spans="1:19" x14ac:dyDescent="0.25">
      <c r="A191" s="33">
        <v>46035.792867175929</v>
      </c>
      <c r="B191" s="1">
        <v>46035</v>
      </c>
      <c r="C191" t="s">
        <v>23</v>
      </c>
      <c r="D191" t="s">
        <v>30</v>
      </c>
      <c r="E191" t="s">
        <v>82</v>
      </c>
      <c r="F191" t="s">
        <v>32</v>
      </c>
      <c r="G191" t="s">
        <v>308</v>
      </c>
      <c r="H191" t="s">
        <v>309</v>
      </c>
      <c r="I191">
        <v>-12</v>
      </c>
      <c r="J191">
        <v>2.6859999999999999</v>
      </c>
      <c r="K191">
        <v>32.229999999999997</v>
      </c>
      <c r="L191" s="28">
        <v>-1</v>
      </c>
      <c r="N191" t="s">
        <v>26</v>
      </c>
      <c r="R191" t="s">
        <v>441</v>
      </c>
      <c r="S191" t="s">
        <v>442</v>
      </c>
    </row>
    <row r="192" spans="1:19" x14ac:dyDescent="0.25">
      <c r="A192" s="33">
        <v>46035.793664965277</v>
      </c>
      <c r="B192" s="1">
        <v>46035</v>
      </c>
      <c r="C192" t="s">
        <v>23</v>
      </c>
      <c r="D192" t="s">
        <v>30</v>
      </c>
      <c r="E192" t="s">
        <v>82</v>
      </c>
      <c r="F192" t="s">
        <v>32</v>
      </c>
      <c r="G192" t="s">
        <v>304</v>
      </c>
      <c r="H192" t="s">
        <v>305</v>
      </c>
      <c r="I192">
        <v>-50</v>
      </c>
      <c r="J192">
        <v>0.42199999999999999</v>
      </c>
      <c r="K192">
        <v>21.1</v>
      </c>
      <c r="L192" s="28">
        <v>-1</v>
      </c>
      <c r="N192" t="s">
        <v>26</v>
      </c>
      <c r="R192" t="s">
        <v>443</v>
      </c>
      <c r="S192" t="s">
        <v>444</v>
      </c>
    </row>
    <row r="193" spans="1:19" x14ac:dyDescent="0.25">
      <c r="A193" s="33">
        <v>46035.793932650457</v>
      </c>
      <c r="B193" s="1">
        <v>46035</v>
      </c>
      <c r="C193" t="s">
        <v>23</v>
      </c>
      <c r="D193" t="s">
        <v>30</v>
      </c>
      <c r="E193" t="s">
        <v>82</v>
      </c>
      <c r="F193" t="s">
        <v>32</v>
      </c>
      <c r="G193" t="s">
        <v>380</v>
      </c>
      <c r="H193" t="s">
        <v>381</v>
      </c>
      <c r="I193">
        <v>-1.75E-3</v>
      </c>
      <c r="J193">
        <v>4.3285</v>
      </c>
      <c r="K193">
        <v>0.01</v>
      </c>
      <c r="N193" t="s">
        <v>26</v>
      </c>
      <c r="R193" t="s">
        <v>445</v>
      </c>
      <c r="S193" t="s">
        <v>446</v>
      </c>
    </row>
    <row r="194" spans="1:19" x14ac:dyDescent="0.25">
      <c r="A194" s="33">
        <v>46035.793932650457</v>
      </c>
      <c r="B194" s="1">
        <v>46035</v>
      </c>
      <c r="C194" t="s">
        <v>23</v>
      </c>
      <c r="D194" t="s">
        <v>30</v>
      </c>
      <c r="E194" t="s">
        <v>82</v>
      </c>
      <c r="F194" t="s">
        <v>32</v>
      </c>
      <c r="G194" t="s">
        <v>380</v>
      </c>
      <c r="H194" t="s">
        <v>381</v>
      </c>
      <c r="I194">
        <v>-7</v>
      </c>
      <c r="J194">
        <v>4.3285</v>
      </c>
      <c r="K194">
        <v>30.3</v>
      </c>
      <c r="L194" s="28">
        <v>-1</v>
      </c>
      <c r="N194" t="s">
        <v>26</v>
      </c>
      <c r="R194" t="s">
        <v>447</v>
      </c>
      <c r="S194" t="s">
        <v>448</v>
      </c>
    </row>
    <row r="195" spans="1:19" x14ac:dyDescent="0.25">
      <c r="A195" s="33">
        <v>46036.32845850935</v>
      </c>
      <c r="B195" s="1">
        <v>46036</v>
      </c>
      <c r="C195" t="s">
        <v>23</v>
      </c>
      <c r="D195" t="s">
        <v>24</v>
      </c>
      <c r="E195" t="s">
        <v>161</v>
      </c>
      <c r="K195">
        <v>-227.97</v>
      </c>
      <c r="N195" t="s">
        <v>26</v>
      </c>
      <c r="R195" t="s">
        <v>397</v>
      </c>
      <c r="S195" t="s">
        <v>449</v>
      </c>
    </row>
    <row r="196" spans="1:19" x14ac:dyDescent="0.25">
      <c r="A196" s="33">
        <v>46036.975482614012</v>
      </c>
      <c r="B196" s="1">
        <v>46036</v>
      </c>
      <c r="C196" t="s">
        <v>23</v>
      </c>
      <c r="D196" t="s">
        <v>24</v>
      </c>
      <c r="E196" t="s">
        <v>25</v>
      </c>
      <c r="K196">
        <v>300</v>
      </c>
      <c r="N196" t="s">
        <v>26</v>
      </c>
      <c r="R196" t="s">
        <v>246</v>
      </c>
      <c r="S196" t="s">
        <v>450</v>
      </c>
    </row>
    <row r="197" spans="1:19" x14ac:dyDescent="0.25">
      <c r="A197" s="33">
        <v>46037.488128454199</v>
      </c>
      <c r="B197" s="1">
        <v>46037</v>
      </c>
      <c r="C197" t="s">
        <v>23</v>
      </c>
      <c r="D197" t="s">
        <v>24</v>
      </c>
      <c r="E197" t="s">
        <v>161</v>
      </c>
      <c r="K197">
        <v>-300</v>
      </c>
      <c r="N197" t="s">
        <v>26</v>
      </c>
      <c r="R197" t="s">
        <v>397</v>
      </c>
      <c r="S197" t="s">
        <v>451</v>
      </c>
    </row>
    <row r="198" spans="1:19" x14ac:dyDescent="0.25">
      <c r="A198" s="33">
        <v>46038.495659006228</v>
      </c>
      <c r="B198" s="1">
        <v>46038</v>
      </c>
      <c r="C198" t="s">
        <v>23</v>
      </c>
      <c r="D198" t="s">
        <v>24</v>
      </c>
      <c r="E198" t="s">
        <v>25</v>
      </c>
      <c r="K198">
        <v>363</v>
      </c>
      <c r="N198" t="s">
        <v>26</v>
      </c>
      <c r="R198" t="s">
        <v>246</v>
      </c>
      <c r="S198" t="s">
        <v>452</v>
      </c>
    </row>
    <row r="199" spans="1:19" x14ac:dyDescent="0.25">
      <c r="A199" s="33">
        <v>46038.510102280103</v>
      </c>
      <c r="B199" s="1">
        <v>46038</v>
      </c>
      <c r="C199" t="s">
        <v>23</v>
      </c>
      <c r="D199" t="s">
        <v>30</v>
      </c>
      <c r="E199" t="s">
        <v>31</v>
      </c>
      <c r="F199" t="s">
        <v>32</v>
      </c>
      <c r="G199" t="s">
        <v>167</v>
      </c>
      <c r="H199" t="s">
        <v>168</v>
      </c>
      <c r="I199">
        <v>0.38152599999999998</v>
      </c>
      <c r="J199">
        <v>2.4900000000000002</v>
      </c>
      <c r="K199">
        <v>-0.95</v>
      </c>
      <c r="N199" t="s">
        <v>26</v>
      </c>
      <c r="R199" t="s">
        <v>453</v>
      </c>
      <c r="S199" t="s">
        <v>454</v>
      </c>
    </row>
    <row r="200" spans="1:19" x14ac:dyDescent="0.25">
      <c r="A200" s="33">
        <v>46038.510104930552</v>
      </c>
      <c r="B200" s="1">
        <v>46038</v>
      </c>
      <c r="C200" t="s">
        <v>23</v>
      </c>
      <c r="D200" t="s">
        <v>30</v>
      </c>
      <c r="E200" t="s">
        <v>31</v>
      </c>
      <c r="F200" t="s">
        <v>32</v>
      </c>
      <c r="G200" t="s">
        <v>167</v>
      </c>
      <c r="H200" t="s">
        <v>168</v>
      </c>
      <c r="I200">
        <v>145</v>
      </c>
      <c r="J200">
        <v>2.4900000000000002</v>
      </c>
      <c r="K200">
        <v>-361.05</v>
      </c>
      <c r="L200" s="28">
        <v>-1</v>
      </c>
      <c r="N200" t="s">
        <v>26</v>
      </c>
      <c r="R200" t="s">
        <v>455</v>
      </c>
      <c r="S200" t="s">
        <v>456</v>
      </c>
    </row>
    <row r="201" spans="1:19" x14ac:dyDescent="0.25">
      <c r="A201" s="33">
        <v>46041.371438773152</v>
      </c>
      <c r="B201" s="1">
        <v>46041</v>
      </c>
      <c r="C201" t="s">
        <v>23</v>
      </c>
      <c r="D201" t="s">
        <v>30</v>
      </c>
      <c r="E201" t="s">
        <v>82</v>
      </c>
      <c r="F201" t="s">
        <v>32</v>
      </c>
      <c r="G201" t="s">
        <v>167</v>
      </c>
      <c r="H201" t="s">
        <v>168</v>
      </c>
      <c r="I201">
        <v>-145</v>
      </c>
      <c r="J201">
        <v>2.5750000000000002</v>
      </c>
      <c r="K201">
        <v>373.38</v>
      </c>
      <c r="L201" s="28">
        <v>-1</v>
      </c>
      <c r="N201" t="s">
        <v>26</v>
      </c>
      <c r="R201" t="s">
        <v>457</v>
      </c>
      <c r="S201" t="s">
        <v>458</v>
      </c>
    </row>
    <row r="202" spans="1:19" x14ac:dyDescent="0.25">
      <c r="A202" s="33">
        <v>46041.373094027767</v>
      </c>
      <c r="B202" s="1">
        <v>46041</v>
      </c>
      <c r="C202" t="s">
        <v>23</v>
      </c>
      <c r="D202" t="s">
        <v>30</v>
      </c>
      <c r="E202" t="s">
        <v>31</v>
      </c>
      <c r="F202" t="s">
        <v>32</v>
      </c>
      <c r="G202" t="s">
        <v>167</v>
      </c>
      <c r="H202" t="s">
        <v>168</v>
      </c>
      <c r="I202">
        <v>143</v>
      </c>
      <c r="J202">
        <v>2.58</v>
      </c>
      <c r="K202">
        <v>-368.94</v>
      </c>
      <c r="L202" s="28">
        <v>-1</v>
      </c>
      <c r="N202" t="s">
        <v>26</v>
      </c>
      <c r="R202" t="s">
        <v>459</v>
      </c>
      <c r="S202" t="s">
        <v>460</v>
      </c>
    </row>
    <row r="203" spans="1:19" x14ac:dyDescent="0.25">
      <c r="A203" s="33">
        <v>46041.373094085648</v>
      </c>
      <c r="B203" s="1">
        <v>46041</v>
      </c>
      <c r="C203" t="s">
        <v>23</v>
      </c>
      <c r="D203" t="s">
        <v>30</v>
      </c>
      <c r="E203" t="s">
        <v>31</v>
      </c>
      <c r="F203" t="s">
        <v>32</v>
      </c>
      <c r="G203" t="s">
        <v>167</v>
      </c>
      <c r="H203" t="s">
        <v>168</v>
      </c>
      <c r="I203">
        <v>0.79844899999999996</v>
      </c>
      <c r="J203">
        <v>2.58</v>
      </c>
      <c r="K203">
        <v>-2.06</v>
      </c>
      <c r="N203" t="s">
        <v>26</v>
      </c>
      <c r="R203" t="s">
        <v>461</v>
      </c>
      <c r="S203" t="s">
        <v>462</v>
      </c>
    </row>
    <row r="204" spans="1:19" x14ac:dyDescent="0.25">
      <c r="A204" s="33">
        <v>46041.978474060772</v>
      </c>
      <c r="B204" s="1">
        <v>46041</v>
      </c>
      <c r="C204" t="s">
        <v>23</v>
      </c>
      <c r="D204" t="s">
        <v>24</v>
      </c>
      <c r="E204" t="s">
        <v>25</v>
      </c>
      <c r="K204">
        <v>151</v>
      </c>
      <c r="N204" t="s">
        <v>26</v>
      </c>
      <c r="R204" t="s">
        <v>246</v>
      </c>
      <c r="S204" t="s">
        <v>463</v>
      </c>
    </row>
    <row r="205" spans="1:19" x14ac:dyDescent="0.25">
      <c r="A205" s="33">
        <v>46041.982064814823</v>
      </c>
      <c r="B205" s="1">
        <v>46041</v>
      </c>
      <c r="C205" t="s">
        <v>23</v>
      </c>
      <c r="D205" t="s">
        <v>30</v>
      </c>
      <c r="E205" t="s">
        <v>31</v>
      </c>
      <c r="F205" t="s">
        <v>464</v>
      </c>
      <c r="G205" t="s">
        <v>465</v>
      </c>
      <c r="H205" t="s">
        <v>466</v>
      </c>
      <c r="I205">
        <v>0.32567299999999999</v>
      </c>
      <c r="J205">
        <v>113.145</v>
      </c>
      <c r="K205">
        <v>-36.85</v>
      </c>
      <c r="N205" t="s">
        <v>26</v>
      </c>
      <c r="R205" t="s">
        <v>467</v>
      </c>
      <c r="S205" t="s">
        <v>468</v>
      </c>
    </row>
    <row r="206" spans="1:19" x14ac:dyDescent="0.25">
      <c r="A206" s="33">
        <v>46041.982064895827</v>
      </c>
      <c r="B206" s="1">
        <v>46041</v>
      </c>
      <c r="C206" t="s">
        <v>23</v>
      </c>
      <c r="D206" t="s">
        <v>30</v>
      </c>
      <c r="E206" t="s">
        <v>31</v>
      </c>
      <c r="F206" t="s">
        <v>464</v>
      </c>
      <c r="G206" t="s">
        <v>465</v>
      </c>
      <c r="H206" t="s">
        <v>466</v>
      </c>
      <c r="I206">
        <v>1</v>
      </c>
      <c r="J206">
        <v>113.145</v>
      </c>
      <c r="K206">
        <v>-113.15</v>
      </c>
      <c r="L206" s="28">
        <v>-1</v>
      </c>
      <c r="N206" t="s">
        <v>26</v>
      </c>
      <c r="R206" t="s">
        <v>469</v>
      </c>
      <c r="S206" t="s">
        <v>470</v>
      </c>
    </row>
    <row r="207" spans="1:19" x14ac:dyDescent="0.25">
      <c r="A207" s="33">
        <v>46041.990118495371</v>
      </c>
      <c r="B207" s="1">
        <v>46041</v>
      </c>
      <c r="C207" t="s">
        <v>23</v>
      </c>
      <c r="D207" t="s">
        <v>30</v>
      </c>
      <c r="E207" t="s">
        <v>31</v>
      </c>
      <c r="F207" t="s">
        <v>32</v>
      </c>
      <c r="G207" t="s">
        <v>471</v>
      </c>
      <c r="H207" t="s">
        <v>472</v>
      </c>
      <c r="I207">
        <v>0.45109399999999999</v>
      </c>
      <c r="J207">
        <v>11.195</v>
      </c>
      <c r="K207">
        <v>-5.05</v>
      </c>
      <c r="N207" t="s">
        <v>26</v>
      </c>
      <c r="R207" t="s">
        <v>475</v>
      </c>
      <c r="S207" t="s">
        <v>476</v>
      </c>
    </row>
    <row r="208" spans="1:19" x14ac:dyDescent="0.25">
      <c r="A208" s="33">
        <v>46041.990118495371</v>
      </c>
      <c r="B208" s="1">
        <v>46041</v>
      </c>
      <c r="C208" t="s">
        <v>23</v>
      </c>
      <c r="D208" t="s">
        <v>30</v>
      </c>
      <c r="E208" t="s">
        <v>31</v>
      </c>
      <c r="F208" t="s">
        <v>32</v>
      </c>
      <c r="G208" t="s">
        <v>471</v>
      </c>
      <c r="H208" t="s">
        <v>472</v>
      </c>
      <c r="I208">
        <v>10</v>
      </c>
      <c r="J208">
        <v>11.195</v>
      </c>
      <c r="K208">
        <v>-111.95</v>
      </c>
      <c r="L208" s="28">
        <v>-1</v>
      </c>
      <c r="N208" t="s">
        <v>26</v>
      </c>
      <c r="R208" t="s">
        <v>473</v>
      </c>
      <c r="S208" t="s">
        <v>474</v>
      </c>
    </row>
    <row r="209" spans="1:19" x14ac:dyDescent="0.25">
      <c r="A209" s="33">
        <v>46042.824065965011</v>
      </c>
      <c r="B209" s="1">
        <v>46041</v>
      </c>
      <c r="C209" t="s">
        <v>23</v>
      </c>
      <c r="D209" t="s">
        <v>24</v>
      </c>
      <c r="E209" t="s">
        <v>390</v>
      </c>
      <c r="K209">
        <v>0</v>
      </c>
      <c r="M209">
        <v>16.350000000000001</v>
      </c>
      <c r="N209" t="s">
        <v>26</v>
      </c>
      <c r="R209" t="s">
        <v>477</v>
      </c>
      <c r="S209" t="s">
        <v>478</v>
      </c>
    </row>
    <row r="210" spans="1:19" x14ac:dyDescent="0.25">
      <c r="A210" s="33">
        <v>46042.824064935419</v>
      </c>
      <c r="B210" s="1">
        <v>46041</v>
      </c>
      <c r="C210" t="s">
        <v>23</v>
      </c>
      <c r="D210" t="s">
        <v>24</v>
      </c>
      <c r="E210" t="s">
        <v>390</v>
      </c>
      <c r="K210">
        <v>0</v>
      </c>
      <c r="M210">
        <v>0.12</v>
      </c>
      <c r="N210" t="s">
        <v>26</v>
      </c>
      <c r="R210" t="s">
        <v>479</v>
      </c>
      <c r="S210" t="s">
        <v>480</v>
      </c>
    </row>
    <row r="211" spans="1:19" x14ac:dyDescent="0.25">
      <c r="A211" s="33">
        <v>46041.988945928373</v>
      </c>
      <c r="B211" s="1">
        <v>46041</v>
      </c>
      <c r="C211" t="s">
        <v>23</v>
      </c>
      <c r="D211" t="s">
        <v>24</v>
      </c>
      <c r="E211" t="s">
        <v>25</v>
      </c>
      <c r="K211">
        <v>112.42</v>
      </c>
      <c r="N211" t="s">
        <v>26</v>
      </c>
      <c r="R211" t="s">
        <v>246</v>
      </c>
      <c r="S211" t="s">
        <v>481</v>
      </c>
    </row>
    <row r="212" spans="1:19" x14ac:dyDescent="0.25">
      <c r="A212" s="33">
        <v>46041.989679984363</v>
      </c>
      <c r="B212" s="1">
        <v>46041</v>
      </c>
      <c r="C212" t="s">
        <v>23</v>
      </c>
      <c r="D212" t="s">
        <v>24</v>
      </c>
      <c r="E212" t="s">
        <v>25</v>
      </c>
      <c r="K212">
        <v>6</v>
      </c>
      <c r="N212" t="s">
        <v>26</v>
      </c>
      <c r="R212" t="s">
        <v>246</v>
      </c>
      <c r="S212" t="s">
        <v>482</v>
      </c>
    </row>
    <row r="213" spans="1:19" x14ac:dyDescent="0.25">
      <c r="A213" s="33">
        <v>46042.447016956023</v>
      </c>
      <c r="B213" s="1">
        <v>46042</v>
      </c>
      <c r="C213" t="s">
        <v>23</v>
      </c>
      <c r="D213" t="s">
        <v>30</v>
      </c>
      <c r="E213" t="s">
        <v>82</v>
      </c>
      <c r="F213" t="s">
        <v>32</v>
      </c>
      <c r="G213" t="s">
        <v>167</v>
      </c>
      <c r="H213" t="s">
        <v>168</v>
      </c>
      <c r="I213">
        <v>-144</v>
      </c>
      <c r="J213">
        <v>2.58</v>
      </c>
      <c r="K213">
        <v>371.52</v>
      </c>
      <c r="L213" s="28">
        <v>-1</v>
      </c>
      <c r="N213" t="s">
        <v>26</v>
      </c>
      <c r="R213" t="s">
        <v>483</v>
      </c>
      <c r="S213" t="s">
        <v>484</v>
      </c>
    </row>
    <row r="214" spans="1:19" x14ac:dyDescent="0.25">
      <c r="A214" s="33">
        <v>46042.82406547726</v>
      </c>
      <c r="B214" s="1">
        <v>46042</v>
      </c>
      <c r="C214" t="s">
        <v>23</v>
      </c>
      <c r="D214" t="s">
        <v>24</v>
      </c>
      <c r="E214" t="s">
        <v>390</v>
      </c>
      <c r="K214">
        <v>0</v>
      </c>
      <c r="M214">
        <v>-16.47</v>
      </c>
      <c r="N214" t="s">
        <v>26</v>
      </c>
      <c r="R214" t="s">
        <v>391</v>
      </c>
      <c r="S214" t="s">
        <v>485</v>
      </c>
    </row>
    <row r="215" spans="1:19" x14ac:dyDescent="0.25">
      <c r="A215" s="33">
        <v>46043.45888831604</v>
      </c>
      <c r="B215" s="1">
        <v>46043</v>
      </c>
      <c r="C215" t="s">
        <v>23</v>
      </c>
      <c r="D215" t="s">
        <v>24</v>
      </c>
      <c r="E215" t="s">
        <v>161</v>
      </c>
      <c r="K215">
        <v>-371.32</v>
      </c>
      <c r="N215" t="s">
        <v>26</v>
      </c>
      <c r="R215" t="s">
        <v>397</v>
      </c>
      <c r="S215" t="s">
        <v>486</v>
      </c>
    </row>
    <row r="216" spans="1:19" x14ac:dyDescent="0.25">
      <c r="A216" s="33">
        <v>46048.474293101863</v>
      </c>
      <c r="B216" s="1">
        <v>46044</v>
      </c>
      <c r="C216" t="s">
        <v>23</v>
      </c>
      <c r="D216" t="s">
        <v>487</v>
      </c>
      <c r="E216" t="s">
        <v>488</v>
      </c>
      <c r="F216" t="s">
        <v>489</v>
      </c>
      <c r="G216" t="s">
        <v>490</v>
      </c>
      <c r="H216" t="s">
        <v>491</v>
      </c>
      <c r="I216">
        <v>-30</v>
      </c>
      <c r="R216" t="s">
        <v>492</v>
      </c>
      <c r="S216" t="s">
        <v>493</v>
      </c>
    </row>
    <row r="217" spans="1:19" x14ac:dyDescent="0.25">
      <c r="A217" s="33">
        <v>46048.491784166668</v>
      </c>
      <c r="B217" s="1">
        <v>46044</v>
      </c>
      <c r="C217" t="s">
        <v>23</v>
      </c>
      <c r="D217" t="s">
        <v>487</v>
      </c>
      <c r="E217" t="s">
        <v>494</v>
      </c>
      <c r="F217" t="s">
        <v>489</v>
      </c>
      <c r="G217" t="s">
        <v>490</v>
      </c>
      <c r="H217" t="s">
        <v>491</v>
      </c>
      <c r="I217">
        <v>30</v>
      </c>
      <c r="R217" t="s">
        <v>492</v>
      </c>
      <c r="S217" t="s">
        <v>495</v>
      </c>
    </row>
    <row r="218" spans="1:19" x14ac:dyDescent="0.25">
      <c r="A218" s="33">
        <v>46048.495732210649</v>
      </c>
      <c r="B218" s="1">
        <v>46044</v>
      </c>
      <c r="C218" t="s">
        <v>23</v>
      </c>
      <c r="D218" t="s">
        <v>487</v>
      </c>
      <c r="E218" t="s">
        <v>488</v>
      </c>
      <c r="F218" t="s">
        <v>489</v>
      </c>
      <c r="G218" t="s">
        <v>490</v>
      </c>
      <c r="H218" t="s">
        <v>491</v>
      </c>
      <c r="I218">
        <v>30</v>
      </c>
      <c r="R218" t="s">
        <v>492</v>
      </c>
      <c r="S218" t="s">
        <v>496</v>
      </c>
    </row>
    <row r="219" spans="1:19" x14ac:dyDescent="0.25">
      <c r="A219" s="33">
        <v>46048.292829606478</v>
      </c>
      <c r="B219" s="1">
        <v>46048</v>
      </c>
      <c r="C219" t="s">
        <v>23</v>
      </c>
      <c r="D219" t="s">
        <v>30</v>
      </c>
      <c r="E219" t="s">
        <v>31</v>
      </c>
      <c r="F219" t="s">
        <v>64</v>
      </c>
      <c r="G219" t="s">
        <v>107</v>
      </c>
      <c r="H219" t="s">
        <v>108</v>
      </c>
      <c r="I219">
        <v>5.0231060000000003</v>
      </c>
      <c r="J219">
        <v>9.9535</v>
      </c>
      <c r="K219">
        <v>-50</v>
      </c>
      <c r="L219" s="28">
        <v>-1</v>
      </c>
      <c r="N219" t="s">
        <v>26</v>
      </c>
      <c r="R219" t="s">
        <v>497</v>
      </c>
      <c r="S219" t="s">
        <v>498</v>
      </c>
    </row>
    <row r="220" spans="1:19" x14ac:dyDescent="0.25">
      <c r="A220" s="33">
        <v>46048.293392187501</v>
      </c>
      <c r="B220" s="1">
        <v>46048</v>
      </c>
      <c r="C220" t="s">
        <v>23</v>
      </c>
      <c r="D220" t="s">
        <v>30</v>
      </c>
      <c r="E220" t="s">
        <v>31</v>
      </c>
      <c r="F220" t="s">
        <v>64</v>
      </c>
      <c r="G220" t="s">
        <v>69</v>
      </c>
      <c r="H220" t="s">
        <v>69</v>
      </c>
      <c r="I220">
        <v>16.968933</v>
      </c>
      <c r="J220">
        <v>1.591153</v>
      </c>
      <c r="K220">
        <v>-27</v>
      </c>
      <c r="L220" s="28">
        <v>-1</v>
      </c>
      <c r="N220" t="s">
        <v>26</v>
      </c>
      <c r="R220" t="s">
        <v>499</v>
      </c>
      <c r="S220" t="s">
        <v>500</v>
      </c>
    </row>
    <row r="221" spans="1:19" x14ac:dyDescent="0.25">
      <c r="A221" s="33">
        <v>46048.419662650464</v>
      </c>
      <c r="B221" s="1">
        <v>46048</v>
      </c>
      <c r="C221" t="s">
        <v>23</v>
      </c>
      <c r="D221" t="s">
        <v>30</v>
      </c>
      <c r="E221" t="s">
        <v>31</v>
      </c>
      <c r="F221" t="s">
        <v>32</v>
      </c>
      <c r="G221" t="s">
        <v>167</v>
      </c>
      <c r="H221" t="s">
        <v>168</v>
      </c>
      <c r="I221">
        <v>75</v>
      </c>
      <c r="J221">
        <v>2.62</v>
      </c>
      <c r="K221">
        <v>-196.5</v>
      </c>
      <c r="L221" s="28">
        <v>-1</v>
      </c>
      <c r="N221" t="s">
        <v>26</v>
      </c>
      <c r="R221" t="s">
        <v>501</v>
      </c>
      <c r="S221" t="s">
        <v>502</v>
      </c>
    </row>
    <row r="222" spans="1:19" x14ac:dyDescent="0.25">
      <c r="A222" s="33">
        <v>46048.419662685177</v>
      </c>
      <c r="B222" s="1">
        <v>46048</v>
      </c>
      <c r="C222" t="s">
        <v>23</v>
      </c>
      <c r="D222" t="s">
        <v>30</v>
      </c>
      <c r="E222" t="s">
        <v>31</v>
      </c>
      <c r="F222" t="s">
        <v>32</v>
      </c>
      <c r="G222" t="s">
        <v>167</v>
      </c>
      <c r="H222" t="s">
        <v>168</v>
      </c>
      <c r="I222">
        <v>0.95419799999999999</v>
      </c>
      <c r="J222">
        <v>2.62</v>
      </c>
      <c r="K222">
        <v>-2.5</v>
      </c>
      <c r="N222" t="s">
        <v>26</v>
      </c>
      <c r="R222" t="s">
        <v>503</v>
      </c>
      <c r="S222" t="s">
        <v>504</v>
      </c>
    </row>
    <row r="223" spans="1:19" x14ac:dyDescent="0.25">
      <c r="A223" s="33">
        <v>46048.746325648841</v>
      </c>
      <c r="B223" s="1">
        <v>46048</v>
      </c>
      <c r="C223" t="s">
        <v>23</v>
      </c>
      <c r="D223" t="s">
        <v>24</v>
      </c>
      <c r="E223" t="s">
        <v>25</v>
      </c>
      <c r="K223">
        <v>9.76</v>
      </c>
      <c r="N223" t="s">
        <v>26</v>
      </c>
      <c r="R223" t="s">
        <v>246</v>
      </c>
      <c r="S223" t="s">
        <v>505</v>
      </c>
    </row>
    <row r="224" spans="1:19" x14ac:dyDescent="0.25">
      <c r="A224" s="33">
        <v>46048.419124566462</v>
      </c>
      <c r="B224" s="1">
        <v>46048</v>
      </c>
      <c r="C224" t="s">
        <v>23</v>
      </c>
      <c r="D224" t="s">
        <v>24</v>
      </c>
      <c r="E224" t="s">
        <v>25</v>
      </c>
      <c r="K224">
        <v>200</v>
      </c>
      <c r="N224" t="s">
        <v>26</v>
      </c>
      <c r="R224" t="s">
        <v>246</v>
      </c>
      <c r="S224" t="s">
        <v>506</v>
      </c>
    </row>
    <row r="225" spans="1:19" x14ac:dyDescent="0.25">
      <c r="A225" s="33">
        <v>46048.749590196763</v>
      </c>
      <c r="B225" s="1">
        <v>46048</v>
      </c>
      <c r="C225" t="s">
        <v>23</v>
      </c>
      <c r="D225" t="s">
        <v>30</v>
      </c>
      <c r="E225" t="s">
        <v>31</v>
      </c>
      <c r="F225" t="s">
        <v>32</v>
      </c>
      <c r="G225" t="s">
        <v>167</v>
      </c>
      <c r="H225" t="s">
        <v>168</v>
      </c>
      <c r="I225">
        <v>3</v>
      </c>
      <c r="J225">
        <v>2.56</v>
      </c>
      <c r="K225">
        <v>-7.68</v>
      </c>
      <c r="L225" s="28">
        <v>-1</v>
      </c>
      <c r="N225" t="s">
        <v>26</v>
      </c>
      <c r="R225" t="s">
        <v>507</v>
      </c>
      <c r="S225" t="s">
        <v>508</v>
      </c>
    </row>
    <row r="226" spans="1:19" x14ac:dyDescent="0.25">
      <c r="A226" s="33">
        <v>46048.749590208332</v>
      </c>
      <c r="B226" s="1">
        <v>46048</v>
      </c>
      <c r="C226" t="s">
        <v>23</v>
      </c>
      <c r="D226" t="s">
        <v>30</v>
      </c>
      <c r="E226" t="s">
        <v>31</v>
      </c>
      <c r="F226" t="s">
        <v>32</v>
      </c>
      <c r="G226" t="s">
        <v>167</v>
      </c>
      <c r="H226" t="s">
        <v>168</v>
      </c>
      <c r="I226">
        <v>0.515625</v>
      </c>
      <c r="J226">
        <v>2.56</v>
      </c>
      <c r="K226">
        <v>-1.32</v>
      </c>
      <c r="N226" t="s">
        <v>26</v>
      </c>
      <c r="R226" t="s">
        <v>509</v>
      </c>
      <c r="S226" t="s">
        <v>510</v>
      </c>
    </row>
    <row r="227" spans="1:19" x14ac:dyDescent="0.25">
      <c r="A227" s="33">
        <v>46048.994933742892</v>
      </c>
      <c r="B227" s="1">
        <v>46048</v>
      </c>
      <c r="C227" t="s">
        <v>23</v>
      </c>
      <c r="D227" t="s">
        <v>24</v>
      </c>
      <c r="E227" t="s">
        <v>161</v>
      </c>
      <c r="K227">
        <v>-200.76</v>
      </c>
      <c r="N227" t="s">
        <v>26</v>
      </c>
      <c r="R227" t="s">
        <v>397</v>
      </c>
      <c r="S227" t="s">
        <v>511</v>
      </c>
    </row>
    <row r="228" spans="1:19" x14ac:dyDescent="0.25">
      <c r="A228" s="33">
        <v>46048.960572970143</v>
      </c>
      <c r="B228" s="1">
        <v>46048</v>
      </c>
      <c r="C228" t="s">
        <v>23</v>
      </c>
      <c r="D228" t="s">
        <v>24</v>
      </c>
      <c r="E228" t="s">
        <v>25</v>
      </c>
      <c r="K228">
        <v>200</v>
      </c>
      <c r="N228" t="s">
        <v>26</v>
      </c>
      <c r="R228" t="s">
        <v>246</v>
      </c>
      <c r="S228" t="s">
        <v>512</v>
      </c>
    </row>
    <row r="229" spans="1:19" x14ac:dyDescent="0.25">
      <c r="A229" s="33">
        <v>46048.291930343417</v>
      </c>
      <c r="B229" s="1">
        <v>46048</v>
      </c>
      <c r="C229" t="s">
        <v>23</v>
      </c>
      <c r="D229" t="s">
        <v>24</v>
      </c>
      <c r="E229" t="s">
        <v>25</v>
      </c>
      <c r="K229">
        <v>80</v>
      </c>
      <c r="N229" t="s">
        <v>26</v>
      </c>
      <c r="R229" t="s">
        <v>246</v>
      </c>
      <c r="S229" t="s">
        <v>513</v>
      </c>
    </row>
    <row r="230" spans="1:19" x14ac:dyDescent="0.25">
      <c r="A230" s="33">
        <v>46050.520849585089</v>
      </c>
      <c r="B230" s="1">
        <v>46050</v>
      </c>
      <c r="C230" t="s">
        <v>23</v>
      </c>
      <c r="D230" t="s">
        <v>24</v>
      </c>
      <c r="E230" t="s">
        <v>25</v>
      </c>
      <c r="K230">
        <v>233.92</v>
      </c>
      <c r="N230" t="s">
        <v>26</v>
      </c>
      <c r="R230" t="s">
        <v>246</v>
      </c>
      <c r="S230" t="s">
        <v>514</v>
      </c>
    </row>
    <row r="231" spans="1:19" x14ac:dyDescent="0.25">
      <c r="A231" s="33">
        <v>46050.521269849538</v>
      </c>
      <c r="B231" s="1">
        <v>46050</v>
      </c>
      <c r="C231" t="s">
        <v>23</v>
      </c>
      <c r="D231" t="s">
        <v>30</v>
      </c>
      <c r="E231" t="s">
        <v>31</v>
      </c>
      <c r="F231" t="s">
        <v>32</v>
      </c>
      <c r="G231" t="s">
        <v>515</v>
      </c>
      <c r="H231" t="s">
        <v>516</v>
      </c>
      <c r="I231">
        <v>0.96076499999999998</v>
      </c>
      <c r="J231">
        <v>16.617999999999999</v>
      </c>
      <c r="K231">
        <v>-15.97</v>
      </c>
      <c r="N231" t="s">
        <v>26</v>
      </c>
      <c r="R231" t="s">
        <v>517</v>
      </c>
      <c r="S231" t="s">
        <v>518</v>
      </c>
    </row>
    <row r="232" spans="1:19" x14ac:dyDescent="0.25">
      <c r="A232" s="33">
        <v>46050.521269861107</v>
      </c>
      <c r="B232" s="1">
        <v>46050</v>
      </c>
      <c r="C232" t="s">
        <v>23</v>
      </c>
      <c r="D232" t="s">
        <v>30</v>
      </c>
      <c r="E232" t="s">
        <v>31</v>
      </c>
      <c r="F232" t="s">
        <v>32</v>
      </c>
      <c r="G232" t="s">
        <v>515</v>
      </c>
      <c r="H232" t="s">
        <v>516</v>
      </c>
      <c r="I232">
        <v>13</v>
      </c>
      <c r="J232">
        <v>16.617999999999999</v>
      </c>
      <c r="K232">
        <v>-216.03</v>
      </c>
      <c r="L232" s="28">
        <v>-1</v>
      </c>
      <c r="N232" t="s">
        <v>26</v>
      </c>
      <c r="R232" t="s">
        <v>519</v>
      </c>
      <c r="S232" t="s">
        <v>520</v>
      </c>
    </row>
    <row r="233" spans="1:19" x14ac:dyDescent="0.25">
      <c r="A233" s="33">
        <v>46051.363254897908</v>
      </c>
      <c r="B233" s="1">
        <v>46051</v>
      </c>
      <c r="C233" t="s">
        <v>23</v>
      </c>
      <c r="D233" t="s">
        <v>24</v>
      </c>
      <c r="E233" t="s">
        <v>25</v>
      </c>
      <c r="K233">
        <v>40</v>
      </c>
      <c r="N233" t="s">
        <v>26</v>
      </c>
      <c r="R233" t="s">
        <v>246</v>
      </c>
      <c r="S233" t="s">
        <v>521</v>
      </c>
    </row>
    <row r="234" spans="1:19" x14ac:dyDescent="0.25">
      <c r="A234" s="33">
        <v>46051.363949965278</v>
      </c>
      <c r="B234" s="1">
        <v>46051</v>
      </c>
      <c r="C234" t="s">
        <v>23</v>
      </c>
      <c r="D234" t="s">
        <v>30</v>
      </c>
      <c r="E234" t="s">
        <v>31</v>
      </c>
      <c r="F234" t="s">
        <v>32</v>
      </c>
      <c r="G234" t="s">
        <v>167</v>
      </c>
      <c r="H234" t="s">
        <v>168</v>
      </c>
      <c r="I234">
        <v>19</v>
      </c>
      <c r="J234">
        <v>2.0699999999999998</v>
      </c>
      <c r="K234">
        <v>-39.33</v>
      </c>
      <c r="L234" s="28">
        <v>-1</v>
      </c>
      <c r="N234" t="s">
        <v>26</v>
      </c>
      <c r="R234" t="s">
        <v>522</v>
      </c>
      <c r="S234" t="s">
        <v>523</v>
      </c>
    </row>
    <row r="235" spans="1:19" x14ac:dyDescent="0.25">
      <c r="A235" s="33">
        <v>46051.363949965278</v>
      </c>
      <c r="B235" s="1">
        <v>46051</v>
      </c>
      <c r="C235" t="s">
        <v>23</v>
      </c>
      <c r="D235" t="s">
        <v>30</v>
      </c>
      <c r="E235" t="s">
        <v>31</v>
      </c>
      <c r="F235" t="s">
        <v>32</v>
      </c>
      <c r="G235" t="s">
        <v>167</v>
      </c>
      <c r="H235" t="s">
        <v>168</v>
      </c>
      <c r="I235">
        <v>2.4389999999999998E-2</v>
      </c>
      <c r="J235">
        <v>2.0699999999999998</v>
      </c>
      <c r="K235">
        <v>-0.05</v>
      </c>
      <c r="N235" t="s">
        <v>26</v>
      </c>
      <c r="R235" t="s">
        <v>524</v>
      </c>
      <c r="S235" t="s">
        <v>525</v>
      </c>
    </row>
    <row r="236" spans="1:19" x14ac:dyDescent="0.25">
      <c r="A236" s="33">
        <v>46051.390857777777</v>
      </c>
      <c r="B236" s="1">
        <v>46051</v>
      </c>
      <c r="C236" t="s">
        <v>23</v>
      </c>
      <c r="D236" t="s">
        <v>30</v>
      </c>
      <c r="E236" t="s">
        <v>31</v>
      </c>
      <c r="F236" t="s">
        <v>464</v>
      </c>
      <c r="G236" t="s">
        <v>526</v>
      </c>
      <c r="H236" t="s">
        <v>527</v>
      </c>
      <c r="I236">
        <v>0.414267</v>
      </c>
      <c r="J236">
        <v>625.20000000000005</v>
      </c>
      <c r="K236">
        <v>-259</v>
      </c>
      <c r="L236" s="28">
        <v>-1</v>
      </c>
      <c r="N236" t="s">
        <v>26</v>
      </c>
      <c r="R236" t="s">
        <v>528</v>
      </c>
      <c r="S236" t="s">
        <v>529</v>
      </c>
    </row>
    <row r="237" spans="1:19" x14ac:dyDescent="0.25">
      <c r="A237" s="33">
        <v>46051.7343473578</v>
      </c>
      <c r="B237" s="1">
        <v>46051</v>
      </c>
      <c r="C237" t="s">
        <v>23</v>
      </c>
      <c r="D237" t="s">
        <v>24</v>
      </c>
      <c r="E237" t="s">
        <v>25</v>
      </c>
      <c r="K237">
        <v>40</v>
      </c>
      <c r="N237" t="s">
        <v>26</v>
      </c>
      <c r="R237" t="s">
        <v>246</v>
      </c>
      <c r="S237" t="s">
        <v>530</v>
      </c>
    </row>
    <row r="238" spans="1:19" x14ac:dyDescent="0.25">
      <c r="A238" s="33">
        <v>46051.39071267016</v>
      </c>
      <c r="B238" s="1">
        <v>46051</v>
      </c>
      <c r="C238" t="s">
        <v>23</v>
      </c>
      <c r="D238" t="s">
        <v>24</v>
      </c>
      <c r="E238" t="s">
        <v>25</v>
      </c>
      <c r="K238">
        <v>260</v>
      </c>
      <c r="N238" t="s">
        <v>26</v>
      </c>
      <c r="R238" t="s">
        <v>246</v>
      </c>
      <c r="S238" t="s">
        <v>531</v>
      </c>
    </row>
    <row r="239" spans="1:19" x14ac:dyDescent="0.25">
      <c r="A239" s="33">
        <v>46051.810838599537</v>
      </c>
      <c r="B239" s="1">
        <v>46051</v>
      </c>
      <c r="C239" t="s">
        <v>23</v>
      </c>
      <c r="D239" t="s">
        <v>30</v>
      </c>
      <c r="E239" t="s">
        <v>31</v>
      </c>
      <c r="F239" t="s">
        <v>32</v>
      </c>
      <c r="G239" t="s">
        <v>211</v>
      </c>
      <c r="H239" t="s">
        <v>212</v>
      </c>
      <c r="I239">
        <v>0.1875</v>
      </c>
      <c r="J239">
        <v>3.2</v>
      </c>
      <c r="K239">
        <v>-0.6</v>
      </c>
      <c r="N239" t="s">
        <v>26</v>
      </c>
      <c r="R239" t="s">
        <v>532</v>
      </c>
      <c r="S239" t="s">
        <v>533</v>
      </c>
    </row>
    <row r="240" spans="1:19" x14ac:dyDescent="0.25">
      <c r="A240" s="33">
        <v>46051.810838599537</v>
      </c>
      <c r="B240" s="1">
        <v>46051</v>
      </c>
      <c r="C240" t="s">
        <v>23</v>
      </c>
      <c r="D240" t="s">
        <v>30</v>
      </c>
      <c r="E240" t="s">
        <v>31</v>
      </c>
      <c r="F240" t="s">
        <v>32</v>
      </c>
      <c r="G240" t="s">
        <v>211</v>
      </c>
      <c r="H240" t="s">
        <v>212</v>
      </c>
      <c r="I240">
        <v>12</v>
      </c>
      <c r="J240">
        <v>3.2</v>
      </c>
      <c r="K240">
        <v>-38.4</v>
      </c>
      <c r="L240" s="28">
        <v>-1</v>
      </c>
      <c r="N240" t="s">
        <v>26</v>
      </c>
      <c r="R240" t="s">
        <v>534</v>
      </c>
      <c r="S240" t="s">
        <v>535</v>
      </c>
    </row>
    <row r="241" spans="1:19" x14ac:dyDescent="0.25">
      <c r="A241" s="33">
        <v>46053.999012458728</v>
      </c>
      <c r="B241" s="1">
        <v>46053</v>
      </c>
      <c r="C241" t="s">
        <v>23</v>
      </c>
      <c r="D241" t="s">
        <v>24</v>
      </c>
      <c r="E241" t="s">
        <v>25</v>
      </c>
      <c r="K241">
        <v>281</v>
      </c>
      <c r="N241" t="s">
        <v>26</v>
      </c>
      <c r="R241" t="s">
        <v>246</v>
      </c>
      <c r="S241" t="s">
        <v>536</v>
      </c>
    </row>
    <row r="242" spans="1:19" x14ac:dyDescent="0.25">
      <c r="A242" s="33">
        <v>46054.113383402779</v>
      </c>
      <c r="B242" s="1">
        <v>46054</v>
      </c>
      <c r="C242" t="s">
        <v>23</v>
      </c>
      <c r="D242" t="s">
        <v>30</v>
      </c>
      <c r="E242" t="s">
        <v>31</v>
      </c>
      <c r="F242" t="s">
        <v>64</v>
      </c>
      <c r="G242" t="s">
        <v>65</v>
      </c>
      <c r="H242" t="s">
        <v>66</v>
      </c>
      <c r="I242">
        <v>3.0932390000000001</v>
      </c>
      <c r="J242">
        <v>90.518000000000001</v>
      </c>
      <c r="K242">
        <v>-279.99</v>
      </c>
      <c r="L242" s="28">
        <v>-1</v>
      </c>
      <c r="N242" t="s">
        <v>26</v>
      </c>
      <c r="R242" t="s">
        <v>537</v>
      </c>
      <c r="S242" t="s">
        <v>538</v>
      </c>
    </row>
    <row r="243" spans="1:19" x14ac:dyDescent="0.25">
      <c r="A243" s="33">
        <v>46055.354340405087</v>
      </c>
      <c r="B243" s="1">
        <v>46055</v>
      </c>
      <c r="C243" t="s">
        <v>23</v>
      </c>
      <c r="D243" t="s">
        <v>30</v>
      </c>
      <c r="E243" t="s">
        <v>82</v>
      </c>
      <c r="F243" t="s">
        <v>32</v>
      </c>
      <c r="G243" t="s">
        <v>471</v>
      </c>
      <c r="H243" t="s">
        <v>472</v>
      </c>
      <c r="I243">
        <v>-10</v>
      </c>
      <c r="J243">
        <v>9.7260000000000009</v>
      </c>
      <c r="K243">
        <v>97.26</v>
      </c>
      <c r="L243" s="28">
        <v>-1</v>
      </c>
      <c r="N243" t="s">
        <v>26</v>
      </c>
      <c r="R243" t="s">
        <v>539</v>
      </c>
      <c r="S243" t="s">
        <v>540</v>
      </c>
    </row>
    <row r="244" spans="1:19" x14ac:dyDescent="0.25">
      <c r="A244" s="33">
        <v>46055.37532295139</v>
      </c>
      <c r="B244" s="1">
        <v>46055</v>
      </c>
      <c r="C244" t="s">
        <v>23</v>
      </c>
      <c r="D244" t="s">
        <v>30</v>
      </c>
      <c r="E244" t="s">
        <v>31</v>
      </c>
      <c r="F244" t="s">
        <v>32</v>
      </c>
      <c r="G244" t="s">
        <v>154</v>
      </c>
      <c r="H244" t="s">
        <v>155</v>
      </c>
      <c r="I244">
        <v>5</v>
      </c>
      <c r="J244">
        <v>17.155000000000001</v>
      </c>
      <c r="K244">
        <v>-85.78</v>
      </c>
      <c r="L244" s="28">
        <v>-1</v>
      </c>
      <c r="N244" t="s">
        <v>26</v>
      </c>
      <c r="R244" t="s">
        <v>288</v>
      </c>
      <c r="S244" t="s">
        <v>541</v>
      </c>
    </row>
    <row r="245" spans="1:19" x14ac:dyDescent="0.25">
      <c r="A245" s="33">
        <v>46055.375322962973</v>
      </c>
      <c r="B245" s="1">
        <v>46055</v>
      </c>
      <c r="C245" t="s">
        <v>23</v>
      </c>
      <c r="D245" t="s">
        <v>30</v>
      </c>
      <c r="E245" t="s">
        <v>31</v>
      </c>
      <c r="F245" t="s">
        <v>32</v>
      </c>
      <c r="G245" t="s">
        <v>154</v>
      </c>
      <c r="H245" t="s">
        <v>155</v>
      </c>
      <c r="I245">
        <v>0.537744</v>
      </c>
      <c r="J245">
        <v>17.155000000000001</v>
      </c>
      <c r="K245">
        <v>-9.2200000000000006</v>
      </c>
      <c r="N245" t="s">
        <v>26</v>
      </c>
      <c r="R245" t="s">
        <v>542</v>
      </c>
      <c r="S245" t="s">
        <v>543</v>
      </c>
    </row>
    <row r="246" spans="1:19" x14ac:dyDescent="0.25">
      <c r="A246" s="33">
        <v>46055.643112164347</v>
      </c>
      <c r="B246" s="1">
        <v>46055</v>
      </c>
      <c r="C246" t="s">
        <v>23</v>
      </c>
      <c r="D246" t="s">
        <v>30</v>
      </c>
      <c r="E246" t="s">
        <v>31</v>
      </c>
      <c r="F246" t="s">
        <v>32</v>
      </c>
      <c r="G246" t="s">
        <v>154</v>
      </c>
      <c r="H246" t="s">
        <v>155</v>
      </c>
      <c r="I246">
        <v>5</v>
      </c>
      <c r="J246">
        <v>17.96</v>
      </c>
      <c r="K246">
        <v>-89.8</v>
      </c>
      <c r="L246" s="28">
        <v>-1</v>
      </c>
      <c r="N246" t="s">
        <v>26</v>
      </c>
      <c r="R246" t="s">
        <v>288</v>
      </c>
      <c r="S246" t="s">
        <v>544</v>
      </c>
    </row>
    <row r="247" spans="1:19" x14ac:dyDescent="0.25">
      <c r="A247" s="33">
        <v>46055.643112175923</v>
      </c>
      <c r="B247" s="1">
        <v>46055</v>
      </c>
      <c r="C247" t="s">
        <v>23</v>
      </c>
      <c r="D247" t="s">
        <v>30</v>
      </c>
      <c r="E247" t="s">
        <v>31</v>
      </c>
      <c r="F247" t="s">
        <v>32</v>
      </c>
      <c r="G247" t="s">
        <v>154</v>
      </c>
      <c r="H247" t="s">
        <v>155</v>
      </c>
      <c r="I247">
        <v>9.7409999999999997E-3</v>
      </c>
      <c r="J247">
        <v>17.96</v>
      </c>
      <c r="K247">
        <v>-0.17</v>
      </c>
      <c r="N247" t="s">
        <v>26</v>
      </c>
      <c r="R247" t="s">
        <v>545</v>
      </c>
      <c r="S247" t="s">
        <v>546</v>
      </c>
    </row>
    <row r="248" spans="1:19" x14ac:dyDescent="0.25">
      <c r="A248" s="33">
        <v>46055.64350524266</v>
      </c>
      <c r="B248" s="1">
        <v>46055</v>
      </c>
      <c r="C248" t="s">
        <v>23</v>
      </c>
      <c r="D248" t="s">
        <v>24</v>
      </c>
      <c r="E248" t="s">
        <v>25</v>
      </c>
      <c r="K248">
        <v>90.73</v>
      </c>
      <c r="N248" t="s">
        <v>26</v>
      </c>
      <c r="R248" t="s">
        <v>246</v>
      </c>
      <c r="S248" t="s">
        <v>547</v>
      </c>
    </row>
    <row r="249" spans="1:19" x14ac:dyDescent="0.25">
      <c r="A249" s="33">
        <v>46063.75806398991</v>
      </c>
      <c r="B249" s="1">
        <v>46063</v>
      </c>
      <c r="C249" t="s">
        <v>23</v>
      </c>
      <c r="D249" t="s">
        <v>24</v>
      </c>
      <c r="E249" t="s">
        <v>25</v>
      </c>
      <c r="K249">
        <v>120</v>
      </c>
      <c r="N249" t="s">
        <v>26</v>
      </c>
      <c r="R249" t="s">
        <v>246</v>
      </c>
      <c r="S249" t="s">
        <v>548</v>
      </c>
    </row>
    <row r="250" spans="1:19" x14ac:dyDescent="0.25">
      <c r="A250" s="33">
        <v>46064.729813501421</v>
      </c>
      <c r="B250" s="1">
        <v>46064</v>
      </c>
      <c r="C250" t="s">
        <v>23</v>
      </c>
      <c r="D250" t="s">
        <v>24</v>
      </c>
      <c r="E250" t="s">
        <v>25</v>
      </c>
      <c r="K250">
        <v>30.43</v>
      </c>
      <c r="N250" t="s">
        <v>26</v>
      </c>
      <c r="R250" t="s">
        <v>246</v>
      </c>
      <c r="S250" t="s">
        <v>549</v>
      </c>
    </row>
    <row r="251" spans="1:19" x14ac:dyDescent="0.25">
      <c r="A251" s="33">
        <v>46065.510915729174</v>
      </c>
      <c r="B251" s="1">
        <v>46065</v>
      </c>
      <c r="C251" t="s">
        <v>23</v>
      </c>
      <c r="D251" t="s">
        <v>30</v>
      </c>
      <c r="E251" t="s">
        <v>31</v>
      </c>
      <c r="F251" t="s">
        <v>464</v>
      </c>
      <c r="G251" t="s">
        <v>465</v>
      </c>
      <c r="H251" t="s">
        <v>466</v>
      </c>
      <c r="I251">
        <v>1</v>
      </c>
      <c r="J251">
        <v>113.745</v>
      </c>
      <c r="K251">
        <v>-113.75</v>
      </c>
      <c r="L251" s="28">
        <v>-1</v>
      </c>
      <c r="N251" t="s">
        <v>26</v>
      </c>
      <c r="R251" t="s">
        <v>469</v>
      </c>
      <c r="S251" t="s">
        <v>550</v>
      </c>
    </row>
    <row r="252" spans="1:19" x14ac:dyDescent="0.25">
      <c r="A252" s="33">
        <v>46065.510915740742</v>
      </c>
      <c r="B252" s="1">
        <v>46065</v>
      </c>
      <c r="C252" t="s">
        <v>23</v>
      </c>
      <c r="D252" t="s">
        <v>30</v>
      </c>
      <c r="E252" t="s">
        <v>31</v>
      </c>
      <c r="F252" t="s">
        <v>464</v>
      </c>
      <c r="G252" t="s">
        <v>465</v>
      </c>
      <c r="H252" t="s">
        <v>466</v>
      </c>
      <c r="I252">
        <v>0.31873899999999999</v>
      </c>
      <c r="J252">
        <v>113.745</v>
      </c>
      <c r="K252">
        <v>-36.25</v>
      </c>
      <c r="N252" t="s">
        <v>26</v>
      </c>
      <c r="R252" t="s">
        <v>551</v>
      </c>
      <c r="S252" t="s">
        <v>552</v>
      </c>
    </row>
    <row r="253" spans="1:19" x14ac:dyDescent="0.25">
      <c r="A253" s="33">
        <v>46065.649565844913</v>
      </c>
      <c r="B253" s="1">
        <v>46065</v>
      </c>
      <c r="C253" t="s">
        <v>23</v>
      </c>
      <c r="D253" t="s">
        <v>30</v>
      </c>
      <c r="E253" t="s">
        <v>31</v>
      </c>
      <c r="F253" t="s">
        <v>32</v>
      </c>
      <c r="G253" t="s">
        <v>167</v>
      </c>
      <c r="H253" t="s">
        <v>168</v>
      </c>
      <c r="I253">
        <v>9</v>
      </c>
      <c r="J253">
        <v>1.9119999999999999</v>
      </c>
      <c r="K253">
        <v>-17.21</v>
      </c>
      <c r="L253" s="28">
        <v>-1</v>
      </c>
      <c r="N253" t="s">
        <v>26</v>
      </c>
      <c r="R253" t="s">
        <v>553</v>
      </c>
      <c r="S253" t="s">
        <v>554</v>
      </c>
    </row>
    <row r="254" spans="1:19" x14ac:dyDescent="0.25">
      <c r="A254" s="33">
        <v>46065.649565868058</v>
      </c>
      <c r="B254" s="1">
        <v>46065</v>
      </c>
      <c r="C254" t="s">
        <v>23</v>
      </c>
      <c r="D254" t="s">
        <v>30</v>
      </c>
      <c r="E254" t="s">
        <v>31</v>
      </c>
      <c r="F254" t="s">
        <v>32</v>
      </c>
      <c r="G254" t="s">
        <v>167</v>
      </c>
      <c r="H254" t="s">
        <v>168</v>
      </c>
      <c r="I254">
        <v>0.41422500000000001</v>
      </c>
      <c r="J254">
        <v>1.9119999999999999</v>
      </c>
      <c r="K254">
        <v>-0.79</v>
      </c>
      <c r="N254" t="s">
        <v>26</v>
      </c>
      <c r="R254" t="s">
        <v>555</v>
      </c>
      <c r="S254" t="s">
        <v>556</v>
      </c>
    </row>
    <row r="255" spans="1:19" x14ac:dyDescent="0.25">
      <c r="A255" s="33">
        <v>46065.663460495009</v>
      </c>
      <c r="B255" s="1">
        <v>46065</v>
      </c>
      <c r="C255" t="s">
        <v>23</v>
      </c>
      <c r="D255" t="s">
        <v>24</v>
      </c>
      <c r="E255" t="s">
        <v>25</v>
      </c>
      <c r="K255">
        <v>260</v>
      </c>
      <c r="N255" t="s">
        <v>26</v>
      </c>
      <c r="R255" t="s">
        <v>246</v>
      </c>
      <c r="S255" t="s">
        <v>557</v>
      </c>
    </row>
    <row r="256" spans="1:19" x14ac:dyDescent="0.25">
      <c r="A256" s="33">
        <v>46065.476958048697</v>
      </c>
      <c r="B256" s="1">
        <v>46065</v>
      </c>
      <c r="C256" t="s">
        <v>23</v>
      </c>
      <c r="D256" t="s">
        <v>24</v>
      </c>
      <c r="E256" t="s">
        <v>25</v>
      </c>
      <c r="K256">
        <v>19</v>
      </c>
      <c r="N256" t="s">
        <v>26</v>
      </c>
      <c r="R256" t="s">
        <v>246</v>
      </c>
      <c r="S256" t="s">
        <v>558</v>
      </c>
    </row>
    <row r="257" spans="1:19" x14ac:dyDescent="0.25">
      <c r="A257" s="33">
        <v>46066.354679016207</v>
      </c>
      <c r="B257" s="1">
        <v>46066</v>
      </c>
      <c r="C257" t="s">
        <v>23</v>
      </c>
      <c r="D257" t="s">
        <v>30</v>
      </c>
      <c r="E257" t="s">
        <v>31</v>
      </c>
      <c r="F257" t="s">
        <v>464</v>
      </c>
      <c r="G257" t="s">
        <v>526</v>
      </c>
      <c r="H257" t="s">
        <v>527</v>
      </c>
      <c r="I257">
        <v>0.41996299999999998</v>
      </c>
      <c r="J257">
        <v>616.72</v>
      </c>
      <c r="K257">
        <v>-259</v>
      </c>
      <c r="L257" s="28">
        <v>-1</v>
      </c>
      <c r="N257" t="s">
        <v>26</v>
      </c>
      <c r="R257" t="s">
        <v>559</v>
      </c>
      <c r="S257" t="s">
        <v>560</v>
      </c>
    </row>
    <row r="258" spans="1:19" x14ac:dyDescent="0.25">
      <c r="A258" s="33">
        <v>46069.450068456608</v>
      </c>
      <c r="B258" s="1">
        <v>46069</v>
      </c>
      <c r="C258" t="s">
        <v>23</v>
      </c>
      <c r="D258" t="s">
        <v>24</v>
      </c>
      <c r="E258" t="s">
        <v>25</v>
      </c>
      <c r="K258">
        <v>15</v>
      </c>
      <c r="N258" t="s">
        <v>26</v>
      </c>
      <c r="R258" t="s">
        <v>246</v>
      </c>
      <c r="S258" t="s">
        <v>561</v>
      </c>
    </row>
    <row r="259" spans="1:19" x14ac:dyDescent="0.25">
      <c r="A259" s="33">
        <v>46069.501088263889</v>
      </c>
      <c r="B259" s="1">
        <v>46069</v>
      </c>
      <c r="C259" t="s">
        <v>23</v>
      </c>
      <c r="D259" t="s">
        <v>30</v>
      </c>
      <c r="E259" t="s">
        <v>31</v>
      </c>
      <c r="F259" t="s">
        <v>32</v>
      </c>
      <c r="G259" t="s">
        <v>211</v>
      </c>
      <c r="H259" t="s">
        <v>212</v>
      </c>
      <c r="I259">
        <v>0.98290500000000003</v>
      </c>
      <c r="J259">
        <v>2.34</v>
      </c>
      <c r="K259">
        <v>-2.2999999999999998</v>
      </c>
      <c r="N259" t="s">
        <v>26</v>
      </c>
      <c r="R259" t="s">
        <v>562</v>
      </c>
      <c r="S259" t="s">
        <v>563</v>
      </c>
    </row>
    <row r="260" spans="1:19" x14ac:dyDescent="0.25">
      <c r="A260" s="33">
        <v>46069.501093761573</v>
      </c>
      <c r="B260" s="1">
        <v>46069</v>
      </c>
      <c r="C260" t="s">
        <v>23</v>
      </c>
      <c r="D260" t="s">
        <v>30</v>
      </c>
      <c r="E260" t="s">
        <v>31</v>
      </c>
      <c r="F260" t="s">
        <v>32</v>
      </c>
      <c r="G260" t="s">
        <v>211</v>
      </c>
      <c r="H260" t="s">
        <v>212</v>
      </c>
      <c r="I260">
        <v>5</v>
      </c>
      <c r="J260">
        <v>2.34</v>
      </c>
      <c r="K260">
        <v>-11.7</v>
      </c>
      <c r="L260" s="28">
        <v>-1</v>
      </c>
      <c r="N260" t="s">
        <v>26</v>
      </c>
      <c r="R260" t="s">
        <v>564</v>
      </c>
      <c r="S260" t="s">
        <v>565</v>
      </c>
    </row>
    <row r="261" spans="1:19" x14ac:dyDescent="0.25">
      <c r="A261" s="33">
        <v>46069.596872181173</v>
      </c>
      <c r="B261" s="1">
        <v>46069</v>
      </c>
      <c r="C261" t="s">
        <v>23</v>
      </c>
      <c r="D261" t="s">
        <v>24</v>
      </c>
      <c r="E261" t="s">
        <v>25</v>
      </c>
      <c r="K261">
        <v>100</v>
      </c>
      <c r="N261" t="s">
        <v>26</v>
      </c>
      <c r="R261" t="s">
        <v>246</v>
      </c>
      <c r="S261" t="s">
        <v>566</v>
      </c>
    </row>
    <row r="262" spans="1:19" x14ac:dyDescent="0.25">
      <c r="A262" s="33">
        <v>46069.596987731478</v>
      </c>
      <c r="B262" s="1">
        <v>46069</v>
      </c>
      <c r="C262" t="s">
        <v>23</v>
      </c>
      <c r="D262" t="s">
        <v>30</v>
      </c>
      <c r="E262" t="s">
        <v>31</v>
      </c>
      <c r="F262" t="s">
        <v>32</v>
      </c>
      <c r="G262" t="s">
        <v>471</v>
      </c>
      <c r="H262" t="s">
        <v>472</v>
      </c>
      <c r="I262">
        <v>0.44656400000000002</v>
      </c>
      <c r="J262">
        <v>10.48</v>
      </c>
      <c r="K262">
        <v>-4.68</v>
      </c>
      <c r="N262" t="s">
        <v>26</v>
      </c>
      <c r="R262" t="s">
        <v>567</v>
      </c>
      <c r="S262" t="s">
        <v>568</v>
      </c>
    </row>
    <row r="263" spans="1:19" x14ac:dyDescent="0.25">
      <c r="A263" s="33">
        <v>46069.596987743047</v>
      </c>
      <c r="B263" s="1">
        <v>46069</v>
      </c>
      <c r="C263" t="s">
        <v>23</v>
      </c>
      <c r="D263" t="s">
        <v>30</v>
      </c>
      <c r="E263" t="s">
        <v>31</v>
      </c>
      <c r="F263" t="s">
        <v>32</v>
      </c>
      <c r="G263" t="s">
        <v>471</v>
      </c>
      <c r="H263" t="s">
        <v>472</v>
      </c>
      <c r="I263">
        <v>9</v>
      </c>
      <c r="J263">
        <v>10.48</v>
      </c>
      <c r="K263">
        <v>-94.32</v>
      </c>
      <c r="L263" s="28">
        <v>-1</v>
      </c>
      <c r="N263" t="s">
        <v>26</v>
      </c>
      <c r="R263" t="s">
        <v>569</v>
      </c>
      <c r="S263" t="s">
        <v>570</v>
      </c>
    </row>
    <row r="264" spans="1:19" x14ac:dyDescent="0.25">
      <c r="A264" s="33">
        <v>46072.462836791427</v>
      </c>
      <c r="B264" s="1">
        <v>46072</v>
      </c>
      <c r="C264" t="s">
        <v>23</v>
      </c>
      <c r="D264" t="s">
        <v>24</v>
      </c>
      <c r="E264" t="s">
        <v>25</v>
      </c>
      <c r="K264">
        <v>71</v>
      </c>
      <c r="N264" t="s">
        <v>26</v>
      </c>
      <c r="R264" t="s">
        <v>246</v>
      </c>
      <c r="S264" t="s">
        <v>571</v>
      </c>
    </row>
    <row r="265" spans="1:19" x14ac:dyDescent="0.25">
      <c r="A265" s="33">
        <v>46072.46296297454</v>
      </c>
      <c r="B265" s="1">
        <v>46072</v>
      </c>
      <c r="C265" t="s">
        <v>23</v>
      </c>
      <c r="D265" t="s">
        <v>30</v>
      </c>
      <c r="E265" t="s">
        <v>31</v>
      </c>
      <c r="F265" t="s">
        <v>64</v>
      </c>
      <c r="G265" t="s">
        <v>65</v>
      </c>
      <c r="H265" t="s">
        <v>66</v>
      </c>
      <c r="I265">
        <v>1</v>
      </c>
      <c r="J265">
        <v>69.400000000000006</v>
      </c>
      <c r="K265">
        <v>-69.400000000000006</v>
      </c>
      <c r="L265" s="28">
        <v>-1</v>
      </c>
      <c r="N265" t="s">
        <v>26</v>
      </c>
      <c r="R265" t="s">
        <v>572</v>
      </c>
      <c r="S265" t="s">
        <v>573</v>
      </c>
    </row>
    <row r="266" spans="1:19" x14ac:dyDescent="0.25">
      <c r="A266" s="33">
        <v>46073.472221909717</v>
      </c>
      <c r="B266" s="1">
        <v>46073</v>
      </c>
      <c r="C266" t="s">
        <v>23</v>
      </c>
      <c r="D266" t="s">
        <v>30</v>
      </c>
      <c r="E266" t="s">
        <v>31</v>
      </c>
      <c r="F266" t="s">
        <v>32</v>
      </c>
      <c r="G266" t="s">
        <v>471</v>
      </c>
      <c r="H266" t="s">
        <v>472</v>
      </c>
      <c r="I266">
        <v>0.67942499999999995</v>
      </c>
      <c r="J266">
        <v>10.45</v>
      </c>
      <c r="K266">
        <v>-7.1</v>
      </c>
      <c r="N266" t="s">
        <v>26</v>
      </c>
      <c r="R266" t="s">
        <v>574</v>
      </c>
      <c r="S266" t="s">
        <v>575</v>
      </c>
    </row>
    <row r="267" spans="1:19" x14ac:dyDescent="0.25">
      <c r="A267" s="33">
        <v>46073.472222002318</v>
      </c>
      <c r="B267" s="1">
        <v>46073</v>
      </c>
      <c r="C267" t="s">
        <v>23</v>
      </c>
      <c r="D267" t="s">
        <v>30</v>
      </c>
      <c r="E267" t="s">
        <v>31</v>
      </c>
      <c r="F267" t="s">
        <v>32</v>
      </c>
      <c r="G267" t="s">
        <v>471</v>
      </c>
      <c r="H267" t="s">
        <v>472</v>
      </c>
      <c r="I267">
        <v>2</v>
      </c>
      <c r="J267">
        <v>10.45</v>
      </c>
      <c r="K267">
        <v>-20.9</v>
      </c>
      <c r="L267" s="28">
        <v>-1</v>
      </c>
      <c r="N267" t="s">
        <v>26</v>
      </c>
      <c r="R267" t="s">
        <v>576</v>
      </c>
      <c r="S267" t="s">
        <v>577</v>
      </c>
    </row>
    <row r="268" spans="1:19" x14ac:dyDescent="0.25">
      <c r="A268" s="33">
        <v>46073.779567460268</v>
      </c>
      <c r="B268" s="1">
        <v>46073</v>
      </c>
      <c r="C268" t="s">
        <v>23</v>
      </c>
      <c r="D268" t="s">
        <v>24</v>
      </c>
      <c r="E268" t="s">
        <v>25</v>
      </c>
      <c r="K268">
        <v>100</v>
      </c>
      <c r="N268" t="s">
        <v>26</v>
      </c>
      <c r="R268" t="s">
        <v>246</v>
      </c>
      <c r="S268" t="s">
        <v>578</v>
      </c>
    </row>
    <row r="269" spans="1:19" x14ac:dyDescent="0.25">
      <c r="A269" s="33">
        <v>46073.790794414454</v>
      </c>
      <c r="B269" s="1">
        <v>46073</v>
      </c>
      <c r="C269" t="s">
        <v>23</v>
      </c>
      <c r="D269" t="s">
        <v>24</v>
      </c>
      <c r="E269" t="s">
        <v>161</v>
      </c>
      <c r="K269">
        <v>-100.6</v>
      </c>
      <c r="N269" t="s">
        <v>26</v>
      </c>
      <c r="R269" t="s">
        <v>397</v>
      </c>
      <c r="S269" t="s">
        <v>579</v>
      </c>
    </row>
    <row r="270" spans="1:19" x14ac:dyDescent="0.25">
      <c r="A270" s="33">
        <v>46073.472140001337</v>
      </c>
      <c r="B270" s="1">
        <v>46073</v>
      </c>
      <c r="C270" t="s">
        <v>23</v>
      </c>
      <c r="D270" t="s">
        <v>24</v>
      </c>
      <c r="E270" t="s">
        <v>25</v>
      </c>
      <c r="K270">
        <v>29</v>
      </c>
      <c r="N270" t="s">
        <v>26</v>
      </c>
      <c r="R270" t="s">
        <v>246</v>
      </c>
      <c r="S270" t="s">
        <v>580</v>
      </c>
    </row>
    <row r="271" spans="1:19" x14ac:dyDescent="0.25">
      <c r="A271" s="33">
        <v>46077.437105011573</v>
      </c>
      <c r="B271" s="1">
        <v>46077</v>
      </c>
      <c r="C271" t="s">
        <v>23</v>
      </c>
      <c r="D271" t="s">
        <v>30</v>
      </c>
      <c r="E271" t="s">
        <v>82</v>
      </c>
      <c r="F271" t="s">
        <v>32</v>
      </c>
      <c r="G271" t="s">
        <v>348</v>
      </c>
      <c r="H271" t="s">
        <v>349</v>
      </c>
      <c r="I271">
        <v>-0.343949</v>
      </c>
      <c r="J271">
        <v>3.84</v>
      </c>
      <c r="K271">
        <v>1.32</v>
      </c>
      <c r="N271" t="s">
        <v>26</v>
      </c>
      <c r="R271" t="s">
        <v>581</v>
      </c>
      <c r="S271" t="s">
        <v>582</v>
      </c>
    </row>
    <row r="272" spans="1:19" x14ac:dyDescent="0.25">
      <c r="A272" s="33">
        <v>46077.437105023149</v>
      </c>
      <c r="B272" s="1">
        <v>46077</v>
      </c>
      <c r="C272" t="s">
        <v>23</v>
      </c>
      <c r="D272" t="s">
        <v>30</v>
      </c>
      <c r="E272" t="s">
        <v>82</v>
      </c>
      <c r="F272" t="s">
        <v>32</v>
      </c>
      <c r="G272" t="s">
        <v>348</v>
      </c>
      <c r="H272" t="s">
        <v>349</v>
      </c>
      <c r="I272">
        <v>-28</v>
      </c>
      <c r="J272">
        <v>3.84</v>
      </c>
      <c r="K272">
        <v>107.52</v>
      </c>
      <c r="L272" s="28">
        <v>-1</v>
      </c>
      <c r="N272" t="s">
        <v>26</v>
      </c>
      <c r="R272" t="s">
        <v>583</v>
      </c>
      <c r="S272" t="s">
        <v>584</v>
      </c>
    </row>
    <row r="273" spans="1:19" x14ac:dyDescent="0.25">
      <c r="A273" s="33">
        <v>46077.440736542543</v>
      </c>
      <c r="B273" s="1">
        <v>46077</v>
      </c>
      <c r="C273" t="s">
        <v>23</v>
      </c>
      <c r="D273" t="s">
        <v>24</v>
      </c>
      <c r="E273" t="s">
        <v>161</v>
      </c>
      <c r="K273">
        <v>-107.84</v>
      </c>
      <c r="N273" t="s">
        <v>26</v>
      </c>
      <c r="R273" t="s">
        <v>397</v>
      </c>
      <c r="S273" t="s">
        <v>585</v>
      </c>
    </row>
    <row r="274" spans="1:19" x14ac:dyDescent="0.25">
      <c r="A274" s="33">
        <v>46077.661555370367</v>
      </c>
      <c r="B274" s="1">
        <v>46077</v>
      </c>
      <c r="C274" t="s">
        <v>23</v>
      </c>
      <c r="D274" t="s">
        <v>487</v>
      </c>
      <c r="E274" t="s">
        <v>586</v>
      </c>
      <c r="F274" t="s">
        <v>489</v>
      </c>
      <c r="G274" t="s">
        <v>490</v>
      </c>
      <c r="H274" t="s">
        <v>491</v>
      </c>
      <c r="I274">
        <v>-30</v>
      </c>
      <c r="R274" t="s">
        <v>587</v>
      </c>
      <c r="S274" t="s">
        <v>588</v>
      </c>
    </row>
    <row r="275" spans="1:19" x14ac:dyDescent="0.25">
      <c r="A275" s="33">
        <v>46083.431645404176</v>
      </c>
      <c r="B275" s="1">
        <v>46083</v>
      </c>
      <c r="C275" t="s">
        <v>23</v>
      </c>
      <c r="D275" t="s">
        <v>24</v>
      </c>
      <c r="E275" t="s">
        <v>25</v>
      </c>
      <c r="K275">
        <v>151</v>
      </c>
      <c r="N275" t="s">
        <v>26</v>
      </c>
      <c r="R275" t="s">
        <v>246</v>
      </c>
      <c r="S275" t="s">
        <v>589</v>
      </c>
    </row>
    <row r="276" spans="1:19" x14ac:dyDescent="0.25">
      <c r="A276" s="33">
        <v>46083.432433703703</v>
      </c>
      <c r="B276" s="1">
        <v>46083</v>
      </c>
      <c r="C276" t="s">
        <v>23</v>
      </c>
      <c r="D276" t="s">
        <v>30</v>
      </c>
      <c r="E276" t="s">
        <v>31</v>
      </c>
      <c r="F276" t="s">
        <v>32</v>
      </c>
      <c r="G276" t="s">
        <v>590</v>
      </c>
      <c r="H276" t="s">
        <v>591</v>
      </c>
      <c r="I276">
        <v>0.380583</v>
      </c>
      <c r="J276">
        <v>5.6859999999999999</v>
      </c>
      <c r="K276">
        <v>-2.16</v>
      </c>
      <c r="N276" t="s">
        <v>26</v>
      </c>
      <c r="R276" t="s">
        <v>592</v>
      </c>
      <c r="S276" t="s">
        <v>593</v>
      </c>
    </row>
    <row r="277" spans="1:19" x14ac:dyDescent="0.25">
      <c r="A277" s="33">
        <v>46083.432433819442</v>
      </c>
      <c r="B277" s="1">
        <v>46083</v>
      </c>
      <c r="C277" t="s">
        <v>23</v>
      </c>
      <c r="D277" t="s">
        <v>30</v>
      </c>
      <c r="E277" t="s">
        <v>31</v>
      </c>
      <c r="F277" t="s">
        <v>32</v>
      </c>
      <c r="G277" t="s">
        <v>590</v>
      </c>
      <c r="H277" t="s">
        <v>591</v>
      </c>
      <c r="I277">
        <v>26</v>
      </c>
      <c r="J277">
        <v>5.6859999999999999</v>
      </c>
      <c r="K277">
        <v>-147.84</v>
      </c>
      <c r="L277" s="28">
        <v>-1</v>
      </c>
      <c r="N277" t="s">
        <v>26</v>
      </c>
      <c r="R277" t="s">
        <v>594</v>
      </c>
      <c r="S277" t="s">
        <v>595</v>
      </c>
    </row>
    <row r="278" spans="1:19" x14ac:dyDescent="0.25">
      <c r="A278" s="33">
        <v>46090.360978740377</v>
      </c>
      <c r="B278" s="1">
        <v>46090</v>
      </c>
      <c r="C278" t="s">
        <v>23</v>
      </c>
      <c r="D278" t="s">
        <v>24</v>
      </c>
      <c r="E278" t="s">
        <v>25</v>
      </c>
      <c r="K278">
        <v>151</v>
      </c>
      <c r="N278" t="s">
        <v>26</v>
      </c>
      <c r="R278" t="s">
        <v>246</v>
      </c>
      <c r="S278" t="s">
        <v>596</v>
      </c>
    </row>
    <row r="279" spans="1:19" x14ac:dyDescent="0.25">
      <c r="A279" s="33">
        <v>46090.361137893517</v>
      </c>
      <c r="B279" s="1">
        <v>46090</v>
      </c>
      <c r="C279" t="s">
        <v>23</v>
      </c>
      <c r="D279" t="s">
        <v>30</v>
      </c>
      <c r="E279" t="s">
        <v>31</v>
      </c>
      <c r="F279" t="s">
        <v>464</v>
      </c>
      <c r="G279" t="s">
        <v>465</v>
      </c>
      <c r="H279" t="s">
        <v>466</v>
      </c>
      <c r="I279">
        <v>1</v>
      </c>
      <c r="J279">
        <v>110.77</v>
      </c>
      <c r="K279">
        <v>-110.77</v>
      </c>
      <c r="L279" s="28">
        <v>-1</v>
      </c>
      <c r="N279" t="s">
        <v>26</v>
      </c>
      <c r="R279" t="s">
        <v>469</v>
      </c>
      <c r="S279" t="s">
        <v>597</v>
      </c>
    </row>
    <row r="280" spans="1:19" x14ac:dyDescent="0.25">
      <c r="A280" s="33">
        <v>46090.361138043983</v>
      </c>
      <c r="B280" s="1">
        <v>46090</v>
      </c>
      <c r="C280" t="s">
        <v>23</v>
      </c>
      <c r="D280" t="s">
        <v>30</v>
      </c>
      <c r="E280" t="s">
        <v>31</v>
      </c>
      <c r="F280" t="s">
        <v>464</v>
      </c>
      <c r="G280" t="s">
        <v>465</v>
      </c>
      <c r="H280" t="s">
        <v>466</v>
      </c>
      <c r="I280">
        <v>0.354157</v>
      </c>
      <c r="J280">
        <v>110.77</v>
      </c>
      <c r="K280">
        <v>-39.229999999999997</v>
      </c>
      <c r="N280" t="s">
        <v>26</v>
      </c>
      <c r="R280" t="s">
        <v>598</v>
      </c>
      <c r="S280" t="s">
        <v>599</v>
      </c>
    </row>
    <row r="281" spans="1:19" x14ac:dyDescent="0.25">
      <c r="A281" s="33">
        <v>46090.36164168542</v>
      </c>
      <c r="B281" s="1">
        <v>46090</v>
      </c>
      <c r="C281" t="s">
        <v>23</v>
      </c>
      <c r="D281" t="s">
        <v>24</v>
      </c>
      <c r="E281" t="s">
        <v>25</v>
      </c>
      <c r="K281">
        <v>260</v>
      </c>
      <c r="N281" t="s">
        <v>26</v>
      </c>
      <c r="R281" t="s">
        <v>246</v>
      </c>
      <c r="S281" t="s">
        <v>600</v>
      </c>
    </row>
    <row r="282" spans="1:19" x14ac:dyDescent="0.25">
      <c r="A282" s="33">
        <v>46090.361724236107</v>
      </c>
      <c r="B282" s="1">
        <v>46090</v>
      </c>
      <c r="C282" t="s">
        <v>23</v>
      </c>
      <c r="D282" t="s">
        <v>30</v>
      </c>
      <c r="E282" t="s">
        <v>31</v>
      </c>
      <c r="F282" t="s">
        <v>464</v>
      </c>
      <c r="G282" t="s">
        <v>526</v>
      </c>
      <c r="H282" t="s">
        <v>527</v>
      </c>
      <c r="I282">
        <v>0.420099</v>
      </c>
      <c r="J282">
        <v>616.52</v>
      </c>
      <c r="K282">
        <v>-259</v>
      </c>
      <c r="L282" s="28">
        <v>-1</v>
      </c>
      <c r="N282" t="s">
        <v>26</v>
      </c>
      <c r="R282" t="s">
        <v>601</v>
      </c>
      <c r="S282" t="s">
        <v>602</v>
      </c>
    </row>
    <row r="283" spans="1:19" x14ac:dyDescent="0.25">
      <c r="A283" s="33">
        <v>46092.420817876773</v>
      </c>
      <c r="B283" s="1">
        <v>46092</v>
      </c>
      <c r="C283" t="s">
        <v>23</v>
      </c>
      <c r="D283" t="s">
        <v>24</v>
      </c>
      <c r="E283" t="s">
        <v>25</v>
      </c>
      <c r="K283">
        <v>151</v>
      </c>
      <c r="N283" t="s">
        <v>26</v>
      </c>
      <c r="R283" t="s">
        <v>246</v>
      </c>
      <c r="S283" t="s">
        <v>603</v>
      </c>
    </row>
    <row r="284" spans="1:19" x14ac:dyDescent="0.25">
      <c r="A284" s="33">
        <v>46092.420921863428</v>
      </c>
      <c r="B284" s="1">
        <v>46092</v>
      </c>
      <c r="C284" t="s">
        <v>23</v>
      </c>
      <c r="D284" t="s">
        <v>30</v>
      </c>
      <c r="E284" t="s">
        <v>31</v>
      </c>
      <c r="F284" t="s">
        <v>32</v>
      </c>
      <c r="G284" t="s">
        <v>604</v>
      </c>
      <c r="H284" t="s">
        <v>605</v>
      </c>
      <c r="I284">
        <v>0.62068900000000005</v>
      </c>
      <c r="J284">
        <v>0.57999999999999996</v>
      </c>
      <c r="K284">
        <v>-0.36</v>
      </c>
      <c r="N284" t="s">
        <v>26</v>
      </c>
      <c r="R284" t="s">
        <v>606</v>
      </c>
      <c r="S284" t="s">
        <v>607</v>
      </c>
    </row>
    <row r="285" spans="1:19" x14ac:dyDescent="0.25">
      <c r="A285" s="33">
        <v>46092.420922037039</v>
      </c>
      <c r="B285" s="1">
        <v>46092</v>
      </c>
      <c r="C285" t="s">
        <v>23</v>
      </c>
      <c r="D285" t="s">
        <v>30</v>
      </c>
      <c r="E285" t="s">
        <v>31</v>
      </c>
      <c r="F285" t="s">
        <v>32</v>
      </c>
      <c r="G285" t="s">
        <v>604</v>
      </c>
      <c r="H285" t="s">
        <v>605</v>
      </c>
      <c r="I285">
        <v>258</v>
      </c>
      <c r="J285">
        <v>0.57999999999999996</v>
      </c>
      <c r="K285">
        <v>-149.63999999999999</v>
      </c>
      <c r="L285" s="28">
        <v>-1</v>
      </c>
      <c r="N285" t="s">
        <v>26</v>
      </c>
      <c r="R285" t="s">
        <v>608</v>
      </c>
      <c r="S285" t="s">
        <v>609</v>
      </c>
    </row>
    <row r="286" spans="1:19" x14ac:dyDescent="0.25">
      <c r="A286" s="33">
        <v>46097.398221192132</v>
      </c>
      <c r="B286" s="1">
        <v>46097</v>
      </c>
      <c r="C286" t="s">
        <v>23</v>
      </c>
      <c r="D286" t="s">
        <v>30</v>
      </c>
      <c r="E286" t="s">
        <v>82</v>
      </c>
      <c r="F286" t="s">
        <v>32</v>
      </c>
      <c r="G286" t="s">
        <v>471</v>
      </c>
      <c r="H286" t="s">
        <v>472</v>
      </c>
      <c r="I286">
        <v>-0.57708300000000001</v>
      </c>
      <c r="J286">
        <v>11.545</v>
      </c>
      <c r="K286">
        <v>6.66</v>
      </c>
      <c r="N286" t="s">
        <v>26</v>
      </c>
      <c r="R286" t="s">
        <v>610</v>
      </c>
      <c r="S286" t="s">
        <v>611</v>
      </c>
    </row>
    <row r="287" spans="1:19" x14ac:dyDescent="0.25">
      <c r="A287" s="33">
        <v>46097.398221192132</v>
      </c>
      <c r="B287" s="1">
        <v>46097</v>
      </c>
      <c r="C287" t="s">
        <v>23</v>
      </c>
      <c r="D287" t="s">
        <v>30</v>
      </c>
      <c r="E287" t="s">
        <v>82</v>
      </c>
      <c r="F287" t="s">
        <v>32</v>
      </c>
      <c r="G287" t="s">
        <v>471</v>
      </c>
      <c r="H287" t="s">
        <v>472</v>
      </c>
      <c r="I287">
        <v>-12</v>
      </c>
      <c r="J287">
        <v>11.545</v>
      </c>
      <c r="K287">
        <v>138.54</v>
      </c>
      <c r="L287" s="28">
        <v>-1</v>
      </c>
      <c r="N287" t="s">
        <v>26</v>
      </c>
      <c r="R287" t="s">
        <v>612</v>
      </c>
      <c r="S287" t="s">
        <v>613</v>
      </c>
    </row>
    <row r="288" spans="1:19" x14ac:dyDescent="0.25">
      <c r="A288" s="33">
        <v>46097.398548483798</v>
      </c>
      <c r="B288" s="1">
        <v>46097</v>
      </c>
      <c r="C288" t="s">
        <v>23</v>
      </c>
      <c r="D288" t="s">
        <v>30</v>
      </c>
      <c r="E288" t="s">
        <v>82</v>
      </c>
      <c r="F288" t="s">
        <v>32</v>
      </c>
      <c r="G288" t="s">
        <v>590</v>
      </c>
      <c r="H288" t="s">
        <v>591</v>
      </c>
      <c r="I288">
        <v>-26</v>
      </c>
      <c r="J288">
        <v>6.234</v>
      </c>
      <c r="K288">
        <v>162.08000000000001</v>
      </c>
      <c r="L288" s="28">
        <v>-1</v>
      </c>
      <c r="N288" t="s">
        <v>26</v>
      </c>
      <c r="R288" t="s">
        <v>614</v>
      </c>
      <c r="S288" t="s">
        <v>615</v>
      </c>
    </row>
    <row r="289" spans="1:19" x14ac:dyDescent="0.25">
      <c r="A289" s="33">
        <v>46097.398548483798</v>
      </c>
      <c r="B289" s="1">
        <v>46097</v>
      </c>
      <c r="C289" t="s">
        <v>23</v>
      </c>
      <c r="D289" t="s">
        <v>30</v>
      </c>
      <c r="E289" t="s">
        <v>82</v>
      </c>
      <c r="F289" t="s">
        <v>32</v>
      </c>
      <c r="G289" t="s">
        <v>590</v>
      </c>
      <c r="H289" t="s">
        <v>591</v>
      </c>
      <c r="I289">
        <v>-0.380583</v>
      </c>
      <c r="J289">
        <v>6.234</v>
      </c>
      <c r="K289">
        <v>2.37</v>
      </c>
      <c r="N289" t="s">
        <v>26</v>
      </c>
      <c r="R289" t="s">
        <v>616</v>
      </c>
      <c r="S289" t="s">
        <v>617</v>
      </c>
    </row>
    <row r="290" spans="1:19" x14ac:dyDescent="0.25">
      <c r="A290" s="33">
        <v>46097.437022030157</v>
      </c>
      <c r="B290" s="1">
        <v>46097</v>
      </c>
      <c r="C290" t="s">
        <v>23</v>
      </c>
      <c r="D290" t="s">
        <v>24</v>
      </c>
      <c r="E290" t="s">
        <v>161</v>
      </c>
      <c r="K290">
        <v>-307.64999999999998</v>
      </c>
      <c r="N290" t="s">
        <v>26</v>
      </c>
      <c r="R290" t="s">
        <v>397</v>
      </c>
      <c r="S290" t="s">
        <v>618</v>
      </c>
    </row>
    <row r="291" spans="1:19" x14ac:dyDescent="0.25">
      <c r="A291" s="33">
        <v>46097.457122210653</v>
      </c>
      <c r="B291" s="1">
        <v>46097</v>
      </c>
      <c r="C291" t="s">
        <v>23</v>
      </c>
      <c r="D291" t="s">
        <v>30</v>
      </c>
      <c r="E291" t="s">
        <v>82</v>
      </c>
      <c r="F291" t="s">
        <v>32</v>
      </c>
      <c r="G291" t="s">
        <v>604</v>
      </c>
      <c r="H291" t="s">
        <v>605</v>
      </c>
      <c r="I291">
        <v>-258</v>
      </c>
      <c r="J291">
        <v>0.64400000000000002</v>
      </c>
      <c r="K291">
        <v>166.15</v>
      </c>
      <c r="L291" s="28">
        <v>-1</v>
      </c>
      <c r="N291" t="s">
        <v>26</v>
      </c>
      <c r="R291" t="s">
        <v>619</v>
      </c>
      <c r="S291" t="s">
        <v>620</v>
      </c>
    </row>
    <row r="292" spans="1:19" x14ac:dyDescent="0.25">
      <c r="A292" s="33">
        <v>46097.457122233798</v>
      </c>
      <c r="B292" s="1">
        <v>46097</v>
      </c>
      <c r="C292" t="s">
        <v>23</v>
      </c>
      <c r="D292" t="s">
        <v>30</v>
      </c>
      <c r="E292" t="s">
        <v>82</v>
      </c>
      <c r="F292" t="s">
        <v>32</v>
      </c>
      <c r="G292" t="s">
        <v>604</v>
      </c>
      <c r="H292" t="s">
        <v>605</v>
      </c>
      <c r="I292">
        <v>-0.62068900000000005</v>
      </c>
      <c r="J292">
        <v>0.64400000000000002</v>
      </c>
      <c r="K292">
        <v>0.4</v>
      </c>
      <c r="N292" t="s">
        <v>26</v>
      </c>
      <c r="R292" t="s">
        <v>621</v>
      </c>
      <c r="S292" t="s">
        <v>622</v>
      </c>
    </row>
    <row r="293" spans="1:19" x14ac:dyDescent="0.25">
      <c r="A293" s="33">
        <v>46097.459199890443</v>
      </c>
      <c r="B293" s="1">
        <v>46097</v>
      </c>
      <c r="C293" t="s">
        <v>23</v>
      </c>
      <c r="D293" t="s">
        <v>24</v>
      </c>
      <c r="E293" t="s">
        <v>161</v>
      </c>
      <c r="K293">
        <v>-165.55</v>
      </c>
      <c r="N293" t="s">
        <v>26</v>
      </c>
      <c r="R293" t="s">
        <v>397</v>
      </c>
      <c r="S293" t="s">
        <v>623</v>
      </c>
    </row>
    <row r="294" spans="1:19" x14ac:dyDescent="0.25">
      <c r="A294" s="33">
        <v>46098.417455162038</v>
      </c>
      <c r="B294" s="1">
        <v>46098</v>
      </c>
      <c r="C294" t="s">
        <v>23</v>
      </c>
      <c r="D294" t="s">
        <v>30</v>
      </c>
      <c r="E294" t="s">
        <v>31</v>
      </c>
      <c r="F294" t="s">
        <v>32</v>
      </c>
      <c r="G294" t="s">
        <v>604</v>
      </c>
      <c r="H294" t="s">
        <v>605</v>
      </c>
      <c r="I294">
        <v>0.79844899999999996</v>
      </c>
      <c r="J294">
        <v>0.77400000000000002</v>
      </c>
      <c r="K294">
        <v>-0.62</v>
      </c>
      <c r="N294" t="s">
        <v>26</v>
      </c>
      <c r="R294" t="s">
        <v>624</v>
      </c>
      <c r="S294" t="s">
        <v>625</v>
      </c>
    </row>
    <row r="295" spans="1:19" x14ac:dyDescent="0.25">
      <c r="A295" s="33">
        <v>46098.417455277777</v>
      </c>
      <c r="B295" s="1">
        <v>46098</v>
      </c>
      <c r="C295" t="s">
        <v>23</v>
      </c>
      <c r="D295" t="s">
        <v>30</v>
      </c>
      <c r="E295" t="s">
        <v>31</v>
      </c>
      <c r="F295" t="s">
        <v>32</v>
      </c>
      <c r="G295" t="s">
        <v>604</v>
      </c>
      <c r="H295" t="s">
        <v>605</v>
      </c>
      <c r="I295">
        <v>193</v>
      </c>
      <c r="J295">
        <v>0.77400000000000002</v>
      </c>
      <c r="K295">
        <v>-149.38</v>
      </c>
      <c r="L295" s="28">
        <v>-1</v>
      </c>
      <c r="N295" t="s">
        <v>26</v>
      </c>
      <c r="R295" t="s">
        <v>626</v>
      </c>
      <c r="S295" t="s">
        <v>627</v>
      </c>
    </row>
    <row r="296" spans="1:19" x14ac:dyDescent="0.25">
      <c r="A296" s="33">
        <v>46098.569826172927</v>
      </c>
      <c r="B296" s="1">
        <v>46098</v>
      </c>
      <c r="C296" t="s">
        <v>23</v>
      </c>
      <c r="D296" t="s">
        <v>24</v>
      </c>
      <c r="E296" t="s">
        <v>25</v>
      </c>
      <c r="K296">
        <v>201</v>
      </c>
      <c r="N296" t="s">
        <v>26</v>
      </c>
      <c r="R296" t="s">
        <v>246</v>
      </c>
      <c r="S296" t="s">
        <v>628</v>
      </c>
    </row>
    <row r="297" spans="1:19" x14ac:dyDescent="0.25">
      <c r="A297" s="33">
        <v>46098.417372817887</v>
      </c>
      <c r="B297" s="1">
        <v>46098</v>
      </c>
      <c r="C297" t="s">
        <v>23</v>
      </c>
      <c r="D297" t="s">
        <v>24</v>
      </c>
      <c r="E297" t="s">
        <v>25</v>
      </c>
      <c r="K297">
        <v>151</v>
      </c>
      <c r="N297" t="s">
        <v>26</v>
      </c>
      <c r="R297" t="s">
        <v>246</v>
      </c>
      <c r="S297" t="s">
        <v>629</v>
      </c>
    </row>
    <row r="298" spans="1:19" x14ac:dyDescent="0.25">
      <c r="A298" s="33">
        <v>46098.569948194447</v>
      </c>
      <c r="B298" s="1">
        <v>46098</v>
      </c>
      <c r="C298" t="s">
        <v>23</v>
      </c>
      <c r="D298" t="s">
        <v>30</v>
      </c>
      <c r="E298" t="s">
        <v>31</v>
      </c>
      <c r="F298" t="s">
        <v>32</v>
      </c>
      <c r="G298" t="s">
        <v>590</v>
      </c>
      <c r="H298" t="s">
        <v>591</v>
      </c>
      <c r="I298">
        <v>0.466331</v>
      </c>
      <c r="J298">
        <v>6.3559999999999999</v>
      </c>
      <c r="K298">
        <v>-2.96</v>
      </c>
      <c r="N298" t="s">
        <v>26</v>
      </c>
      <c r="R298" t="s">
        <v>630</v>
      </c>
      <c r="S298" t="s">
        <v>631</v>
      </c>
    </row>
    <row r="299" spans="1:19" x14ac:dyDescent="0.25">
      <c r="A299" s="33">
        <v>46098.569948194447</v>
      </c>
      <c r="B299" s="1">
        <v>46098</v>
      </c>
      <c r="C299" t="s">
        <v>23</v>
      </c>
      <c r="D299" t="s">
        <v>30</v>
      </c>
      <c r="E299" t="s">
        <v>31</v>
      </c>
      <c r="F299" t="s">
        <v>32</v>
      </c>
      <c r="G299" t="s">
        <v>590</v>
      </c>
      <c r="H299" t="s">
        <v>591</v>
      </c>
      <c r="I299">
        <v>31</v>
      </c>
      <c r="J299">
        <v>6.3559999999999999</v>
      </c>
      <c r="K299">
        <v>-197.04</v>
      </c>
      <c r="L299" s="28">
        <v>-1</v>
      </c>
      <c r="N299" t="s">
        <v>26</v>
      </c>
      <c r="R299" t="s">
        <v>632</v>
      </c>
      <c r="S299" t="s">
        <v>633</v>
      </c>
    </row>
    <row r="300" spans="1:19" x14ac:dyDescent="0.25">
      <c r="A300" s="33">
        <v>46099.362759143522</v>
      </c>
      <c r="B300" s="1">
        <v>46099</v>
      </c>
      <c r="C300" t="s">
        <v>23</v>
      </c>
      <c r="D300" t="s">
        <v>30</v>
      </c>
      <c r="E300" t="s">
        <v>82</v>
      </c>
      <c r="F300" t="s">
        <v>32</v>
      </c>
      <c r="G300" t="s">
        <v>167</v>
      </c>
      <c r="H300" t="s">
        <v>168</v>
      </c>
      <c r="I300">
        <v>-8.8413000000000005E-2</v>
      </c>
      <c r="J300">
        <v>2.6</v>
      </c>
      <c r="K300">
        <v>0.23</v>
      </c>
      <c r="N300" t="s">
        <v>26</v>
      </c>
      <c r="R300" t="s">
        <v>634</v>
      </c>
      <c r="S300" t="s">
        <v>635</v>
      </c>
    </row>
    <row r="301" spans="1:19" x14ac:dyDescent="0.25">
      <c r="A301" s="33">
        <v>46099.362759224539</v>
      </c>
      <c r="B301" s="1">
        <v>46099</v>
      </c>
      <c r="C301" t="s">
        <v>23</v>
      </c>
      <c r="D301" t="s">
        <v>30</v>
      </c>
      <c r="E301" t="s">
        <v>82</v>
      </c>
      <c r="F301" t="s">
        <v>32</v>
      </c>
      <c r="G301" t="s">
        <v>167</v>
      </c>
      <c r="H301" t="s">
        <v>168</v>
      </c>
      <c r="I301">
        <v>-108</v>
      </c>
      <c r="J301">
        <v>2.6</v>
      </c>
      <c r="K301">
        <v>280.8</v>
      </c>
      <c r="L301" s="28">
        <v>-1</v>
      </c>
      <c r="N301" t="s">
        <v>26</v>
      </c>
      <c r="R301" t="s">
        <v>636</v>
      </c>
      <c r="S301" t="s">
        <v>637</v>
      </c>
    </row>
    <row r="302" spans="1:19" x14ac:dyDescent="0.25">
      <c r="A302" s="33">
        <v>46099.36589082994</v>
      </c>
      <c r="B302" s="1">
        <v>46099</v>
      </c>
      <c r="C302" t="s">
        <v>23</v>
      </c>
      <c r="D302" t="s">
        <v>24</v>
      </c>
      <c r="E302" t="s">
        <v>161</v>
      </c>
      <c r="K302">
        <v>-280.02999999999997</v>
      </c>
      <c r="N302" t="s">
        <v>26</v>
      </c>
      <c r="R302" t="s">
        <v>397</v>
      </c>
      <c r="S302" t="s">
        <v>638</v>
      </c>
    </row>
    <row r="303" spans="1:19" x14ac:dyDescent="0.25">
      <c r="A303" s="33">
        <v>46100.509231534677</v>
      </c>
      <c r="B303" s="1">
        <v>46100</v>
      </c>
      <c r="C303" t="s">
        <v>23</v>
      </c>
      <c r="D303" t="s">
        <v>24</v>
      </c>
      <c r="E303" t="s">
        <v>25</v>
      </c>
      <c r="K303">
        <v>201</v>
      </c>
      <c r="N303" t="s">
        <v>26</v>
      </c>
      <c r="R303" t="s">
        <v>246</v>
      </c>
      <c r="S303" t="s">
        <v>639</v>
      </c>
    </row>
    <row r="304" spans="1:19" x14ac:dyDescent="0.25">
      <c r="A304" s="33">
        <v>46100.509312881943</v>
      </c>
      <c r="B304" s="1">
        <v>46100</v>
      </c>
      <c r="C304" t="s">
        <v>23</v>
      </c>
      <c r="D304" t="s">
        <v>30</v>
      </c>
      <c r="E304" t="s">
        <v>31</v>
      </c>
      <c r="F304" t="s">
        <v>32</v>
      </c>
      <c r="G304" t="s">
        <v>640</v>
      </c>
      <c r="H304" t="s">
        <v>641</v>
      </c>
      <c r="I304">
        <v>20</v>
      </c>
      <c r="J304">
        <v>9.6999999999999993</v>
      </c>
      <c r="K304">
        <v>-194</v>
      </c>
      <c r="L304" s="28">
        <v>-1</v>
      </c>
      <c r="N304" t="s">
        <v>26</v>
      </c>
      <c r="R304" t="s">
        <v>642</v>
      </c>
      <c r="S304" t="s">
        <v>643</v>
      </c>
    </row>
    <row r="305" spans="1:19" x14ac:dyDescent="0.25">
      <c r="A305" s="33">
        <v>46100.509312916663</v>
      </c>
      <c r="B305" s="1">
        <v>46100</v>
      </c>
      <c r="C305" t="s">
        <v>23</v>
      </c>
      <c r="D305" t="s">
        <v>30</v>
      </c>
      <c r="E305" t="s">
        <v>31</v>
      </c>
      <c r="F305" t="s">
        <v>32</v>
      </c>
      <c r="G305" t="s">
        <v>640</v>
      </c>
      <c r="H305" t="s">
        <v>641</v>
      </c>
      <c r="I305">
        <v>0.61855599999999999</v>
      </c>
      <c r="J305">
        <v>9.6999999999999993</v>
      </c>
      <c r="K305">
        <v>-6</v>
      </c>
      <c r="N305" t="s">
        <v>26</v>
      </c>
      <c r="R305" t="s">
        <v>644</v>
      </c>
      <c r="S305" t="s">
        <v>645</v>
      </c>
    </row>
    <row r="306" spans="1:19" x14ac:dyDescent="0.25">
      <c r="A306" s="33">
        <v>46100.69533610221</v>
      </c>
      <c r="B306" s="1">
        <v>46100</v>
      </c>
      <c r="C306" t="s">
        <v>23</v>
      </c>
      <c r="D306" t="s">
        <v>24</v>
      </c>
      <c r="E306" t="s">
        <v>25</v>
      </c>
      <c r="K306">
        <v>51</v>
      </c>
      <c r="N306" t="s">
        <v>26</v>
      </c>
      <c r="R306" t="s">
        <v>246</v>
      </c>
      <c r="S306" t="s">
        <v>646</v>
      </c>
    </row>
    <row r="307" spans="1:19" x14ac:dyDescent="0.25">
      <c r="A307" s="33">
        <v>46100.799238921783</v>
      </c>
      <c r="B307" s="1">
        <v>46100</v>
      </c>
      <c r="C307" t="s">
        <v>23</v>
      </c>
      <c r="D307" t="s">
        <v>24</v>
      </c>
      <c r="E307" t="s">
        <v>25</v>
      </c>
      <c r="K307">
        <v>1</v>
      </c>
      <c r="N307" t="s">
        <v>26</v>
      </c>
      <c r="R307" t="s">
        <v>647</v>
      </c>
      <c r="S307" t="s">
        <v>648</v>
      </c>
    </row>
    <row r="308" spans="1:19" x14ac:dyDescent="0.25">
      <c r="A308" s="33">
        <v>46100.794893057879</v>
      </c>
      <c r="B308" s="1">
        <v>46100</v>
      </c>
      <c r="C308" t="s">
        <v>23</v>
      </c>
      <c r="D308" t="s">
        <v>24</v>
      </c>
      <c r="E308" t="s">
        <v>161</v>
      </c>
      <c r="K308">
        <v>-1</v>
      </c>
      <c r="N308" t="s">
        <v>26</v>
      </c>
      <c r="R308" t="s">
        <v>649</v>
      </c>
      <c r="S308" t="s">
        <v>650</v>
      </c>
    </row>
    <row r="309" spans="1:19" x14ac:dyDescent="0.25">
      <c r="A309" s="33">
        <v>46101.356627696761</v>
      </c>
      <c r="B309" s="1">
        <v>46101</v>
      </c>
      <c r="C309" t="s">
        <v>23</v>
      </c>
      <c r="D309" t="s">
        <v>30</v>
      </c>
      <c r="E309" t="s">
        <v>31</v>
      </c>
      <c r="F309" t="s">
        <v>32</v>
      </c>
      <c r="G309" t="s">
        <v>154</v>
      </c>
      <c r="H309" t="s">
        <v>155</v>
      </c>
      <c r="I309">
        <v>0.57398099999999996</v>
      </c>
      <c r="J309">
        <v>13.99</v>
      </c>
      <c r="K309">
        <v>-8.0299999999999994</v>
      </c>
      <c r="N309" t="s">
        <v>26</v>
      </c>
      <c r="R309" t="s">
        <v>651</v>
      </c>
      <c r="S309" t="s">
        <v>652</v>
      </c>
    </row>
    <row r="310" spans="1:19" x14ac:dyDescent="0.25">
      <c r="A310" s="33">
        <v>46101.35662770833</v>
      </c>
      <c r="B310" s="1">
        <v>46101</v>
      </c>
      <c r="C310" t="s">
        <v>23</v>
      </c>
      <c r="D310" t="s">
        <v>30</v>
      </c>
      <c r="E310" t="s">
        <v>31</v>
      </c>
      <c r="F310" t="s">
        <v>32</v>
      </c>
      <c r="G310" t="s">
        <v>154</v>
      </c>
      <c r="H310" t="s">
        <v>155</v>
      </c>
      <c r="I310">
        <v>3</v>
      </c>
      <c r="J310">
        <v>13.99</v>
      </c>
      <c r="K310">
        <v>-41.97</v>
      </c>
      <c r="L310" s="28">
        <v>-1</v>
      </c>
      <c r="N310" t="s">
        <v>26</v>
      </c>
      <c r="R310" t="s">
        <v>653</v>
      </c>
      <c r="S310" t="s">
        <v>654</v>
      </c>
    </row>
    <row r="311" spans="1:19" x14ac:dyDescent="0.25">
      <c r="A311" s="33">
        <v>46101.518711852477</v>
      </c>
      <c r="B311" s="1">
        <v>46101</v>
      </c>
      <c r="C311" t="s">
        <v>23</v>
      </c>
      <c r="D311" t="s">
        <v>24</v>
      </c>
      <c r="E311" t="s">
        <v>25</v>
      </c>
      <c r="K311">
        <v>260</v>
      </c>
      <c r="N311" t="s">
        <v>26</v>
      </c>
      <c r="R311" t="s">
        <v>246</v>
      </c>
      <c r="S311" t="s">
        <v>655</v>
      </c>
    </row>
    <row r="312" spans="1:19" x14ac:dyDescent="0.25">
      <c r="A312" s="33">
        <v>46104.376991145837</v>
      </c>
      <c r="B312" s="1">
        <v>46104</v>
      </c>
      <c r="C312" t="s">
        <v>23</v>
      </c>
      <c r="D312" t="s">
        <v>30</v>
      </c>
      <c r="E312" t="s">
        <v>31</v>
      </c>
      <c r="F312" t="s">
        <v>464</v>
      </c>
      <c r="G312" t="s">
        <v>526</v>
      </c>
      <c r="H312" t="s">
        <v>527</v>
      </c>
      <c r="I312">
        <v>4.1584000000000003E-2</v>
      </c>
      <c r="J312">
        <v>601.24</v>
      </c>
      <c r="K312">
        <v>-25</v>
      </c>
      <c r="L312" s="28">
        <v>-1</v>
      </c>
      <c r="N312" t="s">
        <v>26</v>
      </c>
      <c r="R312" t="s">
        <v>656</v>
      </c>
      <c r="S312" t="s">
        <v>657</v>
      </c>
    </row>
    <row r="313" spans="1:19" x14ac:dyDescent="0.25">
      <c r="A313" s="33">
        <v>46104.379066599118</v>
      </c>
      <c r="B313" s="1">
        <v>46104</v>
      </c>
      <c r="C313" t="s">
        <v>23</v>
      </c>
      <c r="D313" t="s">
        <v>24</v>
      </c>
      <c r="E313" t="s">
        <v>25</v>
      </c>
      <c r="K313">
        <v>27</v>
      </c>
      <c r="N313" t="s">
        <v>26</v>
      </c>
      <c r="R313" t="s">
        <v>647</v>
      </c>
      <c r="S313" t="s">
        <v>658</v>
      </c>
    </row>
    <row r="314" spans="1:19" x14ac:dyDescent="0.25">
      <c r="A314" s="33">
        <v>46104.379483368059</v>
      </c>
      <c r="B314" s="1">
        <v>46104</v>
      </c>
      <c r="C314" t="s">
        <v>23</v>
      </c>
      <c r="D314" t="s">
        <v>30</v>
      </c>
      <c r="E314" t="s">
        <v>31</v>
      </c>
      <c r="F314" t="s">
        <v>464</v>
      </c>
      <c r="G314" t="s">
        <v>526</v>
      </c>
      <c r="H314" t="s">
        <v>527</v>
      </c>
      <c r="I314">
        <v>0.43041800000000002</v>
      </c>
      <c r="J314">
        <v>601.74</v>
      </c>
      <c r="K314">
        <v>-259</v>
      </c>
      <c r="L314" s="28">
        <v>-1</v>
      </c>
      <c r="N314" t="s">
        <v>26</v>
      </c>
      <c r="R314" t="s">
        <v>659</v>
      </c>
      <c r="S314" t="s">
        <v>660</v>
      </c>
    </row>
    <row r="315" spans="1:19" x14ac:dyDescent="0.25">
      <c r="A315" s="33">
        <v>46104.379848761819</v>
      </c>
      <c r="B315" s="1">
        <v>46104</v>
      </c>
      <c r="C315" t="s">
        <v>23</v>
      </c>
      <c r="D315" t="s">
        <v>24</v>
      </c>
      <c r="E315" t="s">
        <v>161</v>
      </c>
      <c r="K315">
        <v>-1</v>
      </c>
      <c r="N315" t="s">
        <v>26</v>
      </c>
      <c r="R315" t="s">
        <v>661</v>
      </c>
      <c r="S315" t="s">
        <v>662</v>
      </c>
    </row>
    <row r="316" spans="1:19" x14ac:dyDescent="0.25">
      <c r="A316" s="33">
        <v>46107.957688053299</v>
      </c>
      <c r="B316" s="1">
        <v>46107</v>
      </c>
      <c r="C316" t="s">
        <v>23</v>
      </c>
      <c r="D316" t="s">
        <v>24</v>
      </c>
      <c r="E316" t="s">
        <v>25</v>
      </c>
      <c r="K316">
        <v>201</v>
      </c>
      <c r="N316" t="s">
        <v>26</v>
      </c>
      <c r="R316" t="s">
        <v>647</v>
      </c>
      <c r="S316" t="s">
        <v>663</v>
      </c>
    </row>
    <row r="317" spans="1:19" x14ac:dyDescent="0.25">
      <c r="A317" s="33">
        <v>46107.961043807867</v>
      </c>
      <c r="B317" s="1">
        <v>46107</v>
      </c>
      <c r="C317" t="s">
        <v>23</v>
      </c>
      <c r="D317" t="s">
        <v>30</v>
      </c>
      <c r="E317" t="s">
        <v>31</v>
      </c>
      <c r="F317" t="s">
        <v>32</v>
      </c>
      <c r="G317" t="s">
        <v>664</v>
      </c>
      <c r="H317" t="s">
        <v>665</v>
      </c>
      <c r="I317">
        <v>26</v>
      </c>
      <c r="J317">
        <v>7.5979999999999999</v>
      </c>
      <c r="K317">
        <v>-197.55</v>
      </c>
      <c r="L317" s="28">
        <v>-1</v>
      </c>
      <c r="N317" t="s">
        <v>26</v>
      </c>
      <c r="R317" t="s">
        <v>666</v>
      </c>
      <c r="S317" t="s">
        <v>667</v>
      </c>
    </row>
    <row r="318" spans="1:19" x14ac:dyDescent="0.25">
      <c r="A318" s="33">
        <v>46107.961043807867</v>
      </c>
      <c r="B318" s="1">
        <v>46107</v>
      </c>
      <c r="C318" t="s">
        <v>23</v>
      </c>
      <c r="D318" t="s">
        <v>30</v>
      </c>
      <c r="E318" t="s">
        <v>31</v>
      </c>
      <c r="F318" t="s">
        <v>32</v>
      </c>
      <c r="G318" t="s">
        <v>664</v>
      </c>
      <c r="H318" t="s">
        <v>665</v>
      </c>
      <c r="I318">
        <v>0.322716</v>
      </c>
      <c r="J318">
        <v>7.5979999999999999</v>
      </c>
      <c r="K318">
        <v>-2.4500000000000002</v>
      </c>
      <c r="N318" t="s">
        <v>26</v>
      </c>
      <c r="R318" t="s">
        <v>668</v>
      </c>
      <c r="S318" t="s">
        <v>669</v>
      </c>
    </row>
    <row r="319" spans="1:19" x14ac:dyDescent="0.25">
      <c r="A319" s="33">
        <v>46107.968759689487</v>
      </c>
      <c r="B319" s="1">
        <v>46107</v>
      </c>
      <c r="C319" t="s">
        <v>23</v>
      </c>
      <c r="D319" t="s">
        <v>24</v>
      </c>
      <c r="E319" t="s">
        <v>25</v>
      </c>
      <c r="K319">
        <v>50</v>
      </c>
      <c r="N319" t="s">
        <v>26</v>
      </c>
      <c r="R319" t="s">
        <v>647</v>
      </c>
      <c r="S319" t="s">
        <v>670</v>
      </c>
    </row>
    <row r="320" spans="1:19" x14ac:dyDescent="0.25">
      <c r="A320" s="33">
        <v>46107.969121180548</v>
      </c>
      <c r="B320" s="1">
        <v>46107</v>
      </c>
      <c r="C320" t="s">
        <v>23</v>
      </c>
      <c r="D320" t="s">
        <v>30</v>
      </c>
      <c r="E320" t="s">
        <v>31</v>
      </c>
      <c r="F320" t="s">
        <v>32</v>
      </c>
      <c r="G320" t="s">
        <v>604</v>
      </c>
      <c r="H320" t="s">
        <v>605</v>
      </c>
      <c r="I320">
        <v>3.2258000000000002E-2</v>
      </c>
      <c r="J320">
        <v>0.62</v>
      </c>
      <c r="K320">
        <v>-0.02</v>
      </c>
      <c r="N320" t="s">
        <v>26</v>
      </c>
      <c r="R320" t="s">
        <v>671</v>
      </c>
      <c r="S320" t="s">
        <v>672</v>
      </c>
    </row>
    <row r="321" spans="1:19" x14ac:dyDescent="0.25">
      <c r="A321" s="33">
        <v>46107.969121192131</v>
      </c>
      <c r="B321" s="1">
        <v>46107</v>
      </c>
      <c r="C321" t="s">
        <v>23</v>
      </c>
      <c r="D321" t="s">
        <v>30</v>
      </c>
      <c r="E321" t="s">
        <v>31</v>
      </c>
      <c r="F321" t="s">
        <v>32</v>
      </c>
      <c r="G321" t="s">
        <v>604</v>
      </c>
      <c r="H321" t="s">
        <v>605</v>
      </c>
      <c r="I321">
        <v>79</v>
      </c>
      <c r="J321">
        <v>0.62</v>
      </c>
      <c r="K321">
        <v>-48.98</v>
      </c>
      <c r="L321" s="28">
        <v>-1</v>
      </c>
      <c r="N321" t="s">
        <v>26</v>
      </c>
      <c r="R321" t="s">
        <v>673</v>
      </c>
      <c r="S321" t="s">
        <v>674</v>
      </c>
    </row>
    <row r="322" spans="1:19" x14ac:dyDescent="0.25">
      <c r="A322" s="33">
        <v>46107.992106320293</v>
      </c>
      <c r="B322" s="1">
        <v>46107</v>
      </c>
      <c r="C322" t="s">
        <v>23</v>
      </c>
      <c r="D322" t="s">
        <v>24</v>
      </c>
      <c r="E322" t="s">
        <v>25</v>
      </c>
      <c r="K322">
        <v>151</v>
      </c>
      <c r="N322" t="s">
        <v>26</v>
      </c>
      <c r="R322" t="s">
        <v>246</v>
      </c>
      <c r="S322" t="s">
        <v>675</v>
      </c>
    </row>
    <row r="323" spans="1:19" x14ac:dyDescent="0.25">
      <c r="A323" s="33">
        <v>46108.355415381942</v>
      </c>
      <c r="B323" s="1">
        <v>46108</v>
      </c>
      <c r="C323" t="s">
        <v>23</v>
      </c>
      <c r="D323" t="s">
        <v>30</v>
      </c>
      <c r="E323" t="s">
        <v>31</v>
      </c>
      <c r="F323" t="s">
        <v>464</v>
      </c>
      <c r="G323" t="s">
        <v>465</v>
      </c>
      <c r="H323" t="s">
        <v>466</v>
      </c>
      <c r="I323">
        <v>0.37627300000000002</v>
      </c>
      <c r="J323">
        <v>108.99</v>
      </c>
      <c r="K323">
        <v>-41.01</v>
      </c>
      <c r="N323" t="s">
        <v>26</v>
      </c>
      <c r="R323" t="s">
        <v>676</v>
      </c>
      <c r="S323" t="s">
        <v>677</v>
      </c>
    </row>
    <row r="324" spans="1:19" x14ac:dyDescent="0.25">
      <c r="A324" s="33">
        <v>46108.355415393518</v>
      </c>
      <c r="B324" s="1">
        <v>46108</v>
      </c>
      <c r="C324" t="s">
        <v>23</v>
      </c>
      <c r="D324" t="s">
        <v>30</v>
      </c>
      <c r="E324" t="s">
        <v>31</v>
      </c>
      <c r="F324" t="s">
        <v>464</v>
      </c>
      <c r="G324" t="s">
        <v>465</v>
      </c>
      <c r="H324" t="s">
        <v>466</v>
      </c>
      <c r="I324">
        <v>1</v>
      </c>
      <c r="J324">
        <v>108.99</v>
      </c>
      <c r="K324">
        <v>-108.99</v>
      </c>
      <c r="L324" s="28">
        <v>-1</v>
      </c>
      <c r="N324" t="s">
        <v>26</v>
      </c>
      <c r="R324" t="s">
        <v>469</v>
      </c>
      <c r="S324" t="s">
        <v>678</v>
      </c>
    </row>
    <row r="325" spans="1:19" x14ac:dyDescent="0.25">
      <c r="A325" s="33">
        <v>46108.508193393958</v>
      </c>
      <c r="B325" s="1">
        <v>46108</v>
      </c>
      <c r="C325" t="s">
        <v>23</v>
      </c>
      <c r="D325" t="s">
        <v>24</v>
      </c>
      <c r="E325" t="s">
        <v>25</v>
      </c>
      <c r="K325">
        <v>202</v>
      </c>
      <c r="N325" t="s">
        <v>26</v>
      </c>
      <c r="R325" t="s">
        <v>246</v>
      </c>
      <c r="S325" t="s">
        <v>679</v>
      </c>
    </row>
    <row r="326" spans="1:19" x14ac:dyDescent="0.25">
      <c r="A326" s="33">
        <v>46111.420398081391</v>
      </c>
      <c r="B326" s="1">
        <v>46111</v>
      </c>
      <c r="C326" t="s">
        <v>23</v>
      </c>
      <c r="D326" t="s">
        <v>24</v>
      </c>
      <c r="E326" t="s">
        <v>161</v>
      </c>
      <c r="K326">
        <v>-202</v>
      </c>
      <c r="N326" t="s">
        <v>26</v>
      </c>
      <c r="R326" t="s">
        <v>397</v>
      </c>
      <c r="S326" t="s">
        <v>680</v>
      </c>
    </row>
    <row r="327" spans="1:19" x14ac:dyDescent="0.25">
      <c r="A327" s="33">
        <v>46114.470872835649</v>
      </c>
      <c r="B327" s="1">
        <v>46114</v>
      </c>
      <c r="C327" t="s">
        <v>23</v>
      </c>
      <c r="D327" t="s">
        <v>30</v>
      </c>
      <c r="E327" t="s">
        <v>31</v>
      </c>
      <c r="F327" t="s">
        <v>64</v>
      </c>
      <c r="G327" t="s">
        <v>107</v>
      </c>
      <c r="H327" t="s">
        <v>108</v>
      </c>
      <c r="I327">
        <v>6.6078700000000001</v>
      </c>
      <c r="J327">
        <v>7.4154</v>
      </c>
      <c r="K327">
        <v>-49</v>
      </c>
      <c r="L327" s="28">
        <v>-1</v>
      </c>
      <c r="N327" t="s">
        <v>26</v>
      </c>
      <c r="R327" t="s">
        <v>681</v>
      </c>
      <c r="S327" t="s">
        <v>682</v>
      </c>
    </row>
    <row r="328" spans="1:19" x14ac:dyDescent="0.25">
      <c r="A328" s="33">
        <v>46114.488418715431</v>
      </c>
      <c r="B328" s="1">
        <v>46114</v>
      </c>
      <c r="C328" t="s">
        <v>23</v>
      </c>
      <c r="D328" t="s">
        <v>24</v>
      </c>
      <c r="E328" t="s">
        <v>25</v>
      </c>
      <c r="K328">
        <v>50</v>
      </c>
      <c r="N328" t="s">
        <v>26</v>
      </c>
      <c r="R328" t="s">
        <v>246</v>
      </c>
      <c r="S328" t="s">
        <v>683</v>
      </c>
    </row>
    <row r="329" spans="1:19" x14ac:dyDescent="0.25">
      <c r="A329" s="33">
        <v>46114.664256196622</v>
      </c>
      <c r="B329" s="1">
        <v>46114</v>
      </c>
      <c r="C329" t="s">
        <v>23</v>
      </c>
      <c r="D329" t="s">
        <v>24</v>
      </c>
      <c r="E329" t="s">
        <v>25</v>
      </c>
      <c r="K329">
        <v>50</v>
      </c>
      <c r="N329" t="s">
        <v>26</v>
      </c>
      <c r="R329" t="s">
        <v>246</v>
      </c>
      <c r="S329" t="s">
        <v>684</v>
      </c>
    </row>
    <row r="330" spans="1:19" x14ac:dyDescent="0.25">
      <c r="A330" s="33">
        <v>46114.664446238428</v>
      </c>
      <c r="B330" s="1">
        <v>46114</v>
      </c>
      <c r="C330" t="s">
        <v>23</v>
      </c>
      <c r="D330" t="s">
        <v>30</v>
      </c>
      <c r="E330" t="s">
        <v>31</v>
      </c>
      <c r="F330" t="s">
        <v>64</v>
      </c>
      <c r="G330" t="s">
        <v>69</v>
      </c>
      <c r="H330" t="s">
        <v>69</v>
      </c>
      <c r="I330">
        <v>43.611454999999999</v>
      </c>
      <c r="J330">
        <v>1.123437</v>
      </c>
      <c r="K330">
        <v>-48.99</v>
      </c>
      <c r="L330" s="28">
        <v>-1</v>
      </c>
      <c r="N330" t="s">
        <v>26</v>
      </c>
      <c r="R330" t="s">
        <v>685</v>
      </c>
      <c r="S330" t="s">
        <v>686</v>
      </c>
    </row>
    <row r="331" spans="1:19" x14ac:dyDescent="0.25">
      <c r="A331" s="33">
        <v>46114.684808674087</v>
      </c>
      <c r="B331" s="1">
        <v>46114</v>
      </c>
      <c r="C331" t="s">
        <v>23</v>
      </c>
      <c r="D331" t="s">
        <v>24</v>
      </c>
      <c r="E331" t="s">
        <v>25</v>
      </c>
      <c r="K331">
        <v>70</v>
      </c>
      <c r="N331" t="s">
        <v>26</v>
      </c>
      <c r="R331" t="s">
        <v>246</v>
      </c>
      <c r="S331" t="s">
        <v>687</v>
      </c>
    </row>
    <row r="332" spans="1:19" x14ac:dyDescent="0.25">
      <c r="A332" s="33">
        <v>46114.684882314818</v>
      </c>
      <c r="B332" s="1">
        <v>46114</v>
      </c>
      <c r="C332" t="s">
        <v>23</v>
      </c>
      <c r="D332" t="s">
        <v>30</v>
      </c>
      <c r="E332" t="s">
        <v>31</v>
      </c>
      <c r="F332" t="s">
        <v>64</v>
      </c>
      <c r="G332" t="s">
        <v>65</v>
      </c>
      <c r="H332" t="s">
        <v>66</v>
      </c>
      <c r="I332">
        <v>1.010885</v>
      </c>
      <c r="J332">
        <v>68.257000000000005</v>
      </c>
      <c r="K332">
        <v>-69</v>
      </c>
      <c r="L332" s="28">
        <v>-1</v>
      </c>
      <c r="N332" t="s">
        <v>26</v>
      </c>
      <c r="R332" t="s">
        <v>688</v>
      </c>
      <c r="S332" t="s">
        <v>689</v>
      </c>
    </row>
    <row r="333" spans="1:19" x14ac:dyDescent="0.25">
      <c r="A333" s="33">
        <v>46114.953335101112</v>
      </c>
      <c r="B333" s="1">
        <v>46114</v>
      </c>
      <c r="C333" t="s">
        <v>23</v>
      </c>
      <c r="D333" t="s">
        <v>24</v>
      </c>
      <c r="E333" t="s">
        <v>25</v>
      </c>
      <c r="K333">
        <v>201</v>
      </c>
      <c r="N333" t="s">
        <v>26</v>
      </c>
      <c r="R333" t="s">
        <v>246</v>
      </c>
      <c r="S333" t="s">
        <v>690</v>
      </c>
    </row>
    <row r="334" spans="1:19" x14ac:dyDescent="0.25">
      <c r="A334" s="33">
        <v>46114.953399467588</v>
      </c>
      <c r="B334" s="1">
        <v>46114</v>
      </c>
      <c r="C334" t="s">
        <v>23</v>
      </c>
      <c r="D334" t="s">
        <v>30</v>
      </c>
      <c r="E334" t="s">
        <v>31</v>
      </c>
      <c r="F334" t="s">
        <v>32</v>
      </c>
      <c r="G334" t="s">
        <v>691</v>
      </c>
      <c r="H334" t="s">
        <v>692</v>
      </c>
      <c r="I334">
        <v>0.21229500000000001</v>
      </c>
      <c r="J334">
        <v>10.41</v>
      </c>
      <c r="K334">
        <v>-2.21</v>
      </c>
      <c r="N334" t="s">
        <v>26</v>
      </c>
      <c r="R334" t="s">
        <v>693</v>
      </c>
      <c r="S334" t="s">
        <v>694</v>
      </c>
    </row>
    <row r="335" spans="1:19" x14ac:dyDescent="0.25">
      <c r="A335" s="33">
        <v>46114.953399479164</v>
      </c>
      <c r="B335" s="1">
        <v>46114</v>
      </c>
      <c r="C335" t="s">
        <v>23</v>
      </c>
      <c r="D335" t="s">
        <v>30</v>
      </c>
      <c r="E335" t="s">
        <v>31</v>
      </c>
      <c r="F335" t="s">
        <v>32</v>
      </c>
      <c r="G335" t="s">
        <v>691</v>
      </c>
      <c r="H335" t="s">
        <v>692</v>
      </c>
      <c r="I335">
        <v>19</v>
      </c>
      <c r="J335">
        <v>10.41</v>
      </c>
      <c r="K335">
        <v>-197.79</v>
      </c>
      <c r="L335" s="28">
        <v>-1</v>
      </c>
      <c r="N335" t="s">
        <v>26</v>
      </c>
      <c r="R335" t="s">
        <v>695</v>
      </c>
      <c r="S335" t="s">
        <v>696</v>
      </c>
    </row>
    <row r="336" spans="1:19" x14ac:dyDescent="0.25">
      <c r="A336" s="33">
        <v>46122.502603611108</v>
      </c>
      <c r="B336" s="1">
        <v>46122</v>
      </c>
      <c r="C336" t="s">
        <v>23</v>
      </c>
      <c r="D336" t="s">
        <v>30</v>
      </c>
      <c r="E336" t="s">
        <v>82</v>
      </c>
      <c r="F336" t="s">
        <v>32</v>
      </c>
      <c r="G336" t="s">
        <v>691</v>
      </c>
      <c r="H336" t="s">
        <v>692</v>
      </c>
      <c r="I336">
        <v>-0.21229500000000001</v>
      </c>
      <c r="J336">
        <v>11.52</v>
      </c>
      <c r="K336">
        <v>2.4500000000000002</v>
      </c>
      <c r="N336" t="s">
        <v>26</v>
      </c>
      <c r="R336" t="s">
        <v>697</v>
      </c>
      <c r="S336" t="s">
        <v>698</v>
      </c>
    </row>
    <row r="337" spans="1:19" x14ac:dyDescent="0.25">
      <c r="A337" s="33">
        <v>46122.502603634261</v>
      </c>
      <c r="B337" s="1">
        <v>46122</v>
      </c>
      <c r="C337" t="s">
        <v>23</v>
      </c>
      <c r="D337" t="s">
        <v>30</v>
      </c>
      <c r="E337" t="s">
        <v>82</v>
      </c>
      <c r="F337" t="s">
        <v>32</v>
      </c>
      <c r="G337" t="s">
        <v>691</v>
      </c>
      <c r="H337" t="s">
        <v>692</v>
      </c>
      <c r="I337">
        <v>-19</v>
      </c>
      <c r="J337">
        <v>11.52</v>
      </c>
      <c r="K337">
        <v>218.88</v>
      </c>
      <c r="L337" s="28">
        <v>-1</v>
      </c>
      <c r="N337" t="s">
        <v>26</v>
      </c>
      <c r="R337" t="s">
        <v>699</v>
      </c>
      <c r="S337" t="s">
        <v>700</v>
      </c>
    </row>
    <row r="338" spans="1:19" x14ac:dyDescent="0.25">
      <c r="A338" s="33">
        <v>46122.502827835648</v>
      </c>
      <c r="B338" s="1">
        <v>46122</v>
      </c>
      <c r="C338" t="s">
        <v>23</v>
      </c>
      <c r="D338" t="s">
        <v>30</v>
      </c>
      <c r="E338" t="s">
        <v>82</v>
      </c>
      <c r="F338" t="s">
        <v>32</v>
      </c>
      <c r="G338" t="s">
        <v>664</v>
      </c>
      <c r="H338" t="s">
        <v>665</v>
      </c>
      <c r="I338">
        <v>-26</v>
      </c>
      <c r="J338">
        <v>7.9880000000000004</v>
      </c>
      <c r="K338">
        <v>207.69</v>
      </c>
      <c r="L338" s="28">
        <v>-1</v>
      </c>
      <c r="N338" t="s">
        <v>26</v>
      </c>
      <c r="R338" t="s">
        <v>701</v>
      </c>
      <c r="S338" t="s">
        <v>702</v>
      </c>
    </row>
    <row r="339" spans="1:19" x14ac:dyDescent="0.25">
      <c r="A339" s="33">
        <v>46122.502827835648</v>
      </c>
      <c r="B339" s="1">
        <v>46122</v>
      </c>
      <c r="C339" t="s">
        <v>23</v>
      </c>
      <c r="D339" t="s">
        <v>30</v>
      </c>
      <c r="E339" t="s">
        <v>82</v>
      </c>
      <c r="F339" t="s">
        <v>32</v>
      </c>
      <c r="G339" t="s">
        <v>664</v>
      </c>
      <c r="H339" t="s">
        <v>665</v>
      </c>
      <c r="I339">
        <v>-0.322716</v>
      </c>
      <c r="J339">
        <v>7.9880000000000004</v>
      </c>
      <c r="K339">
        <v>2.58</v>
      </c>
      <c r="N339" t="s">
        <v>26</v>
      </c>
      <c r="R339" t="s">
        <v>703</v>
      </c>
      <c r="S339" t="s">
        <v>704</v>
      </c>
    </row>
    <row r="340" spans="1:19" x14ac:dyDescent="0.25">
      <c r="A340" s="33">
        <v>46122.506379202823</v>
      </c>
      <c r="B340" s="1">
        <v>46122</v>
      </c>
      <c r="C340" t="s">
        <v>23</v>
      </c>
      <c r="D340" t="s">
        <v>24</v>
      </c>
      <c r="E340" t="s">
        <v>161</v>
      </c>
      <c r="K340">
        <v>-429.61</v>
      </c>
      <c r="N340" t="s">
        <v>26</v>
      </c>
      <c r="R340" t="s">
        <v>397</v>
      </c>
      <c r="S340" t="s">
        <v>705</v>
      </c>
    </row>
    <row r="341" spans="1:19" x14ac:dyDescent="0.25">
      <c r="A341" s="33">
        <v>46123.356731000218</v>
      </c>
      <c r="B341" s="1">
        <v>46123</v>
      </c>
      <c r="C341" t="s">
        <v>23</v>
      </c>
      <c r="D341" t="s">
        <v>24</v>
      </c>
      <c r="E341" t="s">
        <v>25</v>
      </c>
      <c r="K341">
        <v>50</v>
      </c>
      <c r="N341" t="s">
        <v>26</v>
      </c>
      <c r="R341" t="s">
        <v>246</v>
      </c>
      <c r="S341" t="s">
        <v>706</v>
      </c>
    </row>
    <row r="342" spans="1:19" x14ac:dyDescent="0.25">
      <c r="A342" s="33">
        <v>46123.356795370368</v>
      </c>
      <c r="B342" s="1">
        <v>46123</v>
      </c>
      <c r="C342" t="s">
        <v>23</v>
      </c>
      <c r="D342" t="s">
        <v>30</v>
      </c>
      <c r="E342" t="s">
        <v>31</v>
      </c>
      <c r="F342" t="s">
        <v>64</v>
      </c>
      <c r="G342" t="s">
        <v>72</v>
      </c>
      <c r="H342" t="s">
        <v>73</v>
      </c>
      <c r="I342">
        <v>227.93242000000001</v>
      </c>
      <c r="J342">
        <v>0.214973</v>
      </c>
      <c r="K342">
        <v>-49</v>
      </c>
      <c r="L342" s="28">
        <v>-1</v>
      </c>
      <c r="N342" t="s">
        <v>26</v>
      </c>
      <c r="R342" t="s">
        <v>707</v>
      </c>
      <c r="S342" t="s">
        <v>708</v>
      </c>
    </row>
    <row r="343" spans="1:19" x14ac:dyDescent="0.25">
      <c r="A343" s="33">
        <v>46123.357593589863</v>
      </c>
      <c r="B343" s="1">
        <v>46123</v>
      </c>
      <c r="C343" t="s">
        <v>23</v>
      </c>
      <c r="D343" t="s">
        <v>24</v>
      </c>
      <c r="E343" t="s">
        <v>25</v>
      </c>
      <c r="K343">
        <v>25</v>
      </c>
      <c r="N343" t="s">
        <v>26</v>
      </c>
      <c r="R343" t="s">
        <v>246</v>
      </c>
      <c r="S343" t="s">
        <v>709</v>
      </c>
    </row>
    <row r="344" spans="1:19" x14ac:dyDescent="0.25">
      <c r="A344" s="33">
        <v>46123.357702303241</v>
      </c>
      <c r="B344" s="1">
        <v>46123</v>
      </c>
      <c r="C344" t="s">
        <v>23</v>
      </c>
      <c r="D344" t="s">
        <v>30</v>
      </c>
      <c r="E344" t="s">
        <v>31</v>
      </c>
      <c r="F344" t="s">
        <v>64</v>
      </c>
      <c r="G344" t="s">
        <v>118</v>
      </c>
      <c r="H344" t="s">
        <v>119</v>
      </c>
      <c r="I344">
        <v>21.890419999999999</v>
      </c>
      <c r="J344">
        <v>1.0963700000000001</v>
      </c>
      <c r="K344">
        <v>-24</v>
      </c>
      <c r="L344" s="28">
        <v>-1</v>
      </c>
      <c r="N344" t="s">
        <v>26</v>
      </c>
      <c r="R344" t="s">
        <v>710</v>
      </c>
      <c r="S344" t="s">
        <v>711</v>
      </c>
    </row>
    <row r="345" spans="1:19" x14ac:dyDescent="0.25">
      <c r="A345" s="33">
        <v>46124.711935012718</v>
      </c>
      <c r="B345" s="1">
        <v>46124</v>
      </c>
      <c r="C345" t="s">
        <v>23</v>
      </c>
      <c r="D345" t="s">
        <v>24</v>
      </c>
      <c r="E345" t="s">
        <v>25</v>
      </c>
      <c r="K345">
        <v>3</v>
      </c>
      <c r="N345" t="s">
        <v>26</v>
      </c>
      <c r="R345" t="s">
        <v>246</v>
      </c>
      <c r="S345" t="s">
        <v>712</v>
      </c>
    </row>
    <row r="346" spans="1:19" x14ac:dyDescent="0.25">
      <c r="A346" s="33">
        <v>46126.702982002324</v>
      </c>
      <c r="B346" s="1">
        <v>46126</v>
      </c>
      <c r="C346" t="s">
        <v>23</v>
      </c>
      <c r="D346" t="s">
        <v>30</v>
      </c>
      <c r="E346" t="s">
        <v>82</v>
      </c>
      <c r="F346" t="s">
        <v>32</v>
      </c>
      <c r="G346" t="s">
        <v>604</v>
      </c>
      <c r="H346" t="s">
        <v>605</v>
      </c>
      <c r="I346">
        <v>-0.83070699999999997</v>
      </c>
      <c r="J346">
        <v>0.752</v>
      </c>
      <c r="K346">
        <v>0.62</v>
      </c>
      <c r="N346" t="s">
        <v>26</v>
      </c>
      <c r="R346" t="s">
        <v>713</v>
      </c>
      <c r="S346" t="s">
        <v>714</v>
      </c>
    </row>
    <row r="347" spans="1:19" x14ac:dyDescent="0.25">
      <c r="A347" s="33">
        <v>46126.702982025461</v>
      </c>
      <c r="B347" s="1">
        <v>46126</v>
      </c>
      <c r="C347" t="s">
        <v>23</v>
      </c>
      <c r="D347" t="s">
        <v>30</v>
      </c>
      <c r="E347" t="s">
        <v>82</v>
      </c>
      <c r="F347" t="s">
        <v>32</v>
      </c>
      <c r="G347" t="s">
        <v>604</v>
      </c>
      <c r="H347" t="s">
        <v>605</v>
      </c>
      <c r="I347">
        <v>-272</v>
      </c>
      <c r="J347">
        <v>0.752</v>
      </c>
      <c r="K347">
        <v>204.54</v>
      </c>
      <c r="L347" s="28">
        <v>-1</v>
      </c>
      <c r="N347" t="s">
        <v>26</v>
      </c>
      <c r="R347" t="s">
        <v>715</v>
      </c>
      <c r="S347" t="s">
        <v>716</v>
      </c>
    </row>
    <row r="348" spans="1:19" x14ac:dyDescent="0.25">
      <c r="A348" s="33">
        <v>46126.946029281622</v>
      </c>
      <c r="B348" s="1">
        <v>46126</v>
      </c>
      <c r="C348" t="s">
        <v>23</v>
      </c>
      <c r="D348" t="s">
        <v>24</v>
      </c>
      <c r="E348" t="s">
        <v>25</v>
      </c>
      <c r="K348">
        <v>193.84</v>
      </c>
      <c r="N348" t="s">
        <v>26</v>
      </c>
      <c r="R348" t="s">
        <v>647</v>
      </c>
      <c r="S348" t="s">
        <v>717</v>
      </c>
    </row>
    <row r="349" spans="1:19" x14ac:dyDescent="0.25">
      <c r="A349" s="33">
        <v>46126.94648366898</v>
      </c>
      <c r="B349" s="1">
        <v>46126</v>
      </c>
      <c r="C349" t="s">
        <v>23</v>
      </c>
      <c r="D349" t="s">
        <v>30</v>
      </c>
      <c r="E349" t="s">
        <v>31</v>
      </c>
      <c r="F349" t="s">
        <v>464</v>
      </c>
      <c r="G349" t="s">
        <v>718</v>
      </c>
      <c r="H349" t="s">
        <v>719</v>
      </c>
      <c r="I349">
        <v>0.77619800000000005</v>
      </c>
      <c r="J349">
        <v>225.2</v>
      </c>
      <c r="K349">
        <v>-174.8</v>
      </c>
      <c r="N349" t="s">
        <v>26</v>
      </c>
      <c r="R349" t="s">
        <v>720</v>
      </c>
      <c r="S349" t="s">
        <v>721</v>
      </c>
    </row>
    <row r="350" spans="1:19" x14ac:dyDescent="0.25">
      <c r="A350" s="33">
        <v>46126.94648366898</v>
      </c>
      <c r="B350" s="1">
        <v>46126</v>
      </c>
      <c r="C350" t="s">
        <v>23</v>
      </c>
      <c r="D350" t="s">
        <v>30</v>
      </c>
      <c r="E350" t="s">
        <v>31</v>
      </c>
      <c r="F350" t="s">
        <v>464</v>
      </c>
      <c r="G350" t="s">
        <v>718</v>
      </c>
      <c r="H350" t="s">
        <v>719</v>
      </c>
      <c r="I350">
        <v>1</v>
      </c>
      <c r="J350">
        <v>225.2</v>
      </c>
      <c r="K350">
        <v>-225.2</v>
      </c>
      <c r="L350" s="28">
        <v>-1</v>
      </c>
      <c r="N350" t="s">
        <v>26</v>
      </c>
      <c r="R350" t="s">
        <v>722</v>
      </c>
      <c r="S350" t="s">
        <v>723</v>
      </c>
    </row>
    <row r="351" spans="1:19" x14ac:dyDescent="0.25">
      <c r="A351" s="33">
        <v>46127.37824232351</v>
      </c>
      <c r="B351" s="1">
        <v>46127</v>
      </c>
      <c r="C351" t="s">
        <v>23</v>
      </c>
      <c r="D351" t="s">
        <v>24</v>
      </c>
      <c r="E351" t="s">
        <v>25</v>
      </c>
      <c r="K351">
        <v>10</v>
      </c>
      <c r="N351" t="s">
        <v>26</v>
      </c>
      <c r="R351" t="s">
        <v>246</v>
      </c>
      <c r="S351" t="s">
        <v>724</v>
      </c>
    </row>
    <row r="352" spans="1:19" x14ac:dyDescent="0.25">
      <c r="A352" s="33">
        <v>46127.386352227972</v>
      </c>
      <c r="B352" s="1">
        <v>46127</v>
      </c>
      <c r="C352" t="s">
        <v>23</v>
      </c>
      <c r="D352" t="s">
        <v>24</v>
      </c>
      <c r="E352" t="s">
        <v>725</v>
      </c>
      <c r="K352">
        <v>-10</v>
      </c>
      <c r="N352" t="s">
        <v>26</v>
      </c>
      <c r="R352" t="s">
        <v>726</v>
      </c>
      <c r="S352" t="s">
        <v>727</v>
      </c>
    </row>
    <row r="353" spans="1:19" x14ac:dyDescent="0.25">
      <c r="A353" s="33">
        <v>46127.741248173523</v>
      </c>
      <c r="B353" s="1">
        <v>46127</v>
      </c>
      <c r="C353" t="s">
        <v>23</v>
      </c>
      <c r="D353" t="s">
        <v>24</v>
      </c>
      <c r="E353" t="s">
        <v>161</v>
      </c>
      <c r="K353">
        <v>-10</v>
      </c>
      <c r="N353" t="s">
        <v>26</v>
      </c>
      <c r="R353" t="s">
        <v>397</v>
      </c>
      <c r="S353" t="s">
        <v>728</v>
      </c>
    </row>
    <row r="354" spans="1:19" x14ac:dyDescent="0.25">
      <c r="A354" s="33">
        <v>46127.740982344272</v>
      </c>
      <c r="B354" s="1">
        <v>46127</v>
      </c>
      <c r="C354" t="s">
        <v>23</v>
      </c>
      <c r="D354" t="s">
        <v>24</v>
      </c>
      <c r="E354" t="s">
        <v>729</v>
      </c>
      <c r="K354">
        <v>10</v>
      </c>
      <c r="N354" t="s">
        <v>26</v>
      </c>
      <c r="R354" t="s">
        <v>730</v>
      </c>
      <c r="S354" t="s">
        <v>731</v>
      </c>
    </row>
    <row r="355" spans="1:19" x14ac:dyDescent="0.25">
      <c r="A355" s="33">
        <v>46127.916599259261</v>
      </c>
      <c r="B355" s="1">
        <v>46127</v>
      </c>
      <c r="C355" t="s">
        <v>23</v>
      </c>
      <c r="D355" t="s">
        <v>30</v>
      </c>
      <c r="E355" t="s">
        <v>82</v>
      </c>
      <c r="F355" t="s">
        <v>32</v>
      </c>
      <c r="G355" t="s">
        <v>154</v>
      </c>
      <c r="H355" t="s">
        <v>155</v>
      </c>
      <c r="I355">
        <v>-14</v>
      </c>
      <c r="J355">
        <v>17.605</v>
      </c>
      <c r="K355">
        <v>246.47</v>
      </c>
      <c r="L355" s="28">
        <v>-1</v>
      </c>
      <c r="N355" t="s">
        <v>26</v>
      </c>
      <c r="R355" t="s">
        <v>732</v>
      </c>
      <c r="S355" t="s">
        <v>733</v>
      </c>
    </row>
    <row r="356" spans="1:19" x14ac:dyDescent="0.25">
      <c r="A356" s="33">
        <v>46127.916599571763</v>
      </c>
      <c r="B356" s="1">
        <v>46127</v>
      </c>
      <c r="C356" t="s">
        <v>23</v>
      </c>
      <c r="D356" t="s">
        <v>30</v>
      </c>
      <c r="E356" t="s">
        <v>82</v>
      </c>
      <c r="F356" t="s">
        <v>32</v>
      </c>
      <c r="G356" t="s">
        <v>154</v>
      </c>
      <c r="H356" t="s">
        <v>155</v>
      </c>
      <c r="I356">
        <v>-0.121466</v>
      </c>
      <c r="J356">
        <v>17.605</v>
      </c>
      <c r="K356">
        <v>2.14</v>
      </c>
      <c r="N356" t="s">
        <v>26</v>
      </c>
      <c r="R356" t="s">
        <v>734</v>
      </c>
      <c r="S356" t="s">
        <v>735</v>
      </c>
    </row>
    <row r="357" spans="1:19" x14ac:dyDescent="0.25">
      <c r="A357" s="33">
        <v>46127.950124502313</v>
      </c>
      <c r="B357" s="1">
        <v>46127</v>
      </c>
      <c r="C357" t="s">
        <v>23</v>
      </c>
      <c r="D357" t="s">
        <v>30</v>
      </c>
      <c r="E357" t="s">
        <v>31</v>
      </c>
      <c r="F357" t="s">
        <v>32</v>
      </c>
      <c r="G357" t="s">
        <v>154</v>
      </c>
      <c r="H357" t="s">
        <v>155</v>
      </c>
      <c r="I357">
        <v>0.464696</v>
      </c>
      <c r="J357">
        <v>18.27</v>
      </c>
      <c r="K357">
        <v>-8.49</v>
      </c>
      <c r="N357" t="s">
        <v>26</v>
      </c>
      <c r="R357" t="s">
        <v>736</v>
      </c>
      <c r="S357" t="s">
        <v>737</v>
      </c>
    </row>
    <row r="358" spans="1:19" x14ac:dyDescent="0.25">
      <c r="A358" s="33">
        <v>46127.950124525472</v>
      </c>
      <c r="B358" s="1">
        <v>46127</v>
      </c>
      <c r="C358" t="s">
        <v>23</v>
      </c>
      <c r="D358" t="s">
        <v>30</v>
      </c>
      <c r="E358" t="s">
        <v>31</v>
      </c>
      <c r="F358" t="s">
        <v>32</v>
      </c>
      <c r="G358" t="s">
        <v>154</v>
      </c>
      <c r="H358" t="s">
        <v>155</v>
      </c>
      <c r="I358">
        <v>13</v>
      </c>
      <c r="J358">
        <v>18.27</v>
      </c>
      <c r="K358">
        <v>-237.51</v>
      </c>
      <c r="L358" s="28">
        <v>-1</v>
      </c>
      <c r="N358" t="s">
        <v>26</v>
      </c>
      <c r="R358" t="s">
        <v>738</v>
      </c>
      <c r="S358" t="s">
        <v>739</v>
      </c>
    </row>
    <row r="359" spans="1:19" x14ac:dyDescent="0.25">
      <c r="A359" s="33">
        <v>46128.428306533562</v>
      </c>
      <c r="B359" s="1">
        <v>46128</v>
      </c>
      <c r="C359" t="s">
        <v>23</v>
      </c>
      <c r="D359" t="s">
        <v>24</v>
      </c>
      <c r="E359" t="s">
        <v>25</v>
      </c>
      <c r="K359">
        <v>200</v>
      </c>
      <c r="N359" t="s">
        <v>26</v>
      </c>
      <c r="R359" t="s">
        <v>647</v>
      </c>
      <c r="S359" t="s">
        <v>740</v>
      </c>
    </row>
    <row r="360" spans="1:19" x14ac:dyDescent="0.25">
      <c r="A360" s="33">
        <v>46128.428700983794</v>
      </c>
      <c r="B360" s="1">
        <v>46128</v>
      </c>
      <c r="C360" t="s">
        <v>23</v>
      </c>
      <c r="D360" t="s">
        <v>30</v>
      </c>
      <c r="E360" t="s">
        <v>31</v>
      </c>
      <c r="F360" t="s">
        <v>32</v>
      </c>
      <c r="G360" t="s">
        <v>262</v>
      </c>
      <c r="H360" t="s">
        <v>263</v>
      </c>
      <c r="I360">
        <v>4</v>
      </c>
      <c r="J360">
        <v>40.42</v>
      </c>
      <c r="K360">
        <v>-161.68</v>
      </c>
      <c r="L360" s="28">
        <v>-1</v>
      </c>
      <c r="N360" t="s">
        <v>26</v>
      </c>
      <c r="R360" t="s">
        <v>741</v>
      </c>
      <c r="S360" t="s">
        <v>742</v>
      </c>
    </row>
    <row r="361" spans="1:19" x14ac:dyDescent="0.25">
      <c r="A361" s="33">
        <v>46128.428701504628</v>
      </c>
      <c r="B361" s="1">
        <v>46128</v>
      </c>
      <c r="C361" t="s">
        <v>23</v>
      </c>
      <c r="D361" t="s">
        <v>30</v>
      </c>
      <c r="E361" t="s">
        <v>31</v>
      </c>
      <c r="F361" t="s">
        <v>32</v>
      </c>
      <c r="G361" t="s">
        <v>262</v>
      </c>
      <c r="H361" t="s">
        <v>263</v>
      </c>
      <c r="I361">
        <v>0.92330500000000004</v>
      </c>
      <c r="J361">
        <v>40.42</v>
      </c>
      <c r="K361">
        <v>-37.32</v>
      </c>
      <c r="N361" t="s">
        <v>26</v>
      </c>
      <c r="R361" t="s">
        <v>743</v>
      </c>
      <c r="S361" t="s">
        <v>744</v>
      </c>
    </row>
    <row r="362" spans="1:19" x14ac:dyDescent="0.25">
      <c r="A362" s="33">
        <v>46128.839542665854</v>
      </c>
      <c r="B362" s="1">
        <v>46128</v>
      </c>
      <c r="C362" t="s">
        <v>23</v>
      </c>
      <c r="D362" t="s">
        <v>24</v>
      </c>
      <c r="E362" t="s">
        <v>729</v>
      </c>
      <c r="K362">
        <v>0.27</v>
      </c>
      <c r="N362" t="s">
        <v>26</v>
      </c>
      <c r="R362" t="s">
        <v>730</v>
      </c>
      <c r="S362" t="s">
        <v>745</v>
      </c>
    </row>
    <row r="363" spans="1:19" x14ac:dyDescent="0.25">
      <c r="A363" s="33">
        <v>46129.526276315628</v>
      </c>
      <c r="B363" s="1">
        <v>46129</v>
      </c>
      <c r="C363" t="s">
        <v>23</v>
      </c>
      <c r="D363" t="s">
        <v>24</v>
      </c>
      <c r="E363" t="s">
        <v>25</v>
      </c>
      <c r="K363">
        <v>201</v>
      </c>
      <c r="N363" t="s">
        <v>26</v>
      </c>
      <c r="R363" t="s">
        <v>246</v>
      </c>
      <c r="S363" t="s">
        <v>746</v>
      </c>
    </row>
    <row r="364" spans="1:19" x14ac:dyDescent="0.25">
      <c r="A364" s="33">
        <v>46129.52721954861</v>
      </c>
      <c r="B364" s="1">
        <v>46129</v>
      </c>
      <c r="C364" t="s">
        <v>23</v>
      </c>
      <c r="D364" t="s">
        <v>30</v>
      </c>
      <c r="E364" t="s">
        <v>31</v>
      </c>
      <c r="F364" t="s">
        <v>32</v>
      </c>
      <c r="G364" t="s">
        <v>747</v>
      </c>
      <c r="H364" t="s">
        <v>748</v>
      </c>
      <c r="I364">
        <v>0.43635000000000002</v>
      </c>
      <c r="J364">
        <v>82.09</v>
      </c>
      <c r="K364">
        <v>-35.82</v>
      </c>
      <c r="N364" t="s">
        <v>26</v>
      </c>
      <c r="R364" t="s">
        <v>749</v>
      </c>
      <c r="S364" t="s">
        <v>750</v>
      </c>
    </row>
    <row r="365" spans="1:19" x14ac:dyDescent="0.25">
      <c r="A365" s="33">
        <v>46129.527219606483</v>
      </c>
      <c r="B365" s="1">
        <v>46129</v>
      </c>
      <c r="C365" t="s">
        <v>23</v>
      </c>
      <c r="D365" t="s">
        <v>30</v>
      </c>
      <c r="E365" t="s">
        <v>31</v>
      </c>
      <c r="F365" t="s">
        <v>32</v>
      </c>
      <c r="G365" t="s">
        <v>747</v>
      </c>
      <c r="H365" t="s">
        <v>748</v>
      </c>
      <c r="I365">
        <v>2</v>
      </c>
      <c r="J365">
        <v>82.09</v>
      </c>
      <c r="K365">
        <v>-164.18</v>
      </c>
      <c r="L365" s="28">
        <v>-1</v>
      </c>
      <c r="N365" t="s">
        <v>26</v>
      </c>
      <c r="R365" t="s">
        <v>751</v>
      </c>
      <c r="S365" t="s">
        <v>752</v>
      </c>
    </row>
    <row r="366" spans="1:19" x14ac:dyDescent="0.25">
      <c r="A366" s="33">
        <v>46129.607291856017</v>
      </c>
      <c r="B366" s="1">
        <v>46129</v>
      </c>
      <c r="C366" t="s">
        <v>23</v>
      </c>
      <c r="D366" t="s">
        <v>24</v>
      </c>
      <c r="E366" t="s">
        <v>25</v>
      </c>
      <c r="K366">
        <v>2</v>
      </c>
      <c r="N366" t="s">
        <v>26</v>
      </c>
      <c r="R366" t="s">
        <v>647</v>
      </c>
      <c r="S366" t="s">
        <v>753</v>
      </c>
    </row>
    <row r="367" spans="1:19" x14ac:dyDescent="0.25">
      <c r="A367" s="33">
        <v>46129.607726050483</v>
      </c>
      <c r="B367" s="1">
        <v>46129</v>
      </c>
      <c r="C367" t="s">
        <v>23</v>
      </c>
      <c r="D367" t="s">
        <v>24</v>
      </c>
      <c r="E367" t="s">
        <v>161</v>
      </c>
      <c r="K367">
        <v>-2.88</v>
      </c>
      <c r="N367" t="s">
        <v>26</v>
      </c>
      <c r="R367" t="s">
        <v>661</v>
      </c>
      <c r="S367" t="s">
        <v>754</v>
      </c>
    </row>
    <row r="368" spans="1:19" x14ac:dyDescent="0.25">
      <c r="A368" s="33">
        <v>46129.9461055828</v>
      </c>
      <c r="B368" s="1">
        <v>46129</v>
      </c>
      <c r="C368" t="s">
        <v>23</v>
      </c>
      <c r="D368" t="s">
        <v>24</v>
      </c>
      <c r="E368" t="s">
        <v>25</v>
      </c>
      <c r="K368">
        <v>51</v>
      </c>
      <c r="N368" t="s">
        <v>26</v>
      </c>
      <c r="R368" t="s">
        <v>246</v>
      </c>
      <c r="S368" t="s">
        <v>755</v>
      </c>
    </row>
    <row r="369" spans="1:21" x14ac:dyDescent="0.25">
      <c r="A369" s="33">
        <v>46129.946639381851</v>
      </c>
      <c r="B369" s="1">
        <v>46129</v>
      </c>
      <c r="C369" t="s">
        <v>23</v>
      </c>
      <c r="D369" t="s">
        <v>24</v>
      </c>
      <c r="E369" t="s">
        <v>25</v>
      </c>
      <c r="K369">
        <v>50</v>
      </c>
      <c r="N369" t="s">
        <v>26</v>
      </c>
      <c r="R369" t="s">
        <v>246</v>
      </c>
      <c r="S369" t="s">
        <v>756</v>
      </c>
    </row>
    <row r="370" spans="1:21" x14ac:dyDescent="0.25">
      <c r="A370" s="33">
        <v>46129.946756458332</v>
      </c>
      <c r="B370" s="1">
        <v>46129</v>
      </c>
      <c r="C370" t="s">
        <v>23</v>
      </c>
      <c r="D370" t="s">
        <v>30</v>
      </c>
      <c r="E370" t="s">
        <v>31</v>
      </c>
      <c r="F370" t="s">
        <v>32</v>
      </c>
      <c r="G370" t="s">
        <v>640</v>
      </c>
      <c r="H370" t="s">
        <v>641</v>
      </c>
      <c r="I370">
        <v>0.44090499999999999</v>
      </c>
      <c r="J370">
        <v>8.0380000000000003</v>
      </c>
      <c r="K370">
        <v>-3.54</v>
      </c>
      <c r="N370" t="s">
        <v>26</v>
      </c>
      <c r="R370" t="s">
        <v>757</v>
      </c>
      <c r="S370" t="s">
        <v>758</v>
      </c>
    </row>
    <row r="371" spans="1:21" x14ac:dyDescent="0.25">
      <c r="A371" s="33">
        <v>46129.946756597223</v>
      </c>
      <c r="B371" s="1">
        <v>46129</v>
      </c>
      <c r="C371" t="s">
        <v>23</v>
      </c>
      <c r="D371" t="s">
        <v>30</v>
      </c>
      <c r="E371" t="s">
        <v>31</v>
      </c>
      <c r="F371" t="s">
        <v>32</v>
      </c>
      <c r="G371" t="s">
        <v>640</v>
      </c>
      <c r="H371" t="s">
        <v>641</v>
      </c>
      <c r="I371">
        <v>12</v>
      </c>
      <c r="J371">
        <v>8.0380000000000003</v>
      </c>
      <c r="K371">
        <v>-96.46</v>
      </c>
      <c r="L371" s="28">
        <v>-1</v>
      </c>
      <c r="N371" t="s">
        <v>26</v>
      </c>
      <c r="R371" t="s">
        <v>759</v>
      </c>
      <c r="S371" t="s">
        <v>760</v>
      </c>
    </row>
    <row r="372" spans="1:21" x14ac:dyDescent="0.25">
      <c r="A372" s="33">
        <v>46134.542589578203</v>
      </c>
      <c r="B372" s="1">
        <v>46134</v>
      </c>
      <c r="C372" t="s">
        <v>23</v>
      </c>
      <c r="D372" t="s">
        <v>24</v>
      </c>
      <c r="E372" t="s">
        <v>25</v>
      </c>
      <c r="K372">
        <v>1</v>
      </c>
      <c r="N372" t="s">
        <v>26</v>
      </c>
      <c r="R372" t="s">
        <v>647</v>
      </c>
      <c r="S372" t="s">
        <v>761</v>
      </c>
    </row>
    <row r="373" spans="1:21" x14ac:dyDescent="0.25">
      <c r="A373" s="33">
        <v>46135.758826296304</v>
      </c>
      <c r="B373" s="1">
        <v>46135</v>
      </c>
      <c r="C373" t="s">
        <v>23</v>
      </c>
      <c r="D373" t="s">
        <v>30</v>
      </c>
      <c r="E373" t="s">
        <v>82</v>
      </c>
      <c r="F373" t="s">
        <v>32</v>
      </c>
      <c r="G373" t="s">
        <v>640</v>
      </c>
      <c r="H373" t="s">
        <v>641</v>
      </c>
      <c r="I373">
        <v>-5.9461E-2</v>
      </c>
      <c r="J373">
        <v>9.4779999999999998</v>
      </c>
      <c r="K373">
        <v>0.56000000000000005</v>
      </c>
      <c r="N373" t="s">
        <v>26</v>
      </c>
      <c r="R373" t="s">
        <v>762</v>
      </c>
      <c r="S373" t="s">
        <v>763</v>
      </c>
    </row>
    <row r="374" spans="1:21" x14ac:dyDescent="0.25">
      <c r="A374" s="33">
        <v>46135.758826319441</v>
      </c>
      <c r="B374" s="1">
        <v>46135</v>
      </c>
      <c r="C374" t="s">
        <v>23</v>
      </c>
      <c r="D374" t="s">
        <v>30</v>
      </c>
      <c r="E374" t="s">
        <v>82</v>
      </c>
      <c r="F374" t="s">
        <v>32</v>
      </c>
      <c r="G374" t="s">
        <v>640</v>
      </c>
      <c r="H374" t="s">
        <v>641</v>
      </c>
      <c r="I374">
        <v>-33</v>
      </c>
      <c r="J374">
        <v>9.4779999999999998</v>
      </c>
      <c r="K374">
        <v>312.77</v>
      </c>
      <c r="L374" s="28">
        <v>-1</v>
      </c>
      <c r="N374" t="s">
        <v>26</v>
      </c>
      <c r="R374" t="s">
        <v>764</v>
      </c>
      <c r="S374" t="s">
        <v>765</v>
      </c>
    </row>
    <row r="375" spans="1:21" x14ac:dyDescent="0.25">
      <c r="A375" s="33">
        <v>46137.521257040127</v>
      </c>
      <c r="B375" s="1">
        <v>46137</v>
      </c>
      <c r="C375" t="s">
        <v>23</v>
      </c>
      <c r="D375" t="s">
        <v>24</v>
      </c>
      <c r="E375" t="s">
        <v>161</v>
      </c>
      <c r="K375">
        <v>-313.33</v>
      </c>
      <c r="N375" t="s">
        <v>26</v>
      </c>
      <c r="R375" t="s">
        <v>661</v>
      </c>
      <c r="S375" t="s">
        <v>766</v>
      </c>
    </row>
    <row r="376" spans="1:21" x14ac:dyDescent="0.25">
      <c r="A376" s="33">
        <v>46140.403781924113</v>
      </c>
      <c r="B376" s="1">
        <v>46140</v>
      </c>
      <c r="C376" t="s">
        <v>23</v>
      </c>
      <c r="D376" t="s">
        <v>24</v>
      </c>
      <c r="E376" t="s">
        <v>25</v>
      </c>
      <c r="K376">
        <v>150</v>
      </c>
      <c r="N376" t="s">
        <v>26</v>
      </c>
      <c r="R376" t="s">
        <v>246</v>
      </c>
      <c r="S376" t="s">
        <v>767</v>
      </c>
    </row>
    <row r="377" spans="1:21" x14ac:dyDescent="0.25">
      <c r="A377" s="33">
        <v>46140.519730879627</v>
      </c>
      <c r="B377" s="1">
        <v>46140</v>
      </c>
      <c r="C377" t="s">
        <v>23</v>
      </c>
      <c r="D377" t="s">
        <v>30</v>
      </c>
      <c r="E377" t="s">
        <v>31</v>
      </c>
      <c r="F377" t="s">
        <v>464</v>
      </c>
      <c r="G377" t="s">
        <v>718</v>
      </c>
      <c r="H377" t="s">
        <v>719</v>
      </c>
      <c r="I377">
        <v>0.44286900000000001</v>
      </c>
      <c r="J377">
        <v>225.8</v>
      </c>
      <c r="K377">
        <v>-100</v>
      </c>
      <c r="L377" s="28">
        <v>-1</v>
      </c>
      <c r="N377" t="s">
        <v>26</v>
      </c>
      <c r="R377" t="s">
        <v>768</v>
      </c>
      <c r="S377" t="s">
        <v>769</v>
      </c>
    </row>
    <row r="378" spans="1:21" x14ac:dyDescent="0.25">
      <c r="A378" s="33">
        <v>46140.956755173611</v>
      </c>
      <c r="B378" s="1">
        <v>46140</v>
      </c>
      <c r="C378" t="s">
        <v>23</v>
      </c>
      <c r="D378" t="s">
        <v>30</v>
      </c>
      <c r="E378" t="s">
        <v>31</v>
      </c>
      <c r="F378" t="s">
        <v>32</v>
      </c>
      <c r="G378" t="s">
        <v>205</v>
      </c>
      <c r="H378" t="s">
        <v>206</v>
      </c>
      <c r="I378">
        <v>18</v>
      </c>
      <c r="J378">
        <v>2.601</v>
      </c>
      <c r="K378">
        <v>-46.82</v>
      </c>
      <c r="L378" s="28">
        <v>-1</v>
      </c>
      <c r="N378" t="s">
        <v>26</v>
      </c>
      <c r="R378" t="s">
        <v>770</v>
      </c>
      <c r="S378" t="s">
        <v>771</v>
      </c>
    </row>
    <row r="379" spans="1:21" x14ac:dyDescent="0.25">
      <c r="A379" s="33">
        <v>46140.956755196763</v>
      </c>
      <c r="B379" s="1">
        <v>46140</v>
      </c>
      <c r="C379" t="s">
        <v>23</v>
      </c>
      <c r="D379" t="s">
        <v>30</v>
      </c>
      <c r="E379" t="s">
        <v>31</v>
      </c>
      <c r="F379" t="s">
        <v>32</v>
      </c>
      <c r="G379" t="s">
        <v>205</v>
      </c>
      <c r="H379" t="s">
        <v>206</v>
      </c>
      <c r="I379">
        <v>0.45444000000000001</v>
      </c>
      <c r="J379">
        <v>2.601</v>
      </c>
      <c r="K379">
        <v>-1.18</v>
      </c>
      <c r="N379" t="s">
        <v>26</v>
      </c>
      <c r="R379" t="s">
        <v>772</v>
      </c>
      <c r="S379" t="s">
        <v>773</v>
      </c>
    </row>
    <row r="380" spans="1:21" x14ac:dyDescent="0.25">
      <c r="A380" s="33">
        <v>46140.957243087352</v>
      </c>
      <c r="B380" s="1">
        <v>46140</v>
      </c>
      <c r="C380" t="s">
        <v>23</v>
      </c>
      <c r="D380" t="s">
        <v>24</v>
      </c>
      <c r="E380" t="s">
        <v>25</v>
      </c>
      <c r="G380" t="s">
        <v>774</v>
      </c>
      <c r="K380">
        <v>100</v>
      </c>
      <c r="N380" t="s">
        <v>26</v>
      </c>
      <c r="R380" t="s">
        <v>246</v>
      </c>
      <c r="S380" t="s">
        <v>775</v>
      </c>
      <c r="T380" t="s">
        <v>774</v>
      </c>
      <c r="U380" t="s">
        <v>776</v>
      </c>
    </row>
    <row r="381" spans="1:21" x14ac:dyDescent="0.25">
      <c r="A381" s="33">
        <v>46140.957447106477</v>
      </c>
      <c r="B381" s="1">
        <v>46140</v>
      </c>
      <c r="C381" t="s">
        <v>23</v>
      </c>
      <c r="D381" t="s">
        <v>30</v>
      </c>
      <c r="E381" t="s">
        <v>31</v>
      </c>
      <c r="F381" t="s">
        <v>32</v>
      </c>
      <c r="G381" t="s">
        <v>154</v>
      </c>
      <c r="H381" t="s">
        <v>155</v>
      </c>
      <c r="I381">
        <v>0.38503700000000002</v>
      </c>
      <c r="J381">
        <v>15.505000000000001</v>
      </c>
      <c r="K381">
        <v>-5.97</v>
      </c>
      <c r="N381" t="s">
        <v>26</v>
      </c>
      <c r="R381" t="s">
        <v>777</v>
      </c>
      <c r="S381" t="s">
        <v>778</v>
      </c>
    </row>
    <row r="382" spans="1:21" x14ac:dyDescent="0.25">
      <c r="A382" s="33">
        <v>46140.957447129629</v>
      </c>
      <c r="B382" s="1">
        <v>46140</v>
      </c>
      <c r="C382" t="s">
        <v>23</v>
      </c>
      <c r="D382" t="s">
        <v>30</v>
      </c>
      <c r="E382" t="s">
        <v>31</v>
      </c>
      <c r="F382" t="s">
        <v>32</v>
      </c>
      <c r="G382" t="s">
        <v>154</v>
      </c>
      <c r="H382" t="s">
        <v>155</v>
      </c>
      <c r="I382">
        <v>6</v>
      </c>
      <c r="J382">
        <v>15.505000000000001</v>
      </c>
      <c r="K382">
        <v>-93.03</v>
      </c>
      <c r="L382" s="28">
        <v>-1</v>
      </c>
      <c r="N382" t="s">
        <v>26</v>
      </c>
      <c r="R382" t="s">
        <v>779</v>
      </c>
      <c r="S382" t="s">
        <v>780</v>
      </c>
    </row>
    <row r="383" spans="1:21" x14ac:dyDescent="0.25">
      <c r="A383" s="33">
        <v>46141.425210789181</v>
      </c>
      <c r="B383" s="1">
        <v>46141</v>
      </c>
      <c r="C383" t="s">
        <v>23</v>
      </c>
      <c r="D383" t="s">
        <v>24</v>
      </c>
      <c r="E383" t="s">
        <v>178</v>
      </c>
      <c r="F383" t="s">
        <v>32</v>
      </c>
      <c r="G383" t="s">
        <v>262</v>
      </c>
      <c r="H383" t="s">
        <v>263</v>
      </c>
      <c r="I383">
        <v>5.5052190000000003</v>
      </c>
      <c r="K383">
        <v>0.61</v>
      </c>
      <c r="N383" t="s">
        <v>26</v>
      </c>
      <c r="R383" t="s">
        <v>781</v>
      </c>
      <c r="S383" t="s">
        <v>782</v>
      </c>
    </row>
    <row r="384" spans="1:21" x14ac:dyDescent="0.25">
      <c r="A384" s="33">
        <v>46141.429128678443</v>
      </c>
      <c r="B384" s="1">
        <v>46141</v>
      </c>
      <c r="C384" t="s">
        <v>23</v>
      </c>
      <c r="D384" t="s">
        <v>24</v>
      </c>
      <c r="E384" t="s">
        <v>25</v>
      </c>
      <c r="G384" t="s">
        <v>774</v>
      </c>
      <c r="K384">
        <v>201</v>
      </c>
      <c r="N384" t="s">
        <v>26</v>
      </c>
      <c r="R384" t="s">
        <v>246</v>
      </c>
      <c r="S384" t="s">
        <v>783</v>
      </c>
      <c r="T384" t="s">
        <v>774</v>
      </c>
      <c r="U384" t="s">
        <v>776</v>
      </c>
    </row>
    <row r="385" spans="1:21" x14ac:dyDescent="0.25">
      <c r="A385" s="33">
        <v>46141.429223240739</v>
      </c>
      <c r="B385" s="1">
        <v>46141</v>
      </c>
      <c r="C385" t="s">
        <v>23</v>
      </c>
      <c r="D385" t="s">
        <v>30</v>
      </c>
      <c r="E385" t="s">
        <v>31</v>
      </c>
      <c r="F385" t="s">
        <v>32</v>
      </c>
      <c r="G385" t="s">
        <v>262</v>
      </c>
      <c r="H385" t="s">
        <v>263</v>
      </c>
      <c r="I385">
        <v>5</v>
      </c>
      <c r="J385">
        <v>36.450000000000003</v>
      </c>
      <c r="K385">
        <v>-182.25</v>
      </c>
      <c r="L385" s="28">
        <v>-1</v>
      </c>
      <c r="N385" t="s">
        <v>26</v>
      </c>
      <c r="R385" t="s">
        <v>784</v>
      </c>
      <c r="S385" t="s">
        <v>785</v>
      </c>
    </row>
    <row r="386" spans="1:21" x14ac:dyDescent="0.25">
      <c r="A386" s="33">
        <v>46141.429223252308</v>
      </c>
      <c r="B386" s="1">
        <v>46141</v>
      </c>
      <c r="C386" t="s">
        <v>23</v>
      </c>
      <c r="D386" t="s">
        <v>30</v>
      </c>
      <c r="E386" t="s">
        <v>31</v>
      </c>
      <c r="F386" t="s">
        <v>32</v>
      </c>
      <c r="G386" t="s">
        <v>262</v>
      </c>
      <c r="H386" t="s">
        <v>263</v>
      </c>
      <c r="I386">
        <v>0.48696800000000001</v>
      </c>
      <c r="J386">
        <v>36.450000000000003</v>
      </c>
      <c r="K386">
        <v>-17.75</v>
      </c>
      <c r="N386" t="s">
        <v>26</v>
      </c>
      <c r="R386" t="s">
        <v>786</v>
      </c>
      <c r="S386" t="s">
        <v>787</v>
      </c>
    </row>
    <row r="387" spans="1:21" x14ac:dyDescent="0.25">
      <c r="A387" s="33">
        <v>46142.898164664351</v>
      </c>
      <c r="B387" s="1">
        <v>46142</v>
      </c>
      <c r="C387" t="s">
        <v>23</v>
      </c>
      <c r="D387" t="s">
        <v>30</v>
      </c>
      <c r="E387" t="s">
        <v>31</v>
      </c>
      <c r="F387" t="s">
        <v>32</v>
      </c>
      <c r="G387" t="s">
        <v>205</v>
      </c>
      <c r="H387" t="s">
        <v>206</v>
      </c>
      <c r="I387">
        <v>0.935581</v>
      </c>
      <c r="J387">
        <v>2.6389999999999998</v>
      </c>
      <c r="K387">
        <v>-2.4700000000000002</v>
      </c>
      <c r="N387" t="s">
        <v>26</v>
      </c>
      <c r="R387" t="s">
        <v>788</v>
      </c>
      <c r="S387" t="s">
        <v>789</v>
      </c>
    </row>
    <row r="388" spans="1:21" x14ac:dyDescent="0.25">
      <c r="A388" s="33">
        <v>46142.898164687504</v>
      </c>
      <c r="B388" s="1">
        <v>46142</v>
      </c>
      <c r="C388" t="s">
        <v>23</v>
      </c>
      <c r="D388" t="s">
        <v>30</v>
      </c>
      <c r="E388" t="s">
        <v>31</v>
      </c>
      <c r="F388" t="s">
        <v>32</v>
      </c>
      <c r="G388" t="s">
        <v>205</v>
      </c>
      <c r="H388" t="s">
        <v>206</v>
      </c>
      <c r="I388">
        <v>29</v>
      </c>
      <c r="J388">
        <v>2.6389999999999998</v>
      </c>
      <c r="K388">
        <v>-76.53</v>
      </c>
      <c r="L388" s="28">
        <v>-1</v>
      </c>
      <c r="N388" t="s">
        <v>26</v>
      </c>
      <c r="R388" t="s">
        <v>790</v>
      </c>
      <c r="S388" t="s">
        <v>791</v>
      </c>
    </row>
    <row r="389" spans="1:21" x14ac:dyDescent="0.25">
      <c r="A389" s="33">
        <v>46142.898949995157</v>
      </c>
      <c r="B389" s="1">
        <v>46142</v>
      </c>
      <c r="C389" t="s">
        <v>23</v>
      </c>
      <c r="D389" t="s">
        <v>24</v>
      </c>
      <c r="E389" t="s">
        <v>25</v>
      </c>
      <c r="G389" t="s">
        <v>774</v>
      </c>
      <c r="K389">
        <v>501</v>
      </c>
      <c r="N389" t="s">
        <v>26</v>
      </c>
      <c r="R389" t="s">
        <v>246</v>
      </c>
      <c r="S389" t="s">
        <v>792</v>
      </c>
      <c r="T389" t="s">
        <v>774</v>
      </c>
      <c r="U389" t="s">
        <v>776</v>
      </c>
    </row>
    <row r="390" spans="1:21" x14ac:dyDescent="0.25">
      <c r="A390" s="33">
        <v>46142.898061314583</v>
      </c>
      <c r="B390" s="1">
        <v>46142</v>
      </c>
      <c r="C390" t="s">
        <v>23</v>
      </c>
      <c r="D390" t="s">
        <v>24</v>
      </c>
      <c r="E390" t="s">
        <v>25</v>
      </c>
      <c r="G390" t="s">
        <v>774</v>
      </c>
      <c r="K390">
        <v>80</v>
      </c>
      <c r="N390" t="s">
        <v>26</v>
      </c>
      <c r="R390" t="s">
        <v>246</v>
      </c>
      <c r="S390" t="s">
        <v>793</v>
      </c>
      <c r="T390" t="s">
        <v>774</v>
      </c>
      <c r="U390" t="s">
        <v>776</v>
      </c>
    </row>
    <row r="391" spans="1:21" x14ac:dyDescent="0.25">
      <c r="A391" s="33">
        <v>46142.901062280092</v>
      </c>
      <c r="B391" s="1">
        <v>46142</v>
      </c>
      <c r="C391" t="s">
        <v>23</v>
      </c>
      <c r="D391" t="s">
        <v>30</v>
      </c>
      <c r="E391" t="s">
        <v>31</v>
      </c>
      <c r="F391" t="s">
        <v>32</v>
      </c>
      <c r="G391" t="s">
        <v>515</v>
      </c>
      <c r="H391" t="s">
        <v>516</v>
      </c>
      <c r="I391">
        <v>0.83085299999999995</v>
      </c>
      <c r="J391">
        <v>12.77</v>
      </c>
      <c r="K391">
        <v>-10.61</v>
      </c>
      <c r="N391" t="s">
        <v>26</v>
      </c>
      <c r="R391" t="s">
        <v>794</v>
      </c>
      <c r="S391" t="s">
        <v>795</v>
      </c>
    </row>
    <row r="392" spans="1:21" x14ac:dyDescent="0.25">
      <c r="A392" s="33">
        <v>46142.901062291668</v>
      </c>
      <c r="B392" s="1">
        <v>46142</v>
      </c>
      <c r="C392" t="s">
        <v>23</v>
      </c>
      <c r="D392" t="s">
        <v>30</v>
      </c>
      <c r="E392" t="s">
        <v>31</v>
      </c>
      <c r="F392" t="s">
        <v>32</v>
      </c>
      <c r="G392" t="s">
        <v>515</v>
      </c>
      <c r="H392" t="s">
        <v>516</v>
      </c>
      <c r="I392">
        <v>7</v>
      </c>
      <c r="J392">
        <v>12.77</v>
      </c>
      <c r="K392">
        <v>-89.39</v>
      </c>
      <c r="L392" s="28">
        <v>-1</v>
      </c>
      <c r="N392" t="s">
        <v>26</v>
      </c>
      <c r="R392" t="s">
        <v>796</v>
      </c>
      <c r="S392" t="s">
        <v>797</v>
      </c>
    </row>
    <row r="393" spans="1:21" x14ac:dyDescent="0.25">
      <c r="A393" s="33">
        <v>46142.906161949402</v>
      </c>
      <c r="B393" s="1">
        <v>46142</v>
      </c>
      <c r="C393" t="s">
        <v>23</v>
      </c>
      <c r="D393" t="s">
        <v>24</v>
      </c>
      <c r="E393" t="s">
        <v>25</v>
      </c>
      <c r="G393" t="s">
        <v>774</v>
      </c>
      <c r="K393">
        <v>129.59</v>
      </c>
      <c r="N393" t="s">
        <v>26</v>
      </c>
      <c r="R393" t="s">
        <v>246</v>
      </c>
      <c r="S393" t="s">
        <v>798</v>
      </c>
      <c r="T393" t="s">
        <v>774</v>
      </c>
      <c r="U393" t="s">
        <v>776</v>
      </c>
    </row>
    <row r="394" spans="1:21" x14ac:dyDescent="0.25">
      <c r="A394" s="33">
        <v>46142.919145335647</v>
      </c>
      <c r="B394" s="1">
        <v>46142</v>
      </c>
      <c r="C394" t="s">
        <v>23</v>
      </c>
      <c r="D394" t="s">
        <v>30</v>
      </c>
      <c r="E394" t="s">
        <v>31</v>
      </c>
      <c r="F394" t="s">
        <v>464</v>
      </c>
      <c r="G394" t="s">
        <v>799</v>
      </c>
      <c r="H394" t="s">
        <v>800</v>
      </c>
      <c r="I394">
        <v>4</v>
      </c>
      <c r="J394">
        <v>122.68</v>
      </c>
      <c r="K394">
        <v>-490.72</v>
      </c>
      <c r="L394" s="28">
        <v>-1</v>
      </c>
      <c r="N394" t="s">
        <v>26</v>
      </c>
      <c r="R394" t="s">
        <v>801</v>
      </c>
      <c r="S394" t="s">
        <v>802</v>
      </c>
    </row>
    <row r="395" spans="1:21" x14ac:dyDescent="0.25">
      <c r="A395" s="33">
        <v>46142.919145370368</v>
      </c>
      <c r="B395" s="1">
        <v>46142</v>
      </c>
      <c r="C395" t="s">
        <v>23</v>
      </c>
      <c r="D395" t="s">
        <v>30</v>
      </c>
      <c r="E395" t="s">
        <v>31</v>
      </c>
      <c r="F395" t="s">
        <v>464</v>
      </c>
      <c r="G395" t="s">
        <v>799</v>
      </c>
      <c r="H395" t="s">
        <v>800</v>
      </c>
      <c r="I395">
        <v>0.312031</v>
      </c>
      <c r="J395">
        <v>122.68</v>
      </c>
      <c r="K395">
        <v>-38.28</v>
      </c>
      <c r="N395" t="s">
        <v>26</v>
      </c>
      <c r="R395" t="s">
        <v>803</v>
      </c>
      <c r="S395" t="s">
        <v>804</v>
      </c>
    </row>
    <row r="396" spans="1:21" x14ac:dyDescent="0.25">
      <c r="A396" s="33">
        <v>46147.521797329042</v>
      </c>
      <c r="B396" s="1">
        <v>46147</v>
      </c>
      <c r="C396" t="s">
        <v>23</v>
      </c>
      <c r="D396" t="s">
        <v>24</v>
      </c>
      <c r="E396" t="s">
        <v>25</v>
      </c>
      <c r="G396" t="s">
        <v>774</v>
      </c>
      <c r="K396">
        <v>100</v>
      </c>
      <c r="N396" t="s">
        <v>26</v>
      </c>
      <c r="R396" t="s">
        <v>246</v>
      </c>
      <c r="S396" t="s">
        <v>805</v>
      </c>
      <c r="T396" t="s">
        <v>774</v>
      </c>
      <c r="U396" t="s">
        <v>776</v>
      </c>
    </row>
    <row r="397" spans="1:21" x14ac:dyDescent="0.25">
      <c r="A397" s="33">
        <v>46147.531566366422</v>
      </c>
      <c r="B397" s="1">
        <v>46147</v>
      </c>
      <c r="C397" t="s">
        <v>23</v>
      </c>
      <c r="D397" t="s">
        <v>24</v>
      </c>
      <c r="E397" t="s">
        <v>25</v>
      </c>
      <c r="G397" t="s">
        <v>774</v>
      </c>
      <c r="K397">
        <v>23.6</v>
      </c>
      <c r="N397" t="s">
        <v>26</v>
      </c>
      <c r="R397" t="s">
        <v>246</v>
      </c>
      <c r="S397" t="s">
        <v>806</v>
      </c>
      <c r="T397" t="s">
        <v>774</v>
      </c>
      <c r="U397" t="s">
        <v>776</v>
      </c>
    </row>
    <row r="398" spans="1:21" x14ac:dyDescent="0.25">
      <c r="A398" s="33">
        <v>46147.532269495729</v>
      </c>
      <c r="B398" s="1">
        <v>46147</v>
      </c>
      <c r="C398" t="s">
        <v>23</v>
      </c>
      <c r="D398" t="s">
        <v>24</v>
      </c>
      <c r="E398" t="s">
        <v>25</v>
      </c>
      <c r="G398" t="s">
        <v>807</v>
      </c>
      <c r="K398">
        <v>0.2</v>
      </c>
      <c r="N398" t="s">
        <v>26</v>
      </c>
      <c r="R398" t="s">
        <v>647</v>
      </c>
      <c r="S398" t="s">
        <v>808</v>
      </c>
      <c r="T398" t="s">
        <v>807</v>
      </c>
      <c r="U398" t="s">
        <v>809</v>
      </c>
    </row>
    <row r="399" spans="1:21" x14ac:dyDescent="0.25">
      <c r="A399" s="33">
        <v>46147.622297392802</v>
      </c>
      <c r="B399" s="1">
        <v>46147</v>
      </c>
      <c r="C399" t="s">
        <v>23</v>
      </c>
      <c r="D399" t="s">
        <v>24</v>
      </c>
      <c r="E399" t="s">
        <v>161</v>
      </c>
      <c r="G399" t="s">
        <v>774</v>
      </c>
      <c r="K399">
        <v>-124</v>
      </c>
      <c r="N399" t="s">
        <v>26</v>
      </c>
      <c r="R399" t="s">
        <v>397</v>
      </c>
      <c r="S399" t="s">
        <v>810</v>
      </c>
      <c r="T399" t="s">
        <v>774</v>
      </c>
      <c r="U399" t="s">
        <v>776</v>
      </c>
    </row>
    <row r="400" spans="1:21" x14ac:dyDescent="0.25">
      <c r="A400" s="33">
        <v>46147.749660474539</v>
      </c>
      <c r="B400" s="1">
        <v>46147</v>
      </c>
      <c r="C400" t="s">
        <v>23</v>
      </c>
      <c r="D400" t="s">
        <v>30</v>
      </c>
      <c r="E400" t="s">
        <v>82</v>
      </c>
      <c r="F400" t="s">
        <v>464</v>
      </c>
      <c r="G400" t="s">
        <v>718</v>
      </c>
      <c r="H400" t="s">
        <v>719</v>
      </c>
      <c r="I400">
        <v>-2</v>
      </c>
      <c r="J400">
        <v>228.3</v>
      </c>
      <c r="K400">
        <v>456.6</v>
      </c>
      <c r="L400" s="28">
        <v>-1</v>
      </c>
      <c r="N400" t="s">
        <v>26</v>
      </c>
      <c r="R400" t="s">
        <v>811</v>
      </c>
      <c r="S400" t="s">
        <v>812</v>
      </c>
    </row>
    <row r="401" spans="1:21" x14ac:dyDescent="0.25">
      <c r="A401" s="33">
        <v>46147.749660497677</v>
      </c>
      <c r="B401" s="1">
        <v>46147</v>
      </c>
      <c r="C401" t="s">
        <v>23</v>
      </c>
      <c r="D401" t="s">
        <v>30</v>
      </c>
      <c r="E401" t="s">
        <v>82</v>
      </c>
      <c r="F401" t="s">
        <v>464</v>
      </c>
      <c r="G401" t="s">
        <v>718</v>
      </c>
      <c r="H401" t="s">
        <v>719</v>
      </c>
      <c r="I401">
        <v>-0.21906700000000001</v>
      </c>
      <c r="J401">
        <v>228.3</v>
      </c>
      <c r="K401">
        <v>50.01</v>
      </c>
      <c r="N401" t="s">
        <v>26</v>
      </c>
      <c r="R401" t="s">
        <v>813</v>
      </c>
      <c r="S401" t="s">
        <v>814</v>
      </c>
    </row>
    <row r="402" spans="1:21" x14ac:dyDescent="0.25">
      <c r="A402" s="33">
        <v>46147.749978819447</v>
      </c>
      <c r="B402" s="1">
        <v>46147</v>
      </c>
      <c r="C402" t="s">
        <v>23</v>
      </c>
      <c r="D402" t="s">
        <v>30</v>
      </c>
      <c r="E402" t="s">
        <v>31</v>
      </c>
      <c r="F402" t="s">
        <v>464</v>
      </c>
      <c r="G402" t="s">
        <v>815</v>
      </c>
      <c r="H402" t="s">
        <v>816</v>
      </c>
      <c r="I402">
        <v>1</v>
      </c>
      <c r="J402">
        <v>297.7</v>
      </c>
      <c r="K402">
        <v>-297.7</v>
      </c>
      <c r="L402" s="28">
        <v>-1</v>
      </c>
      <c r="N402" t="s">
        <v>26</v>
      </c>
      <c r="R402" t="s">
        <v>817</v>
      </c>
      <c r="S402" t="s">
        <v>818</v>
      </c>
    </row>
    <row r="403" spans="1:21" x14ac:dyDescent="0.25">
      <c r="A403" s="33">
        <v>46147.749978831023</v>
      </c>
      <c r="B403" s="1">
        <v>46147</v>
      </c>
      <c r="C403" t="s">
        <v>23</v>
      </c>
      <c r="D403" t="s">
        <v>30</v>
      </c>
      <c r="E403" t="s">
        <v>31</v>
      </c>
      <c r="F403" t="s">
        <v>464</v>
      </c>
      <c r="G403" t="s">
        <v>815</v>
      </c>
      <c r="H403" t="s">
        <v>816</v>
      </c>
      <c r="I403">
        <v>0.692411</v>
      </c>
      <c r="J403">
        <v>297.7</v>
      </c>
      <c r="K403">
        <v>-206.13</v>
      </c>
      <c r="N403" t="s">
        <v>26</v>
      </c>
      <c r="R403" t="s">
        <v>819</v>
      </c>
      <c r="S403" t="s">
        <v>820</v>
      </c>
    </row>
    <row r="404" spans="1:21" x14ac:dyDescent="0.25">
      <c r="A404" s="33">
        <v>46147.867598217592</v>
      </c>
      <c r="B404" s="1">
        <v>46147</v>
      </c>
      <c r="C404" t="s">
        <v>23</v>
      </c>
      <c r="D404" t="s">
        <v>30</v>
      </c>
      <c r="E404" t="s">
        <v>82</v>
      </c>
      <c r="F404" t="s">
        <v>32</v>
      </c>
      <c r="G404" t="s">
        <v>154</v>
      </c>
      <c r="H404" t="s">
        <v>155</v>
      </c>
      <c r="I404">
        <v>-0.84973299999999996</v>
      </c>
      <c r="J404">
        <v>18.475000000000001</v>
      </c>
      <c r="K404">
        <v>15.7</v>
      </c>
      <c r="N404" t="s">
        <v>26</v>
      </c>
      <c r="R404" t="s">
        <v>821</v>
      </c>
      <c r="S404" t="s">
        <v>822</v>
      </c>
    </row>
    <row r="405" spans="1:21" x14ac:dyDescent="0.25">
      <c r="A405" s="33">
        <v>46147.867598252313</v>
      </c>
      <c r="B405" s="1">
        <v>46147</v>
      </c>
      <c r="C405" t="s">
        <v>23</v>
      </c>
      <c r="D405" t="s">
        <v>30</v>
      </c>
      <c r="E405" t="s">
        <v>82</v>
      </c>
      <c r="F405" t="s">
        <v>32</v>
      </c>
      <c r="G405" t="s">
        <v>154</v>
      </c>
      <c r="H405" t="s">
        <v>155</v>
      </c>
      <c r="I405">
        <v>-19</v>
      </c>
      <c r="J405">
        <v>18.475000000000001</v>
      </c>
      <c r="K405">
        <v>351.03</v>
      </c>
      <c r="L405" s="28">
        <v>-1</v>
      </c>
      <c r="N405" t="s">
        <v>26</v>
      </c>
      <c r="R405" t="s">
        <v>823</v>
      </c>
      <c r="S405" t="s">
        <v>824</v>
      </c>
    </row>
    <row r="406" spans="1:21" x14ac:dyDescent="0.25">
      <c r="A406" s="33">
        <v>46147.867761365742</v>
      </c>
      <c r="B406" s="1">
        <v>46147</v>
      </c>
      <c r="C406" t="s">
        <v>23</v>
      </c>
      <c r="D406" t="s">
        <v>30</v>
      </c>
      <c r="E406" t="s">
        <v>82</v>
      </c>
      <c r="F406" t="s">
        <v>32</v>
      </c>
      <c r="G406" t="s">
        <v>205</v>
      </c>
      <c r="H406" t="s">
        <v>206</v>
      </c>
      <c r="I406">
        <v>-0.269513</v>
      </c>
      <c r="J406">
        <v>2.8149999999999999</v>
      </c>
      <c r="K406">
        <v>0.76</v>
      </c>
      <c r="N406" t="s">
        <v>26</v>
      </c>
      <c r="R406" t="s">
        <v>825</v>
      </c>
      <c r="S406" t="s">
        <v>826</v>
      </c>
    </row>
    <row r="407" spans="1:21" x14ac:dyDescent="0.25">
      <c r="A407" s="33">
        <v>46147.867761400463</v>
      </c>
      <c r="B407" s="1">
        <v>46147</v>
      </c>
      <c r="C407" t="s">
        <v>23</v>
      </c>
      <c r="D407" t="s">
        <v>30</v>
      </c>
      <c r="E407" t="s">
        <v>82</v>
      </c>
      <c r="F407" t="s">
        <v>32</v>
      </c>
      <c r="G407" t="s">
        <v>205</v>
      </c>
      <c r="H407" t="s">
        <v>206</v>
      </c>
      <c r="I407">
        <v>-99</v>
      </c>
      <c r="J407">
        <v>2.8149999999999999</v>
      </c>
      <c r="K407">
        <v>278.69</v>
      </c>
      <c r="L407" s="28">
        <v>-1</v>
      </c>
      <c r="N407" t="s">
        <v>26</v>
      </c>
      <c r="R407" t="s">
        <v>827</v>
      </c>
      <c r="S407" t="s">
        <v>828</v>
      </c>
    </row>
    <row r="408" spans="1:21" x14ac:dyDescent="0.25">
      <c r="A408" s="33">
        <v>46148.513449525461</v>
      </c>
      <c r="B408" s="1">
        <v>46148</v>
      </c>
      <c r="C408" t="s">
        <v>23</v>
      </c>
      <c r="D408" t="s">
        <v>30</v>
      </c>
      <c r="E408" t="s">
        <v>31</v>
      </c>
      <c r="F408" t="s">
        <v>32</v>
      </c>
      <c r="G408" t="s">
        <v>590</v>
      </c>
      <c r="H408" t="s">
        <v>591</v>
      </c>
      <c r="I408">
        <v>15</v>
      </c>
      <c r="J408">
        <v>6.327</v>
      </c>
      <c r="K408">
        <v>-94.91</v>
      </c>
      <c r="L408" s="28">
        <v>-1</v>
      </c>
      <c r="N408" t="s">
        <v>26</v>
      </c>
      <c r="R408" t="s">
        <v>829</v>
      </c>
      <c r="S408" t="s">
        <v>830</v>
      </c>
    </row>
    <row r="409" spans="1:21" x14ac:dyDescent="0.25">
      <c r="A409" s="33">
        <v>46148.513449641207</v>
      </c>
      <c r="B409" s="1">
        <v>46148</v>
      </c>
      <c r="C409" t="s">
        <v>23</v>
      </c>
      <c r="D409" t="s">
        <v>30</v>
      </c>
      <c r="E409" t="s">
        <v>31</v>
      </c>
      <c r="F409" t="s">
        <v>32</v>
      </c>
      <c r="G409" t="s">
        <v>590</v>
      </c>
      <c r="H409" t="s">
        <v>591</v>
      </c>
      <c r="I409">
        <v>0.80527800000000005</v>
      </c>
      <c r="J409">
        <v>6.327</v>
      </c>
      <c r="K409">
        <v>-5.09</v>
      </c>
      <c r="N409" t="s">
        <v>26</v>
      </c>
      <c r="R409" t="s">
        <v>831</v>
      </c>
      <c r="S409" t="s">
        <v>832</v>
      </c>
    </row>
    <row r="410" spans="1:21" x14ac:dyDescent="0.25">
      <c r="A410" s="33">
        <v>46148.564931550929</v>
      </c>
      <c r="B410" s="1">
        <v>46148</v>
      </c>
      <c r="C410" t="s">
        <v>23</v>
      </c>
      <c r="D410" t="s">
        <v>30</v>
      </c>
      <c r="E410" t="s">
        <v>31</v>
      </c>
      <c r="F410" t="s">
        <v>32</v>
      </c>
      <c r="G410" t="s">
        <v>154</v>
      </c>
      <c r="H410" t="s">
        <v>155</v>
      </c>
      <c r="I410">
        <v>18</v>
      </c>
      <c r="J410">
        <v>18.93</v>
      </c>
      <c r="K410">
        <v>-340.74</v>
      </c>
      <c r="L410" s="28">
        <v>-1</v>
      </c>
      <c r="N410" t="s">
        <v>26</v>
      </c>
      <c r="R410" t="s">
        <v>833</v>
      </c>
      <c r="S410" t="s">
        <v>834</v>
      </c>
    </row>
    <row r="411" spans="1:21" x14ac:dyDescent="0.25">
      <c r="A411" s="33">
        <v>46148.56493158565</v>
      </c>
      <c r="B411" s="1">
        <v>46148</v>
      </c>
      <c r="C411" t="s">
        <v>23</v>
      </c>
      <c r="D411" t="s">
        <v>30</v>
      </c>
      <c r="E411" t="s">
        <v>31</v>
      </c>
      <c r="F411" t="s">
        <v>32</v>
      </c>
      <c r="G411" t="s">
        <v>154</v>
      </c>
      <c r="H411" t="s">
        <v>155</v>
      </c>
      <c r="I411">
        <v>0.48916999999999999</v>
      </c>
      <c r="J411">
        <v>18.93</v>
      </c>
      <c r="K411">
        <v>-9.26</v>
      </c>
      <c r="N411" t="s">
        <v>26</v>
      </c>
      <c r="R411" t="s">
        <v>835</v>
      </c>
      <c r="S411" t="s">
        <v>836</v>
      </c>
    </row>
    <row r="412" spans="1:21" x14ac:dyDescent="0.25">
      <c r="A412" s="33">
        <v>46148.566242314817</v>
      </c>
      <c r="B412" s="1">
        <v>46148</v>
      </c>
      <c r="C412" t="s">
        <v>23</v>
      </c>
      <c r="D412" t="s">
        <v>30</v>
      </c>
      <c r="E412" t="s">
        <v>31</v>
      </c>
      <c r="F412" t="s">
        <v>464</v>
      </c>
      <c r="G412" t="s">
        <v>465</v>
      </c>
      <c r="H412" t="s">
        <v>466</v>
      </c>
      <c r="I412">
        <v>1</v>
      </c>
      <c r="J412">
        <v>119.34</v>
      </c>
      <c r="K412">
        <v>-119.34</v>
      </c>
      <c r="L412" s="28">
        <v>-1</v>
      </c>
      <c r="N412" t="s">
        <v>26</v>
      </c>
      <c r="R412" t="s">
        <v>469</v>
      </c>
      <c r="S412" t="s">
        <v>837</v>
      </c>
    </row>
    <row r="413" spans="1:21" x14ac:dyDescent="0.25">
      <c r="A413" s="33">
        <v>46148.566242476852</v>
      </c>
      <c r="B413" s="1">
        <v>46148</v>
      </c>
      <c r="C413" t="s">
        <v>23</v>
      </c>
      <c r="D413" t="s">
        <v>30</v>
      </c>
      <c r="E413" t="s">
        <v>31</v>
      </c>
      <c r="F413" t="s">
        <v>464</v>
      </c>
      <c r="G413" t="s">
        <v>465</v>
      </c>
      <c r="H413" t="s">
        <v>466</v>
      </c>
      <c r="I413">
        <v>0.256913</v>
      </c>
      <c r="J413">
        <v>119.34</v>
      </c>
      <c r="K413">
        <v>-30.66</v>
      </c>
      <c r="N413" t="s">
        <v>26</v>
      </c>
      <c r="R413" t="s">
        <v>838</v>
      </c>
      <c r="S413" t="s">
        <v>839</v>
      </c>
    </row>
    <row r="414" spans="1:21" x14ac:dyDescent="0.25">
      <c r="A414" s="33">
        <v>46148.569887465281</v>
      </c>
      <c r="B414" s="1">
        <v>46148</v>
      </c>
      <c r="C414" t="s">
        <v>23</v>
      </c>
      <c r="D414" t="s">
        <v>30</v>
      </c>
      <c r="E414" t="s">
        <v>31</v>
      </c>
      <c r="F414" t="s">
        <v>32</v>
      </c>
      <c r="G414" t="s">
        <v>747</v>
      </c>
      <c r="H414" t="s">
        <v>748</v>
      </c>
      <c r="I414">
        <v>0.53756199999999998</v>
      </c>
      <c r="J414">
        <v>74.41</v>
      </c>
      <c r="K414">
        <v>-40</v>
      </c>
      <c r="L414" s="28">
        <v>-1</v>
      </c>
      <c r="N414" t="s">
        <v>26</v>
      </c>
      <c r="R414" t="s">
        <v>840</v>
      </c>
      <c r="S414" t="s">
        <v>841</v>
      </c>
    </row>
    <row r="415" spans="1:21" x14ac:dyDescent="0.25">
      <c r="A415" s="33">
        <v>46148.609894987887</v>
      </c>
      <c r="B415" s="1">
        <v>46148</v>
      </c>
      <c r="C415" t="s">
        <v>23</v>
      </c>
      <c r="D415" t="s">
        <v>24</v>
      </c>
      <c r="E415" t="s">
        <v>25</v>
      </c>
      <c r="G415" t="s">
        <v>774</v>
      </c>
      <c r="K415">
        <v>259.04000000000002</v>
      </c>
      <c r="N415" t="s">
        <v>26</v>
      </c>
      <c r="R415" t="s">
        <v>246</v>
      </c>
      <c r="S415" t="s">
        <v>842</v>
      </c>
      <c r="T415" t="s">
        <v>774</v>
      </c>
      <c r="U415" t="s">
        <v>776</v>
      </c>
    </row>
    <row r="416" spans="1:21" x14ac:dyDescent="0.25">
      <c r="A416" s="33">
        <v>46148.611378055553</v>
      </c>
      <c r="B416" s="1">
        <v>46148</v>
      </c>
      <c r="C416" t="s">
        <v>23</v>
      </c>
      <c r="D416" t="s">
        <v>30</v>
      </c>
      <c r="E416" t="s">
        <v>31</v>
      </c>
      <c r="F416" t="s">
        <v>464</v>
      </c>
      <c r="G416" t="s">
        <v>526</v>
      </c>
      <c r="H416" t="s">
        <v>527</v>
      </c>
      <c r="I416">
        <v>0.38728299999999999</v>
      </c>
      <c r="J416">
        <v>668.76</v>
      </c>
      <c r="K416">
        <v>-259</v>
      </c>
      <c r="L416" s="28">
        <v>-1</v>
      </c>
      <c r="N416" t="s">
        <v>26</v>
      </c>
      <c r="R416" t="s">
        <v>843</v>
      </c>
      <c r="S416" t="s">
        <v>844</v>
      </c>
    </row>
    <row r="417" spans="1:21" x14ac:dyDescent="0.25">
      <c r="A417" s="33">
        <v>46149.469036860253</v>
      </c>
      <c r="B417" s="1">
        <v>46149</v>
      </c>
      <c r="C417" t="s">
        <v>23</v>
      </c>
      <c r="D417" t="s">
        <v>24</v>
      </c>
      <c r="E417" t="s">
        <v>725</v>
      </c>
      <c r="G417" t="s">
        <v>845</v>
      </c>
      <c r="K417">
        <v>-51</v>
      </c>
      <c r="N417" t="s">
        <v>26</v>
      </c>
      <c r="R417" t="s">
        <v>846</v>
      </c>
      <c r="S417" t="s">
        <v>847</v>
      </c>
      <c r="T417" t="s">
        <v>845</v>
      </c>
      <c r="U417" t="s">
        <v>848</v>
      </c>
    </row>
    <row r="418" spans="1:21" x14ac:dyDescent="0.25">
      <c r="A418" s="33">
        <v>46149.468577367312</v>
      </c>
      <c r="B418" s="1">
        <v>46149</v>
      </c>
      <c r="C418" t="s">
        <v>23</v>
      </c>
      <c r="D418" t="s">
        <v>24</v>
      </c>
      <c r="E418" t="s">
        <v>25</v>
      </c>
      <c r="G418" t="s">
        <v>774</v>
      </c>
      <c r="K418">
        <v>153</v>
      </c>
      <c r="N418" t="s">
        <v>26</v>
      </c>
      <c r="R418" t="s">
        <v>246</v>
      </c>
      <c r="S418" t="s">
        <v>849</v>
      </c>
      <c r="T418" t="s">
        <v>774</v>
      </c>
      <c r="U418" t="s">
        <v>776</v>
      </c>
    </row>
    <row r="419" spans="1:21" x14ac:dyDescent="0.25">
      <c r="A419" s="33">
        <v>46149.469865028892</v>
      </c>
      <c r="B419" s="1">
        <v>46149</v>
      </c>
      <c r="C419" t="s">
        <v>23</v>
      </c>
      <c r="D419" t="s">
        <v>24</v>
      </c>
      <c r="E419" t="s">
        <v>725</v>
      </c>
      <c r="G419" t="s">
        <v>850</v>
      </c>
      <c r="K419">
        <v>-51</v>
      </c>
      <c r="N419" t="s">
        <v>26</v>
      </c>
      <c r="R419" t="s">
        <v>726</v>
      </c>
      <c r="S419" t="s">
        <v>851</v>
      </c>
      <c r="T419" t="s">
        <v>850</v>
      </c>
      <c r="U419" t="s">
        <v>852</v>
      </c>
    </row>
    <row r="420" spans="1:21" x14ac:dyDescent="0.25">
      <c r="A420" s="33">
        <v>46149.470895555518</v>
      </c>
      <c r="B420" s="1">
        <v>46149</v>
      </c>
      <c r="C420" t="s">
        <v>23</v>
      </c>
      <c r="D420" t="s">
        <v>24</v>
      </c>
      <c r="E420" t="s">
        <v>725</v>
      </c>
      <c r="G420" t="s">
        <v>853</v>
      </c>
      <c r="K420">
        <v>-51</v>
      </c>
      <c r="N420" t="s">
        <v>26</v>
      </c>
      <c r="R420" t="s">
        <v>854</v>
      </c>
      <c r="S420" t="s">
        <v>855</v>
      </c>
      <c r="T420" t="s">
        <v>853</v>
      </c>
      <c r="U420" t="s">
        <v>856</v>
      </c>
    </row>
    <row r="421" spans="1:21" x14ac:dyDescent="0.25">
      <c r="A421" s="33">
        <v>46149.717931538064</v>
      </c>
      <c r="B421" s="1">
        <v>46149</v>
      </c>
      <c r="C421" t="s">
        <v>23</v>
      </c>
      <c r="D421" t="s">
        <v>24</v>
      </c>
      <c r="E421" t="s">
        <v>25</v>
      </c>
      <c r="G421" t="s">
        <v>774</v>
      </c>
      <c r="K421">
        <v>77</v>
      </c>
      <c r="N421" t="s">
        <v>26</v>
      </c>
      <c r="R421" t="s">
        <v>246</v>
      </c>
      <c r="S421" t="s">
        <v>857</v>
      </c>
      <c r="T421" t="s">
        <v>774</v>
      </c>
      <c r="U421" t="s">
        <v>776</v>
      </c>
    </row>
    <row r="422" spans="1:21" x14ac:dyDescent="0.25">
      <c r="A422" s="33">
        <v>46149.955171590693</v>
      </c>
      <c r="B422" s="1">
        <v>46149</v>
      </c>
      <c r="C422" t="s">
        <v>23</v>
      </c>
      <c r="D422" t="s">
        <v>24</v>
      </c>
      <c r="E422" t="s">
        <v>25</v>
      </c>
      <c r="G422" t="s">
        <v>774</v>
      </c>
      <c r="K422">
        <v>224</v>
      </c>
      <c r="N422" t="s">
        <v>26</v>
      </c>
      <c r="R422" t="s">
        <v>246</v>
      </c>
      <c r="S422" t="s">
        <v>858</v>
      </c>
      <c r="T422" t="s">
        <v>774</v>
      </c>
      <c r="U422" t="s">
        <v>776</v>
      </c>
    </row>
    <row r="423" spans="1:21" x14ac:dyDescent="0.25">
      <c r="A423" s="33">
        <v>46149.955635787039</v>
      </c>
      <c r="B423" s="1">
        <v>46149</v>
      </c>
      <c r="C423" t="s">
        <v>23</v>
      </c>
      <c r="D423" t="s">
        <v>30</v>
      </c>
      <c r="E423" t="s">
        <v>31</v>
      </c>
      <c r="F423" t="s">
        <v>32</v>
      </c>
      <c r="G423" t="s">
        <v>640</v>
      </c>
      <c r="H423" t="s">
        <v>641</v>
      </c>
      <c r="I423">
        <v>0.55612099999999998</v>
      </c>
      <c r="J423">
        <v>9.8179999999999996</v>
      </c>
      <c r="K423">
        <v>-5.46</v>
      </c>
      <c r="N423" t="s">
        <v>26</v>
      </c>
      <c r="R423" t="s">
        <v>859</v>
      </c>
      <c r="S423" t="s">
        <v>860</v>
      </c>
    </row>
    <row r="424" spans="1:21" x14ac:dyDescent="0.25">
      <c r="A424" s="33">
        <v>46149.955635787039</v>
      </c>
      <c r="B424" s="1">
        <v>46149</v>
      </c>
      <c r="C424" t="s">
        <v>23</v>
      </c>
      <c r="D424" t="s">
        <v>30</v>
      </c>
      <c r="E424" t="s">
        <v>31</v>
      </c>
      <c r="F424" t="s">
        <v>32</v>
      </c>
      <c r="G424" t="s">
        <v>640</v>
      </c>
      <c r="H424" t="s">
        <v>641</v>
      </c>
      <c r="I424">
        <v>30</v>
      </c>
      <c r="J424">
        <v>9.8179999999999996</v>
      </c>
      <c r="K424">
        <v>-294.54000000000002</v>
      </c>
      <c r="L424" s="28">
        <v>-1</v>
      </c>
      <c r="N424" t="s">
        <v>26</v>
      </c>
      <c r="R424" t="s">
        <v>861</v>
      </c>
      <c r="S424" t="s">
        <v>862</v>
      </c>
    </row>
    <row r="425" spans="1:21" x14ac:dyDescent="0.25">
      <c r="A425" s="33">
        <v>46153.653081759781</v>
      </c>
      <c r="B425" s="1">
        <v>46153</v>
      </c>
      <c r="C425" t="s">
        <v>23</v>
      </c>
      <c r="D425" t="s">
        <v>24</v>
      </c>
      <c r="E425" t="s">
        <v>25</v>
      </c>
      <c r="G425" t="s">
        <v>774</v>
      </c>
      <c r="K425">
        <v>201</v>
      </c>
      <c r="N425" t="s">
        <v>26</v>
      </c>
      <c r="R425" t="s">
        <v>246</v>
      </c>
      <c r="S425" t="s">
        <v>863</v>
      </c>
      <c r="T425" t="s">
        <v>774</v>
      </c>
      <c r="U425" t="s">
        <v>776</v>
      </c>
    </row>
    <row r="426" spans="1:21" x14ac:dyDescent="0.25">
      <c r="A426" s="33">
        <v>46153.653199756947</v>
      </c>
      <c r="B426" s="1">
        <v>46153</v>
      </c>
      <c r="C426" t="s">
        <v>23</v>
      </c>
      <c r="D426" t="s">
        <v>30</v>
      </c>
      <c r="E426" t="s">
        <v>31</v>
      </c>
      <c r="F426" t="s">
        <v>32</v>
      </c>
      <c r="G426" t="s">
        <v>864</v>
      </c>
      <c r="H426" t="s">
        <v>865</v>
      </c>
      <c r="I426">
        <v>8.2652000000000003E-2</v>
      </c>
      <c r="J426">
        <v>22.02</v>
      </c>
      <c r="K426">
        <v>-1.82</v>
      </c>
      <c r="N426" t="s">
        <v>26</v>
      </c>
      <c r="R426" t="s">
        <v>866</v>
      </c>
      <c r="S426" t="s">
        <v>867</v>
      </c>
    </row>
    <row r="427" spans="1:21" x14ac:dyDescent="0.25">
      <c r="A427" s="33">
        <v>46153.653199756947</v>
      </c>
      <c r="B427" s="1">
        <v>46153</v>
      </c>
      <c r="C427" t="s">
        <v>23</v>
      </c>
      <c r="D427" t="s">
        <v>30</v>
      </c>
      <c r="E427" t="s">
        <v>31</v>
      </c>
      <c r="F427" t="s">
        <v>32</v>
      </c>
      <c r="G427" t="s">
        <v>864</v>
      </c>
      <c r="H427" t="s">
        <v>865</v>
      </c>
      <c r="I427">
        <v>9</v>
      </c>
      <c r="J427">
        <v>22.02</v>
      </c>
      <c r="K427">
        <v>-198.18</v>
      </c>
      <c r="L427" s="28">
        <v>-1</v>
      </c>
      <c r="N427" t="s">
        <v>26</v>
      </c>
      <c r="R427" t="s">
        <v>868</v>
      </c>
      <c r="S427" t="s">
        <v>869</v>
      </c>
    </row>
    <row r="428" spans="1:21" x14ac:dyDescent="0.25">
      <c r="A428" s="33">
        <v>46154.461345231481</v>
      </c>
      <c r="B428" s="1">
        <v>46154</v>
      </c>
      <c r="C428" t="s">
        <v>23</v>
      </c>
      <c r="D428" t="s">
        <v>30</v>
      </c>
      <c r="E428" t="s">
        <v>82</v>
      </c>
      <c r="F428" t="s">
        <v>32</v>
      </c>
      <c r="G428" t="s">
        <v>154</v>
      </c>
      <c r="H428" t="s">
        <v>155</v>
      </c>
      <c r="I428">
        <v>-18</v>
      </c>
      <c r="J428">
        <v>21.4</v>
      </c>
      <c r="K428">
        <v>385.2</v>
      </c>
      <c r="L428" s="28">
        <v>-1</v>
      </c>
      <c r="N428" t="s">
        <v>26</v>
      </c>
      <c r="R428" t="s">
        <v>870</v>
      </c>
      <c r="S428" t="s">
        <v>871</v>
      </c>
    </row>
    <row r="429" spans="1:21" x14ac:dyDescent="0.25">
      <c r="A429" s="33">
        <v>46154.461345243057</v>
      </c>
      <c r="B429" s="1">
        <v>46154</v>
      </c>
      <c r="C429" t="s">
        <v>23</v>
      </c>
      <c r="D429" t="s">
        <v>30</v>
      </c>
      <c r="E429" t="s">
        <v>82</v>
      </c>
      <c r="F429" t="s">
        <v>32</v>
      </c>
      <c r="G429" t="s">
        <v>154</v>
      </c>
      <c r="H429" t="s">
        <v>155</v>
      </c>
      <c r="I429">
        <v>-0.48916999999999999</v>
      </c>
      <c r="J429">
        <v>21.4</v>
      </c>
      <c r="K429">
        <v>10.47</v>
      </c>
      <c r="N429" t="s">
        <v>26</v>
      </c>
      <c r="R429" t="s">
        <v>872</v>
      </c>
      <c r="S429" t="s">
        <v>873</v>
      </c>
    </row>
    <row r="430" spans="1:21" x14ac:dyDescent="0.25">
      <c r="A430" s="33">
        <v>46156.474639722219</v>
      </c>
      <c r="B430" s="1">
        <v>46156</v>
      </c>
      <c r="C430" t="s">
        <v>23</v>
      </c>
      <c r="D430" t="s">
        <v>30</v>
      </c>
      <c r="E430" t="s">
        <v>31</v>
      </c>
      <c r="F430" t="s">
        <v>32</v>
      </c>
      <c r="G430" t="s">
        <v>167</v>
      </c>
      <c r="H430" t="s">
        <v>168</v>
      </c>
      <c r="I430">
        <v>150</v>
      </c>
      <c r="J430">
        <v>1.99</v>
      </c>
      <c r="K430">
        <v>-298.5</v>
      </c>
      <c r="L430" s="28">
        <v>-1</v>
      </c>
      <c r="N430" t="s">
        <v>26</v>
      </c>
      <c r="R430" t="s">
        <v>874</v>
      </c>
      <c r="S430" t="s">
        <v>875</v>
      </c>
    </row>
    <row r="431" spans="1:21" x14ac:dyDescent="0.25">
      <c r="A431" s="33">
        <v>46156.474639722219</v>
      </c>
      <c r="B431" s="1">
        <v>46156</v>
      </c>
      <c r="C431" t="s">
        <v>23</v>
      </c>
      <c r="D431" t="s">
        <v>30</v>
      </c>
      <c r="E431" t="s">
        <v>31</v>
      </c>
      <c r="F431" t="s">
        <v>32</v>
      </c>
      <c r="G431" t="s">
        <v>167</v>
      </c>
      <c r="H431" t="s">
        <v>168</v>
      </c>
      <c r="I431">
        <v>0.75376799999999999</v>
      </c>
      <c r="J431">
        <v>1.99</v>
      </c>
      <c r="K431">
        <v>-1.5</v>
      </c>
      <c r="N431" t="s">
        <v>26</v>
      </c>
      <c r="R431" t="s">
        <v>876</v>
      </c>
      <c r="S431" t="s">
        <v>877</v>
      </c>
    </row>
    <row r="432" spans="1:21" x14ac:dyDescent="0.25">
      <c r="A432" s="33">
        <v>46156.47543726852</v>
      </c>
      <c r="B432" s="1">
        <v>46156</v>
      </c>
      <c r="C432" t="s">
        <v>23</v>
      </c>
      <c r="D432" t="s">
        <v>30</v>
      </c>
      <c r="E432" t="s">
        <v>31</v>
      </c>
      <c r="F432" t="s">
        <v>32</v>
      </c>
      <c r="G432" t="s">
        <v>747</v>
      </c>
      <c r="H432" t="s">
        <v>748</v>
      </c>
      <c r="I432">
        <v>1</v>
      </c>
      <c r="J432">
        <v>75.040000000000006</v>
      </c>
      <c r="K432">
        <v>-75.040000000000006</v>
      </c>
      <c r="L432" s="28">
        <v>-1</v>
      </c>
      <c r="N432" t="s">
        <v>26</v>
      </c>
      <c r="R432" t="s">
        <v>878</v>
      </c>
      <c r="S432" t="s">
        <v>879</v>
      </c>
    </row>
    <row r="433" spans="1:21" x14ac:dyDescent="0.25">
      <c r="A433" s="33">
        <v>46156.47543726852</v>
      </c>
      <c r="B433" s="1">
        <v>46156</v>
      </c>
      <c r="C433" t="s">
        <v>23</v>
      </c>
      <c r="D433" t="s">
        <v>30</v>
      </c>
      <c r="E433" t="s">
        <v>31</v>
      </c>
      <c r="F433" t="s">
        <v>32</v>
      </c>
      <c r="G433" t="s">
        <v>747</v>
      </c>
      <c r="H433" t="s">
        <v>748</v>
      </c>
      <c r="I433">
        <v>0.22601199999999999</v>
      </c>
      <c r="J433">
        <v>75.040000000000006</v>
      </c>
      <c r="K433">
        <v>-16.96</v>
      </c>
      <c r="N433" t="s">
        <v>26</v>
      </c>
      <c r="R433" t="s">
        <v>880</v>
      </c>
      <c r="S433" t="s">
        <v>881</v>
      </c>
    </row>
    <row r="434" spans="1:21" x14ac:dyDescent="0.25">
      <c r="A434" s="33">
        <v>46157.722766990737</v>
      </c>
      <c r="B434" s="1">
        <v>46157</v>
      </c>
      <c r="C434" t="s">
        <v>23</v>
      </c>
      <c r="D434" t="s">
        <v>30</v>
      </c>
      <c r="E434" t="s">
        <v>82</v>
      </c>
      <c r="F434" t="s">
        <v>32</v>
      </c>
      <c r="G434" t="s">
        <v>640</v>
      </c>
      <c r="H434" t="s">
        <v>641</v>
      </c>
      <c r="I434">
        <v>-0.55612099999999998</v>
      </c>
      <c r="J434">
        <v>10.465</v>
      </c>
      <c r="K434">
        <v>5.82</v>
      </c>
      <c r="N434" t="s">
        <v>26</v>
      </c>
      <c r="R434" t="s">
        <v>882</v>
      </c>
      <c r="S434" t="s">
        <v>883</v>
      </c>
    </row>
    <row r="435" spans="1:21" x14ac:dyDescent="0.25">
      <c r="A435" s="33">
        <v>46157.722767013889</v>
      </c>
      <c r="B435" s="1">
        <v>46157</v>
      </c>
      <c r="C435" t="s">
        <v>23</v>
      </c>
      <c r="D435" t="s">
        <v>30</v>
      </c>
      <c r="E435" t="s">
        <v>82</v>
      </c>
      <c r="F435" t="s">
        <v>32</v>
      </c>
      <c r="G435" t="s">
        <v>640</v>
      </c>
      <c r="H435" t="s">
        <v>641</v>
      </c>
      <c r="I435">
        <v>-30</v>
      </c>
      <c r="J435">
        <v>10.465</v>
      </c>
      <c r="K435">
        <v>313.95</v>
      </c>
      <c r="L435" s="28">
        <v>-1</v>
      </c>
      <c r="N435" t="s">
        <v>26</v>
      </c>
      <c r="R435" t="s">
        <v>884</v>
      </c>
      <c r="S435" t="s">
        <v>885</v>
      </c>
    </row>
    <row r="436" spans="1:21" x14ac:dyDescent="0.25">
      <c r="A436" s="33">
        <v>46160.756341817127</v>
      </c>
      <c r="B436" s="1">
        <v>46160</v>
      </c>
      <c r="C436" t="s">
        <v>23</v>
      </c>
      <c r="D436" t="s">
        <v>30</v>
      </c>
      <c r="E436" t="s">
        <v>31</v>
      </c>
      <c r="F436" t="s">
        <v>32</v>
      </c>
      <c r="G436" t="s">
        <v>154</v>
      </c>
      <c r="H436" t="s">
        <v>155</v>
      </c>
      <c r="I436">
        <v>19</v>
      </c>
      <c r="J436">
        <v>16.079999999999998</v>
      </c>
      <c r="K436">
        <v>-305.52</v>
      </c>
      <c r="L436" s="28">
        <v>-1</v>
      </c>
      <c r="N436" t="s">
        <v>26</v>
      </c>
      <c r="R436" t="s">
        <v>886</v>
      </c>
      <c r="S436" t="s">
        <v>887</v>
      </c>
    </row>
    <row r="437" spans="1:21" x14ac:dyDescent="0.25">
      <c r="A437" s="33">
        <v>46160.75634201389</v>
      </c>
      <c r="B437" s="1">
        <v>46160</v>
      </c>
      <c r="C437" t="s">
        <v>23</v>
      </c>
      <c r="D437" t="s">
        <v>30</v>
      </c>
      <c r="E437" t="s">
        <v>31</v>
      </c>
      <c r="F437" t="s">
        <v>32</v>
      </c>
      <c r="G437" t="s">
        <v>154</v>
      </c>
      <c r="H437" t="s">
        <v>155</v>
      </c>
      <c r="I437">
        <v>0.776119</v>
      </c>
      <c r="J437">
        <v>16.079999999999998</v>
      </c>
      <c r="K437">
        <v>-12.48</v>
      </c>
      <c r="N437" t="s">
        <v>26</v>
      </c>
      <c r="R437" t="s">
        <v>888</v>
      </c>
      <c r="S437" t="s">
        <v>889</v>
      </c>
    </row>
    <row r="438" spans="1:21" x14ac:dyDescent="0.25">
      <c r="A438" s="33">
        <v>46160.915041167093</v>
      </c>
      <c r="B438" s="1">
        <v>46160</v>
      </c>
      <c r="C438" t="s">
        <v>23</v>
      </c>
      <c r="D438" t="s">
        <v>24</v>
      </c>
      <c r="E438" t="s">
        <v>25</v>
      </c>
      <c r="G438" t="s">
        <v>774</v>
      </c>
      <c r="K438">
        <v>51</v>
      </c>
      <c r="N438" t="s">
        <v>26</v>
      </c>
      <c r="R438" t="s">
        <v>246</v>
      </c>
      <c r="S438" t="s">
        <v>890</v>
      </c>
      <c r="T438" t="s">
        <v>774</v>
      </c>
      <c r="U438" t="s">
        <v>776</v>
      </c>
    </row>
    <row r="439" spans="1:21" x14ac:dyDescent="0.25">
      <c r="A439" s="33">
        <v>46160.916017824071</v>
      </c>
      <c r="B439" s="1">
        <v>46160</v>
      </c>
      <c r="C439" t="s">
        <v>23</v>
      </c>
      <c r="D439" t="s">
        <v>30</v>
      </c>
      <c r="E439" t="s">
        <v>31</v>
      </c>
      <c r="F439" t="s">
        <v>32</v>
      </c>
      <c r="G439" t="s">
        <v>167</v>
      </c>
      <c r="H439" t="s">
        <v>168</v>
      </c>
      <c r="I439">
        <v>0.86652799999999996</v>
      </c>
      <c r="J439">
        <v>1.9330000000000001</v>
      </c>
      <c r="K439">
        <v>-1.67</v>
      </c>
      <c r="N439" t="s">
        <v>26</v>
      </c>
      <c r="R439" t="s">
        <v>891</v>
      </c>
      <c r="S439" t="s">
        <v>892</v>
      </c>
    </row>
    <row r="440" spans="1:21" x14ac:dyDescent="0.25">
      <c r="A440" s="33">
        <v>46160.916017835647</v>
      </c>
      <c r="B440" s="1">
        <v>46160</v>
      </c>
      <c r="C440" t="s">
        <v>23</v>
      </c>
      <c r="D440" t="s">
        <v>30</v>
      </c>
      <c r="E440" t="s">
        <v>31</v>
      </c>
      <c r="F440" t="s">
        <v>32</v>
      </c>
      <c r="G440" t="s">
        <v>167</v>
      </c>
      <c r="H440" t="s">
        <v>168</v>
      </c>
      <c r="I440">
        <v>25</v>
      </c>
      <c r="J440">
        <v>1.9330000000000001</v>
      </c>
      <c r="K440">
        <v>-48.33</v>
      </c>
      <c r="L440" s="28">
        <v>-1</v>
      </c>
      <c r="N440" t="s">
        <v>26</v>
      </c>
      <c r="R440" t="s">
        <v>893</v>
      </c>
      <c r="S440" t="s">
        <v>894</v>
      </c>
    </row>
    <row r="441" spans="1:21" x14ac:dyDescent="0.25">
      <c r="A441" s="33">
        <v>46161.31707137014</v>
      </c>
      <c r="B441" s="1">
        <v>46161</v>
      </c>
      <c r="C441" t="s">
        <v>23</v>
      </c>
      <c r="D441" t="s">
        <v>24</v>
      </c>
      <c r="E441" t="s">
        <v>25</v>
      </c>
      <c r="G441" t="s">
        <v>774</v>
      </c>
      <c r="K441">
        <v>51</v>
      </c>
      <c r="N441" t="s">
        <v>26</v>
      </c>
      <c r="R441" t="s">
        <v>246</v>
      </c>
      <c r="S441" t="s">
        <v>895</v>
      </c>
      <c r="T441" t="s">
        <v>774</v>
      </c>
      <c r="U441" t="s">
        <v>776</v>
      </c>
    </row>
    <row r="442" spans="1:21" x14ac:dyDescent="0.25">
      <c r="A442" s="33">
        <v>46161.317326736113</v>
      </c>
      <c r="B442" s="1">
        <v>46161</v>
      </c>
      <c r="C442" t="s">
        <v>23</v>
      </c>
      <c r="D442" t="s">
        <v>30</v>
      </c>
      <c r="E442" t="s">
        <v>31</v>
      </c>
      <c r="F442" t="s">
        <v>32</v>
      </c>
      <c r="G442" t="s">
        <v>167</v>
      </c>
      <c r="H442" t="s">
        <v>168</v>
      </c>
      <c r="I442">
        <v>0.85515300000000005</v>
      </c>
      <c r="J442">
        <v>1.7949999999999999</v>
      </c>
      <c r="K442">
        <v>-1.53</v>
      </c>
      <c r="N442" t="s">
        <v>26</v>
      </c>
      <c r="R442" t="s">
        <v>896</v>
      </c>
      <c r="S442" t="s">
        <v>897</v>
      </c>
    </row>
    <row r="443" spans="1:21" x14ac:dyDescent="0.25">
      <c r="A443" s="33">
        <v>46161.317326747689</v>
      </c>
      <c r="B443" s="1">
        <v>46161</v>
      </c>
      <c r="C443" t="s">
        <v>23</v>
      </c>
      <c r="D443" t="s">
        <v>30</v>
      </c>
      <c r="E443" t="s">
        <v>31</v>
      </c>
      <c r="F443" t="s">
        <v>32</v>
      </c>
      <c r="G443" t="s">
        <v>167</v>
      </c>
      <c r="H443" t="s">
        <v>168</v>
      </c>
      <c r="I443">
        <v>27</v>
      </c>
      <c r="J443">
        <v>1.7949999999999999</v>
      </c>
      <c r="K443">
        <v>-48.47</v>
      </c>
      <c r="L443" s="28">
        <v>-1</v>
      </c>
      <c r="N443" t="s">
        <v>26</v>
      </c>
      <c r="R443" t="s">
        <v>898</v>
      </c>
      <c r="S443" t="s">
        <v>899</v>
      </c>
    </row>
    <row r="444" spans="1:21" x14ac:dyDescent="0.25">
      <c r="A444" s="33">
        <v>46161.343944618107</v>
      </c>
      <c r="B444" s="1">
        <v>46161</v>
      </c>
      <c r="C444" t="s">
        <v>23</v>
      </c>
      <c r="D444" t="s">
        <v>24</v>
      </c>
      <c r="E444" t="s">
        <v>25</v>
      </c>
      <c r="G444" t="s">
        <v>807</v>
      </c>
      <c r="K444">
        <v>100</v>
      </c>
      <c r="N444" t="s">
        <v>26</v>
      </c>
      <c r="R444" t="s">
        <v>647</v>
      </c>
      <c r="S444" t="s">
        <v>900</v>
      </c>
      <c r="T444" t="s">
        <v>807</v>
      </c>
      <c r="U444" t="s">
        <v>809</v>
      </c>
    </row>
    <row r="445" spans="1:21" x14ac:dyDescent="0.25">
      <c r="A445" s="33">
        <v>46161.344339733798</v>
      </c>
      <c r="B445" s="1">
        <v>46161</v>
      </c>
      <c r="C445" t="s">
        <v>23</v>
      </c>
      <c r="D445" t="s">
        <v>30</v>
      </c>
      <c r="E445" t="s">
        <v>31</v>
      </c>
      <c r="F445" t="s">
        <v>32</v>
      </c>
      <c r="G445" t="s">
        <v>211</v>
      </c>
      <c r="H445" t="s">
        <v>212</v>
      </c>
      <c r="I445">
        <v>40</v>
      </c>
      <c r="J445">
        <v>2.4750000000000001</v>
      </c>
      <c r="K445">
        <v>-99</v>
      </c>
      <c r="L445" s="28">
        <v>-1</v>
      </c>
      <c r="N445" t="s">
        <v>26</v>
      </c>
      <c r="R445" t="s">
        <v>901</v>
      </c>
      <c r="S445" t="s">
        <v>902</v>
      </c>
    </row>
    <row r="446" spans="1:21" x14ac:dyDescent="0.25">
      <c r="A446" s="33">
        <v>46161.366560140079</v>
      </c>
      <c r="B446" s="1">
        <v>46161</v>
      </c>
      <c r="C446" t="s">
        <v>23</v>
      </c>
      <c r="D446" t="s">
        <v>24</v>
      </c>
      <c r="E446" t="s">
        <v>25</v>
      </c>
      <c r="G446" t="s">
        <v>774</v>
      </c>
      <c r="K446">
        <v>101</v>
      </c>
      <c r="N446" t="s">
        <v>26</v>
      </c>
      <c r="R446" t="s">
        <v>246</v>
      </c>
      <c r="S446" t="s">
        <v>903</v>
      </c>
      <c r="T446" t="s">
        <v>774</v>
      </c>
      <c r="U446" t="s">
        <v>776</v>
      </c>
    </row>
    <row r="447" spans="1:21" x14ac:dyDescent="0.25">
      <c r="A447" s="33">
        <v>46161.36666821759</v>
      </c>
      <c r="B447" s="1">
        <v>46161</v>
      </c>
      <c r="C447" t="s">
        <v>23</v>
      </c>
      <c r="D447" t="s">
        <v>30</v>
      </c>
      <c r="E447" t="s">
        <v>31</v>
      </c>
      <c r="F447" t="s">
        <v>32</v>
      </c>
      <c r="G447" t="s">
        <v>154</v>
      </c>
      <c r="H447" t="s">
        <v>155</v>
      </c>
      <c r="I447">
        <v>6</v>
      </c>
      <c r="J447">
        <v>16.445</v>
      </c>
      <c r="K447">
        <v>-98.67</v>
      </c>
      <c r="L447" s="28">
        <v>-1</v>
      </c>
      <c r="N447" t="s">
        <v>26</v>
      </c>
      <c r="R447" t="s">
        <v>779</v>
      </c>
      <c r="S447" t="s">
        <v>904</v>
      </c>
    </row>
    <row r="448" spans="1:21" x14ac:dyDescent="0.25">
      <c r="A448" s="33">
        <v>46161.36666821759</v>
      </c>
      <c r="B448" s="1">
        <v>46161</v>
      </c>
      <c r="C448" t="s">
        <v>23</v>
      </c>
      <c r="D448" t="s">
        <v>30</v>
      </c>
      <c r="E448" t="s">
        <v>31</v>
      </c>
      <c r="F448" t="s">
        <v>32</v>
      </c>
      <c r="G448" t="s">
        <v>154</v>
      </c>
      <c r="H448" t="s">
        <v>155</v>
      </c>
      <c r="I448">
        <v>8.0875000000000002E-2</v>
      </c>
      <c r="J448">
        <v>16.445</v>
      </c>
      <c r="K448">
        <v>-1.33</v>
      </c>
      <c r="N448" t="s">
        <v>26</v>
      </c>
      <c r="R448" t="s">
        <v>905</v>
      </c>
      <c r="S448" t="s">
        <v>906</v>
      </c>
    </row>
    <row r="449" spans="1:21" x14ac:dyDescent="0.25">
      <c r="A449" s="33">
        <v>46162.345793808046</v>
      </c>
      <c r="B449" s="1">
        <v>46162</v>
      </c>
      <c r="C449" t="s">
        <v>23</v>
      </c>
      <c r="D449" t="s">
        <v>24</v>
      </c>
      <c r="E449" t="s">
        <v>25</v>
      </c>
      <c r="G449" t="s">
        <v>774</v>
      </c>
      <c r="K449">
        <v>51</v>
      </c>
      <c r="N449" t="s">
        <v>26</v>
      </c>
      <c r="R449" t="s">
        <v>246</v>
      </c>
      <c r="S449" t="s">
        <v>907</v>
      </c>
      <c r="T449" t="s">
        <v>774</v>
      </c>
      <c r="U449" t="s">
        <v>776</v>
      </c>
    </row>
    <row r="450" spans="1:21" x14ac:dyDescent="0.25">
      <c r="A450" s="33">
        <v>46162.345904502312</v>
      </c>
      <c r="B450" s="1">
        <v>46162</v>
      </c>
      <c r="C450" t="s">
        <v>23</v>
      </c>
      <c r="D450" t="s">
        <v>30</v>
      </c>
      <c r="E450" t="s">
        <v>31</v>
      </c>
      <c r="F450" t="s">
        <v>32</v>
      </c>
      <c r="G450" t="s">
        <v>167</v>
      </c>
      <c r="H450" t="s">
        <v>168</v>
      </c>
      <c r="I450">
        <v>0.74389099999999997</v>
      </c>
      <c r="J450">
        <v>1.7395</v>
      </c>
      <c r="K450">
        <v>-1.29</v>
      </c>
      <c r="N450" t="s">
        <v>26</v>
      </c>
      <c r="R450" t="s">
        <v>908</v>
      </c>
      <c r="S450" t="s">
        <v>909</v>
      </c>
    </row>
    <row r="451" spans="1:21" x14ac:dyDescent="0.25">
      <c r="A451" s="33">
        <v>46162.345916053237</v>
      </c>
      <c r="B451" s="1">
        <v>46162</v>
      </c>
      <c r="C451" t="s">
        <v>23</v>
      </c>
      <c r="D451" t="s">
        <v>30</v>
      </c>
      <c r="E451" t="s">
        <v>31</v>
      </c>
      <c r="F451" t="s">
        <v>32</v>
      </c>
      <c r="G451" t="s">
        <v>167</v>
      </c>
      <c r="H451" t="s">
        <v>168</v>
      </c>
      <c r="I451">
        <v>28</v>
      </c>
      <c r="J451">
        <v>1.7395</v>
      </c>
      <c r="K451">
        <v>-48.71</v>
      </c>
      <c r="L451" s="28">
        <v>-1</v>
      </c>
      <c r="N451" t="s">
        <v>26</v>
      </c>
      <c r="R451" t="s">
        <v>910</v>
      </c>
      <c r="S451" t="s">
        <v>911</v>
      </c>
    </row>
    <row r="452" spans="1:21" x14ac:dyDescent="0.25">
      <c r="A452" s="33">
        <v>46163.654042025461</v>
      </c>
      <c r="B452" s="1">
        <v>46163</v>
      </c>
      <c r="C452" t="s">
        <v>23</v>
      </c>
      <c r="D452" t="s">
        <v>30</v>
      </c>
      <c r="E452" t="s">
        <v>82</v>
      </c>
      <c r="F452" t="s">
        <v>32</v>
      </c>
      <c r="G452" t="s">
        <v>154</v>
      </c>
      <c r="H452" t="s">
        <v>155</v>
      </c>
      <c r="I452">
        <v>-0.85699400000000003</v>
      </c>
      <c r="J452">
        <v>20.14</v>
      </c>
      <c r="K452">
        <v>17.260000000000002</v>
      </c>
      <c r="N452" t="s">
        <v>26</v>
      </c>
      <c r="R452" t="s">
        <v>912</v>
      </c>
      <c r="S452" t="s">
        <v>913</v>
      </c>
    </row>
    <row r="453" spans="1:21" x14ac:dyDescent="0.25">
      <c r="A453" s="33">
        <v>46163.654042037037</v>
      </c>
      <c r="B453" s="1">
        <v>46163</v>
      </c>
      <c r="C453" t="s">
        <v>23</v>
      </c>
      <c r="D453" t="s">
        <v>30</v>
      </c>
      <c r="E453" t="s">
        <v>82</v>
      </c>
      <c r="F453" t="s">
        <v>32</v>
      </c>
      <c r="G453" t="s">
        <v>154</v>
      </c>
      <c r="H453" t="s">
        <v>155</v>
      </c>
      <c r="I453">
        <v>-25</v>
      </c>
      <c r="J453">
        <v>20.14</v>
      </c>
      <c r="K453">
        <v>503.5</v>
      </c>
      <c r="L453" s="28">
        <v>-1</v>
      </c>
      <c r="N453" t="s">
        <v>26</v>
      </c>
      <c r="R453" t="s">
        <v>914</v>
      </c>
      <c r="S453" t="s">
        <v>915</v>
      </c>
    </row>
    <row r="454" spans="1:21" x14ac:dyDescent="0.25">
      <c r="A454" s="33">
        <v>46163.71039979616</v>
      </c>
      <c r="B454" s="1">
        <v>46163</v>
      </c>
      <c r="C454" t="s">
        <v>23</v>
      </c>
      <c r="D454" t="s">
        <v>24</v>
      </c>
      <c r="E454" t="s">
        <v>161</v>
      </c>
      <c r="G454" t="s">
        <v>774</v>
      </c>
      <c r="K454">
        <v>-520.20000000000005</v>
      </c>
      <c r="N454" t="s">
        <v>26</v>
      </c>
      <c r="R454" t="s">
        <v>397</v>
      </c>
      <c r="S454" t="s">
        <v>916</v>
      </c>
      <c r="T454" t="s">
        <v>774</v>
      </c>
      <c r="U454" t="s">
        <v>776</v>
      </c>
    </row>
    <row r="455" spans="1:21" x14ac:dyDescent="0.25">
      <c r="A455" s="33">
        <v>46163.712893981479</v>
      </c>
      <c r="B455" s="1">
        <v>46163</v>
      </c>
      <c r="C455" t="s">
        <v>23</v>
      </c>
      <c r="D455" t="s">
        <v>30</v>
      </c>
      <c r="E455" t="s">
        <v>82</v>
      </c>
      <c r="F455" t="s">
        <v>32</v>
      </c>
      <c r="G455" t="s">
        <v>590</v>
      </c>
      <c r="H455" t="s">
        <v>591</v>
      </c>
      <c r="I455">
        <v>-47</v>
      </c>
      <c r="J455">
        <v>6.5460000000000003</v>
      </c>
      <c r="K455">
        <v>307.66000000000003</v>
      </c>
      <c r="L455" s="28">
        <v>-1</v>
      </c>
      <c r="N455" t="s">
        <v>26</v>
      </c>
      <c r="R455" t="s">
        <v>917</v>
      </c>
      <c r="S455" t="s">
        <v>918</v>
      </c>
    </row>
    <row r="456" spans="1:21" x14ac:dyDescent="0.25">
      <c r="A456" s="33">
        <v>46163.712893993063</v>
      </c>
      <c r="B456" s="1">
        <v>46163</v>
      </c>
      <c r="C456" t="s">
        <v>23</v>
      </c>
      <c r="D456" t="s">
        <v>30</v>
      </c>
      <c r="E456" t="s">
        <v>82</v>
      </c>
      <c r="F456" t="s">
        <v>32</v>
      </c>
      <c r="G456" t="s">
        <v>590</v>
      </c>
      <c r="H456" t="s">
        <v>591</v>
      </c>
      <c r="I456">
        <v>-0.27160899999999999</v>
      </c>
      <c r="J456">
        <v>6.5460000000000003</v>
      </c>
      <c r="K456">
        <v>1.78</v>
      </c>
      <c r="N456" t="s">
        <v>26</v>
      </c>
      <c r="R456" t="s">
        <v>919</v>
      </c>
      <c r="S456" t="s">
        <v>920</v>
      </c>
    </row>
    <row r="457" spans="1:21" x14ac:dyDescent="0.25">
      <c r="A457" s="33">
        <v>46163.713282314813</v>
      </c>
      <c r="B457" s="1">
        <v>46163</v>
      </c>
      <c r="C457" t="s">
        <v>23</v>
      </c>
      <c r="D457" t="s">
        <v>30</v>
      </c>
      <c r="E457" t="s">
        <v>82</v>
      </c>
      <c r="F457" t="s">
        <v>32</v>
      </c>
      <c r="G457" t="s">
        <v>864</v>
      </c>
      <c r="H457" t="s">
        <v>865</v>
      </c>
      <c r="I457">
        <v>-8.2652000000000003E-2</v>
      </c>
      <c r="J457">
        <v>22.27</v>
      </c>
      <c r="K457">
        <v>1.84</v>
      </c>
      <c r="N457" t="s">
        <v>26</v>
      </c>
      <c r="R457" t="s">
        <v>921</v>
      </c>
      <c r="S457" t="s">
        <v>922</v>
      </c>
    </row>
    <row r="458" spans="1:21" x14ac:dyDescent="0.25">
      <c r="A458" s="33">
        <v>46163.713282314813</v>
      </c>
      <c r="B458" s="1">
        <v>46163</v>
      </c>
      <c r="C458" t="s">
        <v>23</v>
      </c>
      <c r="D458" t="s">
        <v>30</v>
      </c>
      <c r="E458" t="s">
        <v>82</v>
      </c>
      <c r="F458" t="s">
        <v>32</v>
      </c>
      <c r="G458" t="s">
        <v>864</v>
      </c>
      <c r="H458" t="s">
        <v>865</v>
      </c>
      <c r="I458">
        <v>-9</v>
      </c>
      <c r="J458">
        <v>22.27</v>
      </c>
      <c r="K458">
        <v>200.43</v>
      </c>
      <c r="L458" s="28">
        <v>-1</v>
      </c>
      <c r="N458" t="s">
        <v>26</v>
      </c>
      <c r="R458" t="s">
        <v>923</v>
      </c>
      <c r="S458" t="s">
        <v>924</v>
      </c>
    </row>
    <row r="459" spans="1:21" x14ac:dyDescent="0.25">
      <c r="A459" s="33">
        <v>46163.71396045616</v>
      </c>
      <c r="B459" s="1">
        <v>46163</v>
      </c>
      <c r="C459" t="s">
        <v>23</v>
      </c>
      <c r="D459" t="s">
        <v>24</v>
      </c>
      <c r="E459" t="s">
        <v>161</v>
      </c>
      <c r="G459" t="s">
        <v>774</v>
      </c>
      <c r="K459">
        <v>-509.71</v>
      </c>
      <c r="N459" t="s">
        <v>26</v>
      </c>
      <c r="R459" t="s">
        <v>397</v>
      </c>
      <c r="S459" t="s">
        <v>925</v>
      </c>
      <c r="T459" t="s">
        <v>774</v>
      </c>
      <c r="U459" t="s">
        <v>776</v>
      </c>
    </row>
    <row r="460" spans="1:21" x14ac:dyDescent="0.25">
      <c r="A460" s="33">
        <v>46164.669953937861</v>
      </c>
      <c r="B460" s="1">
        <v>46164</v>
      </c>
      <c r="C460" t="s">
        <v>23</v>
      </c>
      <c r="D460" t="s">
        <v>24</v>
      </c>
      <c r="E460" t="s">
        <v>25</v>
      </c>
      <c r="G460" t="s">
        <v>774</v>
      </c>
      <c r="K460">
        <v>101</v>
      </c>
      <c r="N460" t="s">
        <v>26</v>
      </c>
      <c r="R460" t="s">
        <v>246</v>
      </c>
      <c r="S460" t="s">
        <v>926</v>
      </c>
      <c r="T460" t="s">
        <v>774</v>
      </c>
      <c r="U460" t="s">
        <v>776</v>
      </c>
    </row>
    <row r="461" spans="1:21" x14ac:dyDescent="0.25">
      <c r="A461" s="33">
        <v>46164.67916792824</v>
      </c>
      <c r="B461" s="1">
        <v>46164</v>
      </c>
      <c r="C461" t="s">
        <v>23</v>
      </c>
      <c r="D461" t="s">
        <v>30</v>
      </c>
      <c r="E461" t="s">
        <v>31</v>
      </c>
      <c r="F461" t="s">
        <v>32</v>
      </c>
      <c r="G461" t="s">
        <v>154</v>
      </c>
      <c r="H461" t="s">
        <v>155</v>
      </c>
      <c r="I461">
        <v>0.89457100000000001</v>
      </c>
      <c r="J461">
        <v>25.42</v>
      </c>
      <c r="K461">
        <v>-22.74</v>
      </c>
      <c r="N461" t="s">
        <v>26</v>
      </c>
      <c r="R461" t="s">
        <v>927</v>
      </c>
      <c r="S461" t="s">
        <v>928</v>
      </c>
    </row>
    <row r="462" spans="1:21" x14ac:dyDescent="0.25">
      <c r="A462" s="33">
        <v>46164.67916792824</v>
      </c>
      <c r="B462" s="1">
        <v>46164</v>
      </c>
      <c r="C462" t="s">
        <v>23</v>
      </c>
      <c r="D462" t="s">
        <v>30</v>
      </c>
      <c r="E462" t="s">
        <v>31</v>
      </c>
      <c r="F462" t="s">
        <v>32</v>
      </c>
      <c r="G462" t="s">
        <v>154</v>
      </c>
      <c r="H462" t="s">
        <v>155</v>
      </c>
      <c r="I462">
        <v>3</v>
      </c>
      <c r="J462">
        <v>25.42</v>
      </c>
      <c r="K462">
        <v>-76.260000000000005</v>
      </c>
      <c r="L462" s="28">
        <v>-1</v>
      </c>
      <c r="N462" t="s">
        <v>26</v>
      </c>
      <c r="R462" t="s">
        <v>929</v>
      </c>
      <c r="S462" t="s">
        <v>930</v>
      </c>
    </row>
    <row r="463" spans="1:21" x14ac:dyDescent="0.25">
      <c r="A463" s="33">
        <v>46167.520647033911</v>
      </c>
      <c r="B463" s="1">
        <v>46167</v>
      </c>
      <c r="C463" t="s">
        <v>23</v>
      </c>
      <c r="D463" t="s">
        <v>24</v>
      </c>
      <c r="E463" t="s">
        <v>25</v>
      </c>
      <c r="G463" t="s">
        <v>774</v>
      </c>
      <c r="K463">
        <v>80</v>
      </c>
      <c r="N463" t="s">
        <v>26</v>
      </c>
      <c r="R463" t="s">
        <v>246</v>
      </c>
      <c r="S463" t="s">
        <v>931</v>
      </c>
      <c r="T463" t="s">
        <v>774</v>
      </c>
      <c r="U463" t="s">
        <v>776</v>
      </c>
    </row>
    <row r="464" spans="1:21" x14ac:dyDescent="0.25">
      <c r="A464" s="33">
        <v>46167.520727731477</v>
      </c>
      <c r="B464" s="1">
        <v>46167</v>
      </c>
      <c r="C464" t="s">
        <v>23</v>
      </c>
      <c r="D464" t="s">
        <v>30</v>
      </c>
      <c r="E464" t="s">
        <v>31</v>
      </c>
      <c r="F464" t="s">
        <v>32</v>
      </c>
      <c r="G464" t="s">
        <v>154</v>
      </c>
      <c r="H464" t="s">
        <v>155</v>
      </c>
      <c r="I464">
        <v>3</v>
      </c>
      <c r="J464">
        <v>26.58</v>
      </c>
      <c r="K464">
        <v>-79.739999999999995</v>
      </c>
      <c r="L464" s="28">
        <v>-1</v>
      </c>
      <c r="N464" t="s">
        <v>26</v>
      </c>
      <c r="R464" t="s">
        <v>929</v>
      </c>
      <c r="S464" t="s">
        <v>932</v>
      </c>
    </row>
    <row r="465" spans="1:21" x14ac:dyDescent="0.25">
      <c r="A465" s="33">
        <v>46167.951691671631</v>
      </c>
      <c r="B465" s="1">
        <v>46167</v>
      </c>
      <c r="C465" t="s">
        <v>23</v>
      </c>
      <c r="D465" t="s">
        <v>24</v>
      </c>
      <c r="E465" t="s">
        <v>25</v>
      </c>
      <c r="G465" t="s">
        <v>774</v>
      </c>
      <c r="K465">
        <v>36</v>
      </c>
      <c r="N465" t="s">
        <v>26</v>
      </c>
      <c r="R465" t="s">
        <v>246</v>
      </c>
      <c r="S465" t="s">
        <v>933</v>
      </c>
      <c r="T465" t="s">
        <v>774</v>
      </c>
      <c r="U465" t="s">
        <v>776</v>
      </c>
    </row>
    <row r="466" spans="1:21" x14ac:dyDescent="0.25">
      <c r="A466" s="33">
        <v>46167.951796111112</v>
      </c>
      <c r="B466" s="1">
        <v>46167</v>
      </c>
      <c r="C466" t="s">
        <v>23</v>
      </c>
      <c r="D466" t="s">
        <v>30</v>
      </c>
      <c r="E466" t="s">
        <v>31</v>
      </c>
      <c r="F466" t="s">
        <v>32</v>
      </c>
      <c r="G466" t="s">
        <v>211</v>
      </c>
      <c r="H466" t="s">
        <v>212</v>
      </c>
      <c r="I466">
        <v>10</v>
      </c>
      <c r="J466">
        <v>3.5049999999999999</v>
      </c>
      <c r="K466">
        <v>-35.049999999999997</v>
      </c>
      <c r="L466" s="28">
        <v>-1</v>
      </c>
      <c r="N466" t="s">
        <v>26</v>
      </c>
      <c r="R466" t="s">
        <v>934</v>
      </c>
      <c r="S466" t="s">
        <v>935</v>
      </c>
    </row>
    <row r="467" spans="1:21" x14ac:dyDescent="0.25">
      <c r="A467" s="33">
        <v>46168.680129448832</v>
      </c>
      <c r="B467" s="1">
        <v>46168</v>
      </c>
      <c r="C467" t="s">
        <v>23</v>
      </c>
      <c r="D467" t="s">
        <v>24</v>
      </c>
      <c r="E467" t="s">
        <v>25</v>
      </c>
      <c r="G467" t="s">
        <v>774</v>
      </c>
      <c r="K467">
        <v>201</v>
      </c>
      <c r="N467" t="s">
        <v>26</v>
      </c>
      <c r="R467" t="s">
        <v>246</v>
      </c>
      <c r="S467" t="s">
        <v>936</v>
      </c>
      <c r="T467" t="s">
        <v>774</v>
      </c>
      <c r="U467" t="s">
        <v>776</v>
      </c>
    </row>
    <row r="468" spans="1:21" x14ac:dyDescent="0.25">
      <c r="A468" s="33">
        <v>46168.680203969911</v>
      </c>
      <c r="B468" s="1">
        <v>46168</v>
      </c>
      <c r="C468" t="s">
        <v>23</v>
      </c>
      <c r="D468" t="s">
        <v>30</v>
      </c>
      <c r="E468" t="s">
        <v>31</v>
      </c>
      <c r="F468" t="s">
        <v>32</v>
      </c>
      <c r="G468" t="s">
        <v>937</v>
      </c>
      <c r="H468" t="s">
        <v>938</v>
      </c>
      <c r="I468">
        <v>63</v>
      </c>
      <c r="J468">
        <v>3.1379999999999999</v>
      </c>
      <c r="K468">
        <v>-197.69</v>
      </c>
      <c r="L468" s="28">
        <v>-1</v>
      </c>
      <c r="N468" t="s">
        <v>26</v>
      </c>
      <c r="R468" t="s">
        <v>939</v>
      </c>
      <c r="S468" t="s">
        <v>940</v>
      </c>
    </row>
    <row r="469" spans="1:21" x14ac:dyDescent="0.25">
      <c r="A469" s="33">
        <v>46168.680203969911</v>
      </c>
      <c r="B469" s="1">
        <v>46168</v>
      </c>
      <c r="C469" t="s">
        <v>23</v>
      </c>
      <c r="D469" t="s">
        <v>30</v>
      </c>
      <c r="E469" t="s">
        <v>31</v>
      </c>
      <c r="F469" t="s">
        <v>32</v>
      </c>
      <c r="G469" t="s">
        <v>937</v>
      </c>
      <c r="H469" t="s">
        <v>938</v>
      </c>
      <c r="I469">
        <v>0.73486200000000002</v>
      </c>
      <c r="J469">
        <v>3.1379999999999999</v>
      </c>
      <c r="K469">
        <v>-2.31</v>
      </c>
      <c r="N469" t="s">
        <v>26</v>
      </c>
      <c r="R469" t="s">
        <v>941</v>
      </c>
      <c r="S469" t="s">
        <v>942</v>
      </c>
    </row>
    <row r="470" spans="1:21" x14ac:dyDescent="0.25">
      <c r="A470" s="33">
        <v>46168.691938830503</v>
      </c>
      <c r="B470" s="1">
        <v>46168</v>
      </c>
      <c r="C470" t="s">
        <v>23</v>
      </c>
      <c r="D470" t="s">
        <v>24</v>
      </c>
      <c r="E470" t="s">
        <v>25</v>
      </c>
      <c r="G470" t="s">
        <v>774</v>
      </c>
      <c r="K470">
        <v>101</v>
      </c>
      <c r="N470" t="s">
        <v>26</v>
      </c>
      <c r="R470" t="s">
        <v>246</v>
      </c>
      <c r="S470" t="s">
        <v>943</v>
      </c>
      <c r="T470" t="s">
        <v>774</v>
      </c>
      <c r="U470" t="s">
        <v>776</v>
      </c>
    </row>
    <row r="471" spans="1:21" x14ac:dyDescent="0.25">
      <c r="A471" s="33">
        <v>46168.692027708334</v>
      </c>
      <c r="B471" s="1">
        <v>46168</v>
      </c>
      <c r="C471" t="s">
        <v>23</v>
      </c>
      <c r="D471" t="s">
        <v>30</v>
      </c>
      <c r="E471" t="s">
        <v>31</v>
      </c>
      <c r="F471" t="s">
        <v>32</v>
      </c>
      <c r="G471" t="s">
        <v>154</v>
      </c>
      <c r="H471" t="s">
        <v>155</v>
      </c>
      <c r="I471">
        <v>0.30663200000000002</v>
      </c>
      <c r="J471">
        <v>23.22</v>
      </c>
      <c r="K471">
        <v>-7.12</v>
      </c>
      <c r="N471" t="s">
        <v>26</v>
      </c>
      <c r="R471" t="s">
        <v>944</v>
      </c>
      <c r="S471" t="s">
        <v>945</v>
      </c>
    </row>
    <row r="472" spans="1:21" x14ac:dyDescent="0.25">
      <c r="A472" s="33">
        <v>46168.69202771991</v>
      </c>
      <c r="B472" s="1">
        <v>46168</v>
      </c>
      <c r="C472" t="s">
        <v>23</v>
      </c>
      <c r="D472" t="s">
        <v>30</v>
      </c>
      <c r="E472" t="s">
        <v>31</v>
      </c>
      <c r="F472" t="s">
        <v>32</v>
      </c>
      <c r="G472" t="s">
        <v>154</v>
      </c>
      <c r="H472" t="s">
        <v>155</v>
      </c>
      <c r="I472">
        <v>4</v>
      </c>
      <c r="J472">
        <v>23.22</v>
      </c>
      <c r="K472">
        <v>-92.88</v>
      </c>
      <c r="L472" s="28">
        <v>-1</v>
      </c>
      <c r="N472" t="s">
        <v>26</v>
      </c>
      <c r="R472" t="s">
        <v>156</v>
      </c>
      <c r="S472" t="s">
        <v>946</v>
      </c>
    </row>
    <row r="473" spans="1:21" x14ac:dyDescent="0.25">
      <c r="A473" s="33">
        <v>46169.492857950238</v>
      </c>
      <c r="B473" s="1">
        <v>46169</v>
      </c>
      <c r="C473" t="s">
        <v>23</v>
      </c>
      <c r="D473" t="s">
        <v>24</v>
      </c>
      <c r="E473" t="s">
        <v>25</v>
      </c>
      <c r="G473" t="s">
        <v>774</v>
      </c>
      <c r="K473">
        <v>301</v>
      </c>
      <c r="N473" t="s">
        <v>26</v>
      </c>
      <c r="R473" t="s">
        <v>246</v>
      </c>
      <c r="S473" t="s">
        <v>947</v>
      </c>
      <c r="T473" t="s">
        <v>774</v>
      </c>
      <c r="U473" t="s">
        <v>776</v>
      </c>
    </row>
    <row r="474" spans="1:21" x14ac:dyDescent="0.25">
      <c r="A474" s="33">
        <v>46169.492928194442</v>
      </c>
      <c r="B474" s="1">
        <v>46169</v>
      </c>
      <c r="C474" t="s">
        <v>23</v>
      </c>
      <c r="D474" t="s">
        <v>30</v>
      </c>
      <c r="E474" t="s">
        <v>31</v>
      </c>
      <c r="F474" t="s">
        <v>464</v>
      </c>
      <c r="G474" t="s">
        <v>948</v>
      </c>
      <c r="H474" t="s">
        <v>949</v>
      </c>
      <c r="I474">
        <v>2</v>
      </c>
      <c r="J474">
        <v>120.84</v>
      </c>
      <c r="K474">
        <v>-241.68</v>
      </c>
      <c r="L474" s="28">
        <v>-1</v>
      </c>
      <c r="N474" t="s">
        <v>26</v>
      </c>
      <c r="R474" t="s">
        <v>950</v>
      </c>
      <c r="S474" t="s">
        <v>951</v>
      </c>
    </row>
    <row r="475" spans="1:21" x14ac:dyDescent="0.25">
      <c r="A475" s="33">
        <v>46169.492928194442</v>
      </c>
      <c r="B475" s="1">
        <v>46169</v>
      </c>
      <c r="C475" t="s">
        <v>23</v>
      </c>
      <c r="D475" t="s">
        <v>30</v>
      </c>
      <c r="E475" t="s">
        <v>31</v>
      </c>
      <c r="F475" t="s">
        <v>464</v>
      </c>
      <c r="G475" t="s">
        <v>948</v>
      </c>
      <c r="H475" t="s">
        <v>949</v>
      </c>
      <c r="I475">
        <v>0.48262100000000002</v>
      </c>
      <c r="J475">
        <v>120.84</v>
      </c>
      <c r="K475">
        <v>-58.32</v>
      </c>
      <c r="N475" t="s">
        <v>26</v>
      </c>
      <c r="R475" t="s">
        <v>952</v>
      </c>
      <c r="S475" t="s">
        <v>953</v>
      </c>
    </row>
    <row r="476" spans="1:21" x14ac:dyDescent="0.25">
      <c r="A476" s="33">
        <v>46169.529399773623</v>
      </c>
      <c r="B476" s="1">
        <v>46169</v>
      </c>
      <c r="C476" t="s">
        <v>23</v>
      </c>
      <c r="D476" t="s">
        <v>24</v>
      </c>
      <c r="E476" t="s">
        <v>25</v>
      </c>
      <c r="G476" t="s">
        <v>774</v>
      </c>
      <c r="K476">
        <v>301</v>
      </c>
      <c r="N476" t="s">
        <v>26</v>
      </c>
      <c r="R476" t="s">
        <v>246</v>
      </c>
      <c r="S476" t="s">
        <v>954</v>
      </c>
      <c r="T476" t="s">
        <v>774</v>
      </c>
      <c r="U476" t="s">
        <v>776</v>
      </c>
    </row>
    <row r="477" spans="1:21" x14ac:dyDescent="0.25">
      <c r="A477" s="33">
        <v>46169.529487662039</v>
      </c>
      <c r="B477" s="1">
        <v>46169</v>
      </c>
      <c r="C477" t="s">
        <v>23</v>
      </c>
      <c r="D477" t="s">
        <v>30</v>
      </c>
      <c r="E477" t="s">
        <v>31</v>
      </c>
      <c r="F477" t="s">
        <v>464</v>
      </c>
      <c r="G477" t="s">
        <v>955</v>
      </c>
      <c r="H477" t="s">
        <v>956</v>
      </c>
      <c r="I477">
        <v>0.68566300000000002</v>
      </c>
      <c r="J477">
        <v>28.074999999999999</v>
      </c>
      <c r="K477">
        <v>-19.25</v>
      </c>
      <c r="N477" t="s">
        <v>26</v>
      </c>
      <c r="R477" t="s">
        <v>957</v>
      </c>
      <c r="S477" t="s">
        <v>958</v>
      </c>
    </row>
    <row r="478" spans="1:21" x14ac:dyDescent="0.25">
      <c r="A478" s="33">
        <v>46169.52948769676</v>
      </c>
      <c r="B478" s="1">
        <v>46169</v>
      </c>
      <c r="C478" t="s">
        <v>23</v>
      </c>
      <c r="D478" t="s">
        <v>30</v>
      </c>
      <c r="E478" t="s">
        <v>31</v>
      </c>
      <c r="F478" t="s">
        <v>464</v>
      </c>
      <c r="G478" t="s">
        <v>955</v>
      </c>
      <c r="H478" t="s">
        <v>956</v>
      </c>
      <c r="I478">
        <v>10</v>
      </c>
      <c r="J478">
        <v>28.074999999999999</v>
      </c>
      <c r="K478">
        <v>-280.75</v>
      </c>
      <c r="L478" s="28">
        <v>-1</v>
      </c>
      <c r="N478" t="s">
        <v>26</v>
      </c>
      <c r="R478" t="s">
        <v>959</v>
      </c>
      <c r="S478" t="s">
        <v>960</v>
      </c>
    </row>
    <row r="479" spans="1:21" x14ac:dyDescent="0.25">
      <c r="A479" s="33">
        <v>46169.757572546972</v>
      </c>
      <c r="B479" s="1">
        <v>46169</v>
      </c>
      <c r="C479" t="s">
        <v>23</v>
      </c>
      <c r="D479" t="s">
        <v>24</v>
      </c>
      <c r="E479" t="s">
        <v>25</v>
      </c>
      <c r="G479" t="s">
        <v>774</v>
      </c>
      <c r="K479">
        <v>201</v>
      </c>
      <c r="N479" t="s">
        <v>26</v>
      </c>
      <c r="R479" t="s">
        <v>246</v>
      </c>
      <c r="S479" t="s">
        <v>961</v>
      </c>
      <c r="T479" t="s">
        <v>774</v>
      </c>
      <c r="U479" t="s">
        <v>776</v>
      </c>
    </row>
    <row r="480" spans="1:21" x14ac:dyDescent="0.25">
      <c r="A480" s="33">
        <v>46169.757648576393</v>
      </c>
      <c r="B480" s="1">
        <v>46169</v>
      </c>
      <c r="C480" t="s">
        <v>23</v>
      </c>
      <c r="D480" t="s">
        <v>30</v>
      </c>
      <c r="E480" t="s">
        <v>31</v>
      </c>
      <c r="F480" t="s">
        <v>32</v>
      </c>
      <c r="G480" t="s">
        <v>590</v>
      </c>
      <c r="H480" t="s">
        <v>591</v>
      </c>
      <c r="I480">
        <v>0.53454000000000002</v>
      </c>
      <c r="J480">
        <v>5.9640000000000004</v>
      </c>
      <c r="K480">
        <v>-3.19</v>
      </c>
      <c r="N480" t="s">
        <v>26</v>
      </c>
      <c r="R480" t="s">
        <v>962</v>
      </c>
      <c r="S480" t="s">
        <v>963</v>
      </c>
    </row>
    <row r="481" spans="1:21" x14ac:dyDescent="0.25">
      <c r="A481" s="33">
        <v>46169.757648576393</v>
      </c>
      <c r="B481" s="1">
        <v>46169</v>
      </c>
      <c r="C481" t="s">
        <v>23</v>
      </c>
      <c r="D481" t="s">
        <v>30</v>
      </c>
      <c r="E481" t="s">
        <v>31</v>
      </c>
      <c r="F481" t="s">
        <v>32</v>
      </c>
      <c r="G481" t="s">
        <v>590</v>
      </c>
      <c r="H481" t="s">
        <v>591</v>
      </c>
      <c r="I481">
        <v>33</v>
      </c>
      <c r="J481">
        <v>5.9640000000000004</v>
      </c>
      <c r="K481">
        <v>-196.81</v>
      </c>
      <c r="L481" s="28">
        <v>-1</v>
      </c>
      <c r="N481" t="s">
        <v>26</v>
      </c>
      <c r="R481" t="s">
        <v>964</v>
      </c>
      <c r="S481" t="s">
        <v>965</v>
      </c>
    </row>
    <row r="482" spans="1:21" x14ac:dyDescent="0.25">
      <c r="A482" s="33">
        <v>46169.918135270287</v>
      </c>
      <c r="B482" s="1">
        <v>46169</v>
      </c>
      <c r="C482" t="s">
        <v>23</v>
      </c>
      <c r="D482" t="s">
        <v>24</v>
      </c>
      <c r="E482" t="s">
        <v>25</v>
      </c>
      <c r="G482" t="s">
        <v>807</v>
      </c>
      <c r="K482">
        <v>138</v>
      </c>
      <c r="N482" t="s">
        <v>26</v>
      </c>
      <c r="R482" t="s">
        <v>647</v>
      </c>
      <c r="S482" t="s">
        <v>966</v>
      </c>
      <c r="T482" t="s">
        <v>807</v>
      </c>
      <c r="U482" t="s">
        <v>809</v>
      </c>
    </row>
    <row r="483" spans="1:21" x14ac:dyDescent="0.25">
      <c r="A483" s="33">
        <v>46169.919193453818</v>
      </c>
      <c r="B483" s="1">
        <v>46169</v>
      </c>
      <c r="C483" t="s">
        <v>23</v>
      </c>
      <c r="D483" t="s">
        <v>24</v>
      </c>
      <c r="E483" t="s">
        <v>25</v>
      </c>
      <c r="G483" t="s">
        <v>774</v>
      </c>
      <c r="K483">
        <v>1</v>
      </c>
      <c r="N483" t="s">
        <v>26</v>
      </c>
      <c r="R483" t="s">
        <v>246</v>
      </c>
      <c r="S483" t="s">
        <v>967</v>
      </c>
      <c r="T483" t="s">
        <v>774</v>
      </c>
      <c r="U483" t="s">
        <v>776</v>
      </c>
    </row>
    <row r="484" spans="1:21" x14ac:dyDescent="0.25">
      <c r="A484" s="33">
        <v>46169.919248749997</v>
      </c>
      <c r="B484" s="1">
        <v>46169</v>
      </c>
      <c r="C484" t="s">
        <v>23</v>
      </c>
      <c r="D484" t="s">
        <v>30</v>
      </c>
      <c r="E484" t="s">
        <v>31</v>
      </c>
      <c r="F484" t="s">
        <v>464</v>
      </c>
      <c r="G484" t="s">
        <v>799</v>
      </c>
      <c r="H484" t="s">
        <v>800</v>
      </c>
      <c r="I484">
        <v>0.99927500000000002</v>
      </c>
      <c r="J484">
        <v>138.1</v>
      </c>
      <c r="K484">
        <v>-138</v>
      </c>
      <c r="L484" s="28">
        <v>-1</v>
      </c>
      <c r="N484" t="s">
        <v>26</v>
      </c>
      <c r="R484" t="s">
        <v>968</v>
      </c>
      <c r="S484" t="s">
        <v>969</v>
      </c>
    </row>
    <row r="485" spans="1:21" x14ac:dyDescent="0.25">
      <c r="A485" s="33">
        <v>46169.93337555632</v>
      </c>
      <c r="B485" s="1">
        <v>46169</v>
      </c>
      <c r="C485" t="s">
        <v>23</v>
      </c>
      <c r="D485" t="s">
        <v>24</v>
      </c>
      <c r="E485" t="s">
        <v>25</v>
      </c>
      <c r="G485" t="s">
        <v>774</v>
      </c>
      <c r="K485">
        <v>101</v>
      </c>
      <c r="N485" t="s">
        <v>26</v>
      </c>
      <c r="R485" t="s">
        <v>246</v>
      </c>
      <c r="S485" t="s">
        <v>970</v>
      </c>
      <c r="T485" t="s">
        <v>774</v>
      </c>
      <c r="U485" t="s">
        <v>776</v>
      </c>
    </row>
    <row r="486" spans="1:21" x14ac:dyDescent="0.25">
      <c r="A486" s="33">
        <v>46169.933506331021</v>
      </c>
      <c r="B486" s="1">
        <v>46169</v>
      </c>
      <c r="C486" t="s">
        <v>23</v>
      </c>
      <c r="D486" t="s">
        <v>30</v>
      </c>
      <c r="E486" t="s">
        <v>31</v>
      </c>
      <c r="F486" t="s">
        <v>464</v>
      </c>
      <c r="G486" t="s">
        <v>815</v>
      </c>
      <c r="H486" t="s">
        <v>816</v>
      </c>
      <c r="I486">
        <v>0.32399099999999997</v>
      </c>
      <c r="J486">
        <v>308.64999999999998</v>
      </c>
      <c r="K486">
        <v>-100</v>
      </c>
      <c r="L486" s="28">
        <v>-1</v>
      </c>
      <c r="N486" t="s">
        <v>26</v>
      </c>
      <c r="R486" t="s">
        <v>971</v>
      </c>
      <c r="S486" t="s">
        <v>972</v>
      </c>
    </row>
    <row r="487" spans="1:21" x14ac:dyDescent="0.25">
      <c r="A487" s="33">
        <v>46169.940103009358</v>
      </c>
      <c r="B487" s="1">
        <v>46169</v>
      </c>
      <c r="C487" t="s">
        <v>23</v>
      </c>
      <c r="D487" t="s">
        <v>24</v>
      </c>
      <c r="E487" t="s">
        <v>25</v>
      </c>
      <c r="G487" t="s">
        <v>774</v>
      </c>
      <c r="K487">
        <v>564</v>
      </c>
      <c r="N487" t="s">
        <v>26</v>
      </c>
      <c r="R487" t="s">
        <v>246</v>
      </c>
      <c r="S487" t="s">
        <v>973</v>
      </c>
      <c r="T487" t="s">
        <v>774</v>
      </c>
      <c r="U487" t="s">
        <v>776</v>
      </c>
    </row>
    <row r="488" spans="1:21" x14ac:dyDescent="0.25">
      <c r="A488" s="33">
        <v>46169.940868356483</v>
      </c>
      <c r="B488" s="1">
        <v>46169</v>
      </c>
      <c r="C488" t="s">
        <v>23</v>
      </c>
      <c r="D488" t="s">
        <v>30</v>
      </c>
      <c r="E488" t="s">
        <v>31</v>
      </c>
      <c r="F488" t="s">
        <v>464</v>
      </c>
      <c r="G488" t="s">
        <v>526</v>
      </c>
      <c r="H488" t="s">
        <v>527</v>
      </c>
      <c r="I488">
        <v>0.37166700000000003</v>
      </c>
      <c r="J488">
        <v>696.86</v>
      </c>
      <c r="K488">
        <v>-259</v>
      </c>
      <c r="L488" s="28">
        <v>-1</v>
      </c>
      <c r="N488" t="s">
        <v>26</v>
      </c>
      <c r="R488" t="s">
        <v>974</v>
      </c>
      <c r="S488" t="s">
        <v>975</v>
      </c>
    </row>
    <row r="489" spans="1:21" x14ac:dyDescent="0.25">
      <c r="A489" s="33">
        <v>46169.94152010417</v>
      </c>
      <c r="B489" s="1">
        <v>46169</v>
      </c>
      <c r="C489" t="s">
        <v>23</v>
      </c>
      <c r="D489" t="s">
        <v>30</v>
      </c>
      <c r="E489" t="s">
        <v>31</v>
      </c>
      <c r="F489" t="s">
        <v>464</v>
      </c>
      <c r="G489" t="s">
        <v>465</v>
      </c>
      <c r="H489" t="s">
        <v>466</v>
      </c>
      <c r="I489">
        <v>1</v>
      </c>
      <c r="J489">
        <v>123.3</v>
      </c>
      <c r="K489">
        <v>-123.3</v>
      </c>
      <c r="L489" s="28">
        <v>-1</v>
      </c>
      <c r="N489" t="s">
        <v>26</v>
      </c>
      <c r="R489" t="s">
        <v>469</v>
      </c>
      <c r="S489" t="s">
        <v>976</v>
      </c>
    </row>
    <row r="490" spans="1:21" x14ac:dyDescent="0.25">
      <c r="A490" s="33">
        <v>46169.94152025463</v>
      </c>
      <c r="B490" s="1">
        <v>46169</v>
      </c>
      <c r="C490" t="s">
        <v>23</v>
      </c>
      <c r="D490" t="s">
        <v>30</v>
      </c>
      <c r="E490" t="s">
        <v>31</v>
      </c>
      <c r="F490" t="s">
        <v>464</v>
      </c>
      <c r="G490" t="s">
        <v>465</v>
      </c>
      <c r="H490" t="s">
        <v>466</v>
      </c>
      <c r="I490">
        <v>0.216643</v>
      </c>
      <c r="J490">
        <v>123.3</v>
      </c>
      <c r="K490">
        <v>-26.71</v>
      </c>
      <c r="N490" t="s">
        <v>26</v>
      </c>
      <c r="R490" t="s">
        <v>977</v>
      </c>
      <c r="S490" t="s">
        <v>978</v>
      </c>
    </row>
    <row r="491" spans="1:21" x14ac:dyDescent="0.25">
      <c r="A491" s="33">
        <v>46169.943294061042</v>
      </c>
      <c r="B491" s="1">
        <v>46169</v>
      </c>
      <c r="C491" t="s">
        <v>23</v>
      </c>
      <c r="D491" t="s">
        <v>24</v>
      </c>
      <c r="E491" t="s">
        <v>725</v>
      </c>
      <c r="G491" t="s">
        <v>853</v>
      </c>
      <c r="K491">
        <v>-1</v>
      </c>
      <c r="N491" t="s">
        <v>26</v>
      </c>
      <c r="R491" t="s">
        <v>854</v>
      </c>
      <c r="S491" t="s">
        <v>979</v>
      </c>
      <c r="T491" t="s">
        <v>853</v>
      </c>
      <c r="U491" t="s">
        <v>856</v>
      </c>
    </row>
    <row r="492" spans="1:21" x14ac:dyDescent="0.25">
      <c r="A492" s="33">
        <v>46169.947930199211</v>
      </c>
      <c r="B492" s="1">
        <v>46169</v>
      </c>
      <c r="C492" t="s">
        <v>23</v>
      </c>
      <c r="D492" t="s">
        <v>24</v>
      </c>
      <c r="E492" t="s">
        <v>25</v>
      </c>
      <c r="G492" t="s">
        <v>774</v>
      </c>
      <c r="K492">
        <v>101</v>
      </c>
      <c r="N492" t="s">
        <v>26</v>
      </c>
      <c r="R492" t="s">
        <v>246</v>
      </c>
      <c r="S492" t="s">
        <v>980</v>
      </c>
      <c r="T492" t="s">
        <v>774</v>
      </c>
      <c r="U492" t="s">
        <v>776</v>
      </c>
    </row>
    <row r="493" spans="1:21" x14ac:dyDescent="0.25">
      <c r="A493" s="33">
        <v>46169.942032326042</v>
      </c>
      <c r="B493" s="1">
        <v>46169</v>
      </c>
      <c r="C493" t="s">
        <v>23</v>
      </c>
      <c r="D493" t="s">
        <v>24</v>
      </c>
      <c r="E493" t="s">
        <v>725</v>
      </c>
      <c r="G493" t="s">
        <v>845</v>
      </c>
      <c r="K493">
        <v>-51</v>
      </c>
      <c r="N493" t="s">
        <v>26</v>
      </c>
      <c r="R493" t="s">
        <v>846</v>
      </c>
      <c r="S493" t="s">
        <v>981</v>
      </c>
      <c r="T493" t="s">
        <v>845</v>
      </c>
      <c r="U493" t="s">
        <v>848</v>
      </c>
    </row>
    <row r="494" spans="1:21" x14ac:dyDescent="0.25">
      <c r="A494" s="33">
        <v>46169.947983437502</v>
      </c>
      <c r="B494" s="1">
        <v>46169</v>
      </c>
      <c r="C494" t="s">
        <v>23</v>
      </c>
      <c r="D494" t="s">
        <v>30</v>
      </c>
      <c r="E494" t="s">
        <v>31</v>
      </c>
      <c r="F494" t="s">
        <v>32</v>
      </c>
      <c r="G494" t="s">
        <v>167</v>
      </c>
      <c r="H494" t="s">
        <v>168</v>
      </c>
      <c r="I494">
        <v>7.2522000000000003E-2</v>
      </c>
      <c r="J494">
        <v>1.958</v>
      </c>
      <c r="K494">
        <v>-0.14000000000000001</v>
      </c>
      <c r="N494" t="s">
        <v>26</v>
      </c>
      <c r="R494" t="s">
        <v>982</v>
      </c>
      <c r="S494" t="s">
        <v>983</v>
      </c>
    </row>
    <row r="495" spans="1:21" x14ac:dyDescent="0.25">
      <c r="A495" s="33">
        <v>46169.947983495367</v>
      </c>
      <c r="B495" s="1">
        <v>46169</v>
      </c>
      <c r="C495" t="s">
        <v>23</v>
      </c>
      <c r="D495" t="s">
        <v>30</v>
      </c>
      <c r="E495" t="s">
        <v>31</v>
      </c>
      <c r="F495" t="s">
        <v>32</v>
      </c>
      <c r="G495" t="s">
        <v>167</v>
      </c>
      <c r="H495" t="s">
        <v>168</v>
      </c>
      <c r="I495">
        <v>51</v>
      </c>
      <c r="J495">
        <v>1.958</v>
      </c>
      <c r="K495">
        <v>-99.86</v>
      </c>
      <c r="L495" s="28">
        <v>-1</v>
      </c>
      <c r="N495" t="s">
        <v>26</v>
      </c>
      <c r="R495" t="s">
        <v>984</v>
      </c>
      <c r="S495" t="s">
        <v>985</v>
      </c>
    </row>
    <row r="496" spans="1:21" x14ac:dyDescent="0.25">
      <c r="A496" s="33">
        <v>46169.951570102661</v>
      </c>
      <c r="B496" s="1">
        <v>46169</v>
      </c>
      <c r="C496" t="s">
        <v>23</v>
      </c>
      <c r="D496" t="s">
        <v>24</v>
      </c>
      <c r="E496" t="s">
        <v>25</v>
      </c>
      <c r="G496" t="s">
        <v>774</v>
      </c>
      <c r="K496">
        <v>101</v>
      </c>
      <c r="N496" t="s">
        <v>26</v>
      </c>
      <c r="R496" t="s">
        <v>246</v>
      </c>
      <c r="S496" t="s">
        <v>986</v>
      </c>
      <c r="T496" t="s">
        <v>774</v>
      </c>
      <c r="U496" t="s">
        <v>776</v>
      </c>
    </row>
    <row r="497" spans="1:21" x14ac:dyDescent="0.25">
      <c r="A497" s="33">
        <v>46169.942708467133</v>
      </c>
      <c r="B497" s="1">
        <v>46169</v>
      </c>
      <c r="C497" t="s">
        <v>23</v>
      </c>
      <c r="D497" t="s">
        <v>24</v>
      </c>
      <c r="E497" t="s">
        <v>725</v>
      </c>
      <c r="G497" t="s">
        <v>853</v>
      </c>
      <c r="K497">
        <v>-50</v>
      </c>
      <c r="N497" t="s">
        <v>26</v>
      </c>
      <c r="R497" t="s">
        <v>854</v>
      </c>
      <c r="S497" t="s">
        <v>987</v>
      </c>
      <c r="T497" t="s">
        <v>853</v>
      </c>
      <c r="U497" t="s">
        <v>856</v>
      </c>
    </row>
    <row r="498" spans="1:21" x14ac:dyDescent="0.25">
      <c r="A498" s="33">
        <v>46169.942377979743</v>
      </c>
      <c r="B498" s="1">
        <v>46169</v>
      </c>
      <c r="C498" t="s">
        <v>23</v>
      </c>
      <c r="D498" t="s">
        <v>24</v>
      </c>
      <c r="E498" t="s">
        <v>725</v>
      </c>
      <c r="G498" t="s">
        <v>850</v>
      </c>
      <c r="K498">
        <v>-51</v>
      </c>
      <c r="N498" t="s">
        <v>26</v>
      </c>
      <c r="R498" t="s">
        <v>726</v>
      </c>
      <c r="S498" t="s">
        <v>988</v>
      </c>
      <c r="T498" t="s">
        <v>850</v>
      </c>
      <c r="U498" t="s">
        <v>852</v>
      </c>
    </row>
    <row r="499" spans="1:21" x14ac:dyDescent="0.25">
      <c r="A499" s="33">
        <v>46169.951675185177</v>
      </c>
      <c r="B499" s="1">
        <v>46169</v>
      </c>
      <c r="C499" t="s">
        <v>23</v>
      </c>
      <c r="D499" t="s">
        <v>30</v>
      </c>
      <c r="E499" t="s">
        <v>31</v>
      </c>
      <c r="F499" t="s">
        <v>32</v>
      </c>
      <c r="G499" t="s">
        <v>515</v>
      </c>
      <c r="H499" t="s">
        <v>516</v>
      </c>
      <c r="I499">
        <v>8</v>
      </c>
      <c r="J499">
        <v>11.63</v>
      </c>
      <c r="K499">
        <v>-93.04</v>
      </c>
      <c r="L499" s="28">
        <v>-1</v>
      </c>
      <c r="N499" t="s">
        <v>26</v>
      </c>
      <c r="R499" t="s">
        <v>989</v>
      </c>
      <c r="S499" t="s">
        <v>990</v>
      </c>
    </row>
    <row r="500" spans="1:21" x14ac:dyDescent="0.25">
      <c r="A500" s="33">
        <v>46169.951677453697</v>
      </c>
      <c r="B500" s="1">
        <v>46169</v>
      </c>
      <c r="C500" t="s">
        <v>23</v>
      </c>
      <c r="D500" t="s">
        <v>30</v>
      </c>
      <c r="E500" t="s">
        <v>31</v>
      </c>
      <c r="F500" t="s">
        <v>32</v>
      </c>
      <c r="G500" t="s">
        <v>515</v>
      </c>
      <c r="H500" t="s">
        <v>516</v>
      </c>
      <c r="I500">
        <v>0.58369000000000004</v>
      </c>
      <c r="J500">
        <v>11.63</v>
      </c>
      <c r="K500">
        <v>-6.79</v>
      </c>
      <c r="N500" t="s">
        <v>26</v>
      </c>
      <c r="R500" t="s">
        <v>991</v>
      </c>
      <c r="S500" t="s">
        <v>992</v>
      </c>
    </row>
    <row r="501" spans="1:21" x14ac:dyDescent="0.25">
      <c r="A501" s="33">
        <v>46170.844366258527</v>
      </c>
      <c r="B501" s="1">
        <v>46170</v>
      </c>
      <c r="C501" t="s">
        <v>23</v>
      </c>
      <c r="D501" t="s">
        <v>24</v>
      </c>
      <c r="E501" t="s">
        <v>25</v>
      </c>
      <c r="G501" t="s">
        <v>774</v>
      </c>
      <c r="K501">
        <v>601</v>
      </c>
      <c r="N501" t="s">
        <v>26</v>
      </c>
      <c r="R501" t="s">
        <v>246</v>
      </c>
      <c r="S501" t="s">
        <v>993</v>
      </c>
      <c r="T501" t="s">
        <v>774</v>
      </c>
      <c r="U501" t="s">
        <v>776</v>
      </c>
    </row>
    <row r="502" spans="1:21" x14ac:dyDescent="0.25">
      <c r="A502" s="33">
        <v>46170.844424988427</v>
      </c>
      <c r="B502" s="1">
        <v>46170</v>
      </c>
      <c r="C502" t="s">
        <v>23</v>
      </c>
      <c r="D502" t="s">
        <v>30</v>
      </c>
      <c r="E502" t="s">
        <v>31</v>
      </c>
      <c r="F502" t="s">
        <v>464</v>
      </c>
      <c r="G502" t="s">
        <v>994</v>
      </c>
      <c r="H502" t="s">
        <v>995</v>
      </c>
      <c r="I502">
        <v>0.23700599999999999</v>
      </c>
      <c r="J502">
        <v>96.2</v>
      </c>
      <c r="K502">
        <v>-22.8</v>
      </c>
      <c r="N502" t="s">
        <v>26</v>
      </c>
      <c r="R502" t="s">
        <v>996</v>
      </c>
      <c r="S502" t="s">
        <v>997</v>
      </c>
    </row>
    <row r="503" spans="1:21" x14ac:dyDescent="0.25">
      <c r="A503" s="33">
        <v>46170.844425000003</v>
      </c>
      <c r="B503" s="1">
        <v>46170</v>
      </c>
      <c r="C503" t="s">
        <v>23</v>
      </c>
      <c r="D503" t="s">
        <v>30</v>
      </c>
      <c r="E503" t="s">
        <v>31</v>
      </c>
      <c r="F503" t="s">
        <v>464</v>
      </c>
      <c r="G503" t="s">
        <v>994</v>
      </c>
      <c r="H503" t="s">
        <v>995</v>
      </c>
      <c r="I503">
        <v>6</v>
      </c>
      <c r="J503">
        <v>96.2</v>
      </c>
      <c r="K503">
        <v>-577.20000000000005</v>
      </c>
      <c r="L503" s="28">
        <v>-1</v>
      </c>
      <c r="N503" t="s">
        <v>26</v>
      </c>
      <c r="R503" t="s">
        <v>998</v>
      </c>
      <c r="S503" t="s">
        <v>999</v>
      </c>
    </row>
    <row r="504" spans="1:21" x14ac:dyDescent="0.25">
      <c r="A504" s="33">
        <v>46171.859866666673</v>
      </c>
      <c r="B504" s="1">
        <v>46171</v>
      </c>
      <c r="C504" t="s">
        <v>23</v>
      </c>
      <c r="D504" t="s">
        <v>30</v>
      </c>
      <c r="E504" t="s">
        <v>82</v>
      </c>
      <c r="F504" t="s">
        <v>32</v>
      </c>
      <c r="G504" t="s">
        <v>937</v>
      </c>
      <c r="H504" t="s">
        <v>938</v>
      </c>
      <c r="I504">
        <v>-25</v>
      </c>
      <c r="J504">
        <v>5.4050000000000002</v>
      </c>
      <c r="K504">
        <v>135.13</v>
      </c>
      <c r="L504" s="28">
        <v>-1</v>
      </c>
      <c r="N504" t="s">
        <v>26</v>
      </c>
      <c r="R504" t="s">
        <v>1000</v>
      </c>
      <c r="S504" t="s">
        <v>1001</v>
      </c>
    </row>
    <row r="505" spans="1:21" x14ac:dyDescent="0.25">
      <c r="A505" s="33">
        <v>46172.88641364521</v>
      </c>
      <c r="B505" s="1">
        <v>46172</v>
      </c>
      <c r="C505" t="s">
        <v>23</v>
      </c>
      <c r="D505" t="s">
        <v>24</v>
      </c>
      <c r="E505" t="s">
        <v>161</v>
      </c>
      <c r="G505" t="s">
        <v>774</v>
      </c>
      <c r="K505">
        <v>-134.5</v>
      </c>
      <c r="N505" t="s">
        <v>26</v>
      </c>
      <c r="R505" t="s">
        <v>397</v>
      </c>
      <c r="S505" t="s">
        <v>1002</v>
      </c>
      <c r="T505" t="s">
        <v>774</v>
      </c>
      <c r="U505" t="s">
        <v>776</v>
      </c>
    </row>
    <row r="506" spans="1:21" x14ac:dyDescent="0.25">
      <c r="A506" s="33">
        <v>46174.351289252823</v>
      </c>
      <c r="B506" s="1">
        <v>46174</v>
      </c>
      <c r="C506" t="s">
        <v>23</v>
      </c>
      <c r="D506" t="s">
        <v>24</v>
      </c>
      <c r="E506" t="s">
        <v>25</v>
      </c>
      <c r="G506" t="s">
        <v>774</v>
      </c>
      <c r="K506">
        <v>301</v>
      </c>
      <c r="N506" t="s">
        <v>26</v>
      </c>
      <c r="R506" t="s">
        <v>246</v>
      </c>
      <c r="S506" t="s">
        <v>1003</v>
      </c>
      <c r="T506" t="s">
        <v>774</v>
      </c>
      <c r="U506" t="s">
        <v>776</v>
      </c>
    </row>
    <row r="507" spans="1:21" x14ac:dyDescent="0.25">
      <c r="A507" s="33">
        <v>46174.351350474542</v>
      </c>
      <c r="B507" s="1">
        <v>46174</v>
      </c>
      <c r="C507" t="s">
        <v>23</v>
      </c>
      <c r="D507" t="s">
        <v>30</v>
      </c>
      <c r="E507" t="s">
        <v>31</v>
      </c>
      <c r="F507" t="s">
        <v>464</v>
      </c>
      <c r="G507" t="s">
        <v>1004</v>
      </c>
      <c r="H507" t="s">
        <v>1005</v>
      </c>
      <c r="I507">
        <v>0.96122300000000005</v>
      </c>
      <c r="J507">
        <v>7.3239999999999998</v>
      </c>
      <c r="K507">
        <v>-7.04</v>
      </c>
      <c r="N507" t="s">
        <v>26</v>
      </c>
      <c r="R507" t="s">
        <v>1006</v>
      </c>
      <c r="S507" t="s">
        <v>1007</v>
      </c>
    </row>
    <row r="508" spans="1:21" x14ac:dyDescent="0.25">
      <c r="A508" s="33">
        <v>46174.351350578712</v>
      </c>
      <c r="B508" s="1">
        <v>46174</v>
      </c>
      <c r="C508" t="s">
        <v>23</v>
      </c>
      <c r="D508" t="s">
        <v>30</v>
      </c>
      <c r="E508" t="s">
        <v>31</v>
      </c>
      <c r="F508" t="s">
        <v>464</v>
      </c>
      <c r="G508" t="s">
        <v>1004</v>
      </c>
      <c r="H508" t="s">
        <v>1005</v>
      </c>
      <c r="I508">
        <v>40</v>
      </c>
      <c r="J508">
        <v>7.3239999999999998</v>
      </c>
      <c r="K508">
        <v>-292.95999999999998</v>
      </c>
      <c r="L508" s="28">
        <v>-1</v>
      </c>
      <c r="N508" t="s">
        <v>26</v>
      </c>
      <c r="R508" t="s">
        <v>1008</v>
      </c>
      <c r="S508" t="s">
        <v>1009</v>
      </c>
    </row>
    <row r="509" spans="1:21" x14ac:dyDescent="0.25">
      <c r="A509" s="33">
        <v>46174.352699778283</v>
      </c>
      <c r="B509" s="1">
        <v>46174</v>
      </c>
      <c r="C509" t="s">
        <v>23</v>
      </c>
      <c r="D509" t="s">
        <v>24</v>
      </c>
      <c r="E509" t="s">
        <v>25</v>
      </c>
      <c r="G509" t="s">
        <v>774</v>
      </c>
      <c r="K509">
        <v>301</v>
      </c>
      <c r="N509" t="s">
        <v>26</v>
      </c>
      <c r="R509" t="s">
        <v>246</v>
      </c>
      <c r="S509" t="s">
        <v>1010</v>
      </c>
      <c r="T509" t="s">
        <v>774</v>
      </c>
      <c r="U509" t="s">
        <v>776</v>
      </c>
    </row>
    <row r="510" spans="1:21" x14ac:dyDescent="0.25">
      <c r="A510" s="33">
        <v>46174.352777604166</v>
      </c>
      <c r="B510" s="1">
        <v>46174</v>
      </c>
      <c r="C510" t="s">
        <v>23</v>
      </c>
      <c r="D510" t="s">
        <v>30</v>
      </c>
      <c r="E510" t="s">
        <v>31</v>
      </c>
      <c r="F510" t="s">
        <v>464</v>
      </c>
      <c r="G510" t="s">
        <v>1011</v>
      </c>
      <c r="H510" t="s">
        <v>1012</v>
      </c>
      <c r="I510">
        <v>6</v>
      </c>
      <c r="J510">
        <v>47.204999999999998</v>
      </c>
      <c r="K510">
        <v>-283.23</v>
      </c>
      <c r="L510" s="28">
        <v>-1</v>
      </c>
      <c r="N510" t="s">
        <v>26</v>
      </c>
      <c r="R510" t="s">
        <v>1013</v>
      </c>
      <c r="S510" t="s">
        <v>1014</v>
      </c>
    </row>
    <row r="511" spans="1:21" x14ac:dyDescent="0.25">
      <c r="A511" s="33">
        <v>46174.352777627311</v>
      </c>
      <c r="B511" s="1">
        <v>46174</v>
      </c>
      <c r="C511" t="s">
        <v>23</v>
      </c>
      <c r="D511" t="s">
        <v>30</v>
      </c>
      <c r="E511" t="s">
        <v>31</v>
      </c>
      <c r="F511" t="s">
        <v>464</v>
      </c>
      <c r="G511" t="s">
        <v>1011</v>
      </c>
      <c r="H511" t="s">
        <v>1012</v>
      </c>
      <c r="I511">
        <v>0.35525800000000002</v>
      </c>
      <c r="J511">
        <v>47.204999999999998</v>
      </c>
      <c r="K511">
        <v>-16.77</v>
      </c>
      <c r="N511" t="s">
        <v>26</v>
      </c>
      <c r="R511" t="s">
        <v>1015</v>
      </c>
      <c r="S511" t="s">
        <v>1016</v>
      </c>
    </row>
    <row r="512" spans="1:21" x14ac:dyDescent="0.25">
      <c r="A512" s="33">
        <v>46174.356060852857</v>
      </c>
      <c r="B512" s="1">
        <v>46174</v>
      </c>
      <c r="C512" t="s">
        <v>23</v>
      </c>
      <c r="D512" t="s">
        <v>24</v>
      </c>
      <c r="E512" t="s">
        <v>25</v>
      </c>
      <c r="G512" t="s">
        <v>774</v>
      </c>
      <c r="K512">
        <v>301</v>
      </c>
      <c r="N512" t="s">
        <v>26</v>
      </c>
      <c r="R512" t="s">
        <v>246</v>
      </c>
      <c r="S512" t="s">
        <v>1017</v>
      </c>
      <c r="T512" t="s">
        <v>774</v>
      </c>
      <c r="U512" t="s">
        <v>776</v>
      </c>
    </row>
    <row r="513" spans="1:21" x14ac:dyDescent="0.25">
      <c r="A513" s="33">
        <v>46174.356111041663</v>
      </c>
      <c r="B513" s="1">
        <v>46174</v>
      </c>
      <c r="C513" t="s">
        <v>23</v>
      </c>
      <c r="D513" t="s">
        <v>30</v>
      </c>
      <c r="E513" t="s">
        <v>31</v>
      </c>
      <c r="F513" t="s">
        <v>464</v>
      </c>
      <c r="G513" t="s">
        <v>1018</v>
      </c>
      <c r="H513" t="s">
        <v>1019</v>
      </c>
      <c r="I513">
        <v>5</v>
      </c>
      <c r="J513">
        <v>57.5</v>
      </c>
      <c r="K513">
        <v>-287.5</v>
      </c>
      <c r="L513" s="28">
        <v>-1</v>
      </c>
      <c r="N513" t="s">
        <v>26</v>
      </c>
      <c r="R513" t="s">
        <v>1020</v>
      </c>
      <c r="S513" t="s">
        <v>1021</v>
      </c>
    </row>
    <row r="514" spans="1:21" x14ac:dyDescent="0.25">
      <c r="A514" s="33">
        <v>46174.356111053239</v>
      </c>
      <c r="B514" s="1">
        <v>46174</v>
      </c>
      <c r="C514" t="s">
        <v>23</v>
      </c>
      <c r="D514" t="s">
        <v>30</v>
      </c>
      <c r="E514" t="s">
        <v>31</v>
      </c>
      <c r="F514" t="s">
        <v>464</v>
      </c>
      <c r="G514" t="s">
        <v>1018</v>
      </c>
      <c r="H514" t="s">
        <v>1019</v>
      </c>
      <c r="I514">
        <v>0.217391</v>
      </c>
      <c r="J514">
        <v>57.5</v>
      </c>
      <c r="K514">
        <v>-12.5</v>
      </c>
      <c r="N514" t="s">
        <v>26</v>
      </c>
      <c r="R514" t="s">
        <v>1022</v>
      </c>
      <c r="S514" t="s">
        <v>1023</v>
      </c>
    </row>
    <row r="515" spans="1:21" x14ac:dyDescent="0.25">
      <c r="A515" s="33">
        <v>46175.419293417093</v>
      </c>
      <c r="B515" s="1">
        <v>46175</v>
      </c>
      <c r="C515" t="s">
        <v>23</v>
      </c>
      <c r="D515" t="s">
        <v>24</v>
      </c>
      <c r="E515" t="s">
        <v>25</v>
      </c>
      <c r="G515" t="s">
        <v>774</v>
      </c>
      <c r="K515">
        <v>101</v>
      </c>
      <c r="N515" t="s">
        <v>26</v>
      </c>
      <c r="R515" t="s">
        <v>246</v>
      </c>
      <c r="S515" t="s">
        <v>1024</v>
      </c>
      <c r="T515" t="s">
        <v>774</v>
      </c>
      <c r="U515" t="s">
        <v>776</v>
      </c>
    </row>
    <row r="516" spans="1:21" x14ac:dyDescent="0.25">
      <c r="A516" s="33">
        <v>46175.41940204861</v>
      </c>
      <c r="B516" s="1">
        <v>46175</v>
      </c>
      <c r="C516" t="s">
        <v>23</v>
      </c>
      <c r="D516" t="s">
        <v>30</v>
      </c>
      <c r="E516" t="s">
        <v>31</v>
      </c>
      <c r="F516" t="s">
        <v>32</v>
      </c>
      <c r="G516" t="s">
        <v>262</v>
      </c>
      <c r="H516" t="s">
        <v>263</v>
      </c>
      <c r="I516">
        <v>3</v>
      </c>
      <c r="J516">
        <v>33.33</v>
      </c>
      <c r="K516">
        <v>-99.99</v>
      </c>
      <c r="L516" s="28">
        <v>-1</v>
      </c>
      <c r="N516" t="s">
        <v>26</v>
      </c>
      <c r="R516" t="s">
        <v>1025</v>
      </c>
      <c r="S516" t="s">
        <v>1026</v>
      </c>
    </row>
    <row r="517" spans="1:21" x14ac:dyDescent="0.25">
      <c r="A517" s="33">
        <v>46175.681522546693</v>
      </c>
      <c r="B517" s="1">
        <v>46175</v>
      </c>
      <c r="C517" t="s">
        <v>23</v>
      </c>
      <c r="D517" t="s">
        <v>24</v>
      </c>
      <c r="E517" t="s">
        <v>25</v>
      </c>
      <c r="G517" t="s">
        <v>774</v>
      </c>
      <c r="K517">
        <v>51</v>
      </c>
      <c r="N517" t="s">
        <v>26</v>
      </c>
      <c r="R517" t="s">
        <v>246</v>
      </c>
      <c r="S517" t="s">
        <v>1027</v>
      </c>
      <c r="T517" t="s">
        <v>774</v>
      </c>
      <c r="U517" t="s">
        <v>776</v>
      </c>
    </row>
    <row r="518" spans="1:21" x14ac:dyDescent="0.25">
      <c r="A518" s="33">
        <v>46175.685721238428</v>
      </c>
      <c r="B518" s="1">
        <v>46175</v>
      </c>
      <c r="C518" t="s">
        <v>23</v>
      </c>
      <c r="D518" t="s">
        <v>30</v>
      </c>
      <c r="E518" t="s">
        <v>31</v>
      </c>
      <c r="F518" t="s">
        <v>464</v>
      </c>
      <c r="G518" t="s">
        <v>948</v>
      </c>
      <c r="H518" t="s">
        <v>949</v>
      </c>
      <c r="I518">
        <v>0.46720200000000001</v>
      </c>
      <c r="J518">
        <v>106.96</v>
      </c>
      <c r="K518">
        <v>-49.97</v>
      </c>
      <c r="L518" s="28">
        <v>-1</v>
      </c>
      <c r="N518" t="s">
        <v>26</v>
      </c>
      <c r="R518" t="s">
        <v>1028</v>
      </c>
      <c r="S518" t="s">
        <v>1029</v>
      </c>
    </row>
    <row r="519" spans="1:21" x14ac:dyDescent="0.25">
      <c r="A519" s="33">
        <v>46175.753800166283</v>
      </c>
      <c r="B519" s="1">
        <v>46175</v>
      </c>
      <c r="C519" t="s">
        <v>23</v>
      </c>
      <c r="D519" t="s">
        <v>24</v>
      </c>
      <c r="E519" t="s">
        <v>25</v>
      </c>
      <c r="G519" t="s">
        <v>774</v>
      </c>
      <c r="K519">
        <v>67</v>
      </c>
      <c r="N519" t="s">
        <v>26</v>
      </c>
      <c r="R519" t="s">
        <v>246</v>
      </c>
      <c r="S519" t="s">
        <v>1030</v>
      </c>
      <c r="T519" t="s">
        <v>774</v>
      </c>
      <c r="U519" t="s">
        <v>776</v>
      </c>
    </row>
    <row r="520" spans="1:21" x14ac:dyDescent="0.25">
      <c r="A520" s="33">
        <v>46175.753855405092</v>
      </c>
      <c r="B520" s="1">
        <v>46175</v>
      </c>
      <c r="C520" t="s">
        <v>23</v>
      </c>
      <c r="D520" t="s">
        <v>30</v>
      </c>
      <c r="E520" t="s">
        <v>31</v>
      </c>
      <c r="F520" t="s">
        <v>64</v>
      </c>
      <c r="G520" t="s">
        <v>65</v>
      </c>
      <c r="H520" t="s">
        <v>66</v>
      </c>
      <c r="I520">
        <v>1</v>
      </c>
      <c r="J520">
        <v>66.027000000000001</v>
      </c>
      <c r="K520">
        <v>-66.03</v>
      </c>
      <c r="L520" s="28">
        <v>-1</v>
      </c>
      <c r="N520" t="s">
        <v>26</v>
      </c>
      <c r="R520" t="s">
        <v>572</v>
      </c>
      <c r="S520" t="s">
        <v>1031</v>
      </c>
    </row>
    <row r="521" spans="1:21" x14ac:dyDescent="0.25">
      <c r="A521" s="33">
        <v>46176.951337587358</v>
      </c>
      <c r="B521" s="1">
        <v>46176</v>
      </c>
      <c r="C521" t="s">
        <v>23</v>
      </c>
      <c r="D521" t="s">
        <v>24</v>
      </c>
      <c r="E521" t="s">
        <v>25</v>
      </c>
      <c r="G521" t="s">
        <v>774</v>
      </c>
      <c r="K521">
        <v>38</v>
      </c>
      <c r="N521" t="s">
        <v>26</v>
      </c>
      <c r="R521" t="s">
        <v>246</v>
      </c>
      <c r="S521" t="s">
        <v>1032</v>
      </c>
      <c r="T521" t="s">
        <v>774</v>
      </c>
      <c r="U521" t="s">
        <v>776</v>
      </c>
    </row>
    <row r="522" spans="1:21" x14ac:dyDescent="0.25">
      <c r="A522" s="33">
        <v>46176.951422939812</v>
      </c>
      <c r="B522" s="1">
        <v>46176</v>
      </c>
      <c r="C522" t="s">
        <v>23</v>
      </c>
      <c r="D522" t="s">
        <v>30</v>
      </c>
      <c r="E522" t="s">
        <v>31</v>
      </c>
      <c r="F522" t="s">
        <v>32</v>
      </c>
      <c r="G522" t="s">
        <v>211</v>
      </c>
      <c r="H522" t="s">
        <v>212</v>
      </c>
      <c r="I522">
        <v>10</v>
      </c>
      <c r="J522">
        <v>3.63</v>
      </c>
      <c r="K522">
        <v>-36.299999999999997</v>
      </c>
      <c r="L522" s="28">
        <v>-1</v>
      </c>
      <c r="N522" t="s">
        <v>26</v>
      </c>
      <c r="R522" t="s">
        <v>934</v>
      </c>
      <c r="S522" t="s">
        <v>1033</v>
      </c>
    </row>
    <row r="523" spans="1:21" x14ac:dyDescent="0.25">
      <c r="A523" s="33">
        <v>46177.324554255669</v>
      </c>
      <c r="B523" s="1">
        <v>46177</v>
      </c>
      <c r="C523" t="s">
        <v>23</v>
      </c>
      <c r="D523" t="s">
        <v>24</v>
      </c>
      <c r="E523" t="s">
        <v>25</v>
      </c>
      <c r="G523" t="s">
        <v>774</v>
      </c>
      <c r="K523">
        <v>50</v>
      </c>
      <c r="N523" t="s">
        <v>26</v>
      </c>
      <c r="R523" t="s">
        <v>246</v>
      </c>
      <c r="S523" t="s">
        <v>1034</v>
      </c>
      <c r="T523" t="s">
        <v>774</v>
      </c>
      <c r="U523" t="s">
        <v>776</v>
      </c>
    </row>
    <row r="524" spans="1:21" x14ac:dyDescent="0.25">
      <c r="A524" s="33">
        <v>46177.327481029548</v>
      </c>
      <c r="B524" s="1">
        <v>46177</v>
      </c>
      <c r="C524" t="s">
        <v>23</v>
      </c>
      <c r="D524" t="s">
        <v>24</v>
      </c>
      <c r="E524" t="s">
        <v>25</v>
      </c>
      <c r="G524" t="s">
        <v>774</v>
      </c>
      <c r="K524">
        <v>419.37</v>
      </c>
      <c r="N524" t="s">
        <v>26</v>
      </c>
      <c r="R524" t="s">
        <v>246</v>
      </c>
      <c r="S524" t="s">
        <v>1035</v>
      </c>
      <c r="T524" t="s">
        <v>774</v>
      </c>
      <c r="U524" t="s">
        <v>776</v>
      </c>
    </row>
    <row r="525" spans="1:21" x14ac:dyDescent="0.25">
      <c r="A525" s="33">
        <v>46177.328674201388</v>
      </c>
      <c r="B525" s="1">
        <v>46177</v>
      </c>
      <c r="C525" t="s">
        <v>23</v>
      </c>
      <c r="D525" t="s">
        <v>30</v>
      </c>
      <c r="E525" t="s">
        <v>31</v>
      </c>
      <c r="F525" t="s">
        <v>32</v>
      </c>
      <c r="G525" t="s">
        <v>167</v>
      </c>
      <c r="H525" t="s">
        <v>168</v>
      </c>
      <c r="I525">
        <v>0.32240400000000002</v>
      </c>
      <c r="J525">
        <v>1.83</v>
      </c>
      <c r="K525">
        <v>-0.59</v>
      </c>
      <c r="N525" t="s">
        <v>26</v>
      </c>
      <c r="R525" t="s">
        <v>1036</v>
      </c>
      <c r="S525" t="s">
        <v>1037</v>
      </c>
    </row>
    <row r="526" spans="1:21" x14ac:dyDescent="0.25">
      <c r="A526" s="33">
        <v>46177.328674212957</v>
      </c>
      <c r="B526" s="1">
        <v>46177</v>
      </c>
      <c r="C526" t="s">
        <v>23</v>
      </c>
      <c r="D526" t="s">
        <v>30</v>
      </c>
      <c r="E526" t="s">
        <v>31</v>
      </c>
      <c r="F526" t="s">
        <v>32</v>
      </c>
      <c r="G526" t="s">
        <v>167</v>
      </c>
      <c r="H526" t="s">
        <v>168</v>
      </c>
      <c r="I526">
        <v>27</v>
      </c>
      <c r="J526">
        <v>1.83</v>
      </c>
      <c r="K526">
        <v>-49.41</v>
      </c>
      <c r="L526" s="28">
        <v>-1</v>
      </c>
      <c r="N526" t="s">
        <v>26</v>
      </c>
      <c r="R526" t="s">
        <v>898</v>
      </c>
      <c r="S526" t="s">
        <v>1038</v>
      </c>
    </row>
    <row r="527" spans="1:21" x14ac:dyDescent="0.25">
      <c r="A527" s="33">
        <v>46177.329673692133</v>
      </c>
      <c r="B527" s="1">
        <v>46177</v>
      </c>
      <c r="C527" t="s">
        <v>23</v>
      </c>
      <c r="D527" t="s">
        <v>30</v>
      </c>
      <c r="E527" t="s">
        <v>31</v>
      </c>
      <c r="F527" t="s">
        <v>32</v>
      </c>
      <c r="G527" t="s">
        <v>747</v>
      </c>
      <c r="H527" t="s">
        <v>748</v>
      </c>
      <c r="I527">
        <v>1</v>
      </c>
      <c r="J527">
        <v>70.819999999999993</v>
      </c>
      <c r="K527">
        <v>-70.819999999999993</v>
      </c>
      <c r="L527" s="28">
        <v>-1</v>
      </c>
      <c r="N527" t="s">
        <v>26</v>
      </c>
      <c r="R527" t="s">
        <v>878</v>
      </c>
      <c r="S527" t="s">
        <v>1039</v>
      </c>
    </row>
    <row r="528" spans="1:21" x14ac:dyDescent="0.25">
      <c r="A528" s="33">
        <v>46177.330057384257</v>
      </c>
      <c r="B528" s="1">
        <v>46177</v>
      </c>
      <c r="C528" t="s">
        <v>23</v>
      </c>
      <c r="D528" t="s">
        <v>30</v>
      </c>
      <c r="E528" t="s">
        <v>31</v>
      </c>
      <c r="F528" t="s">
        <v>464</v>
      </c>
      <c r="G528" t="s">
        <v>948</v>
      </c>
      <c r="H528" t="s">
        <v>949</v>
      </c>
      <c r="I528">
        <v>0.50818099999999999</v>
      </c>
      <c r="J528">
        <v>98.49</v>
      </c>
      <c r="K528">
        <v>-50.05</v>
      </c>
      <c r="L528" s="28">
        <v>-1</v>
      </c>
      <c r="N528" t="s">
        <v>26</v>
      </c>
      <c r="R528" t="s">
        <v>1040</v>
      </c>
      <c r="S528" t="s">
        <v>1041</v>
      </c>
    </row>
    <row r="529" spans="1:21" x14ac:dyDescent="0.25">
      <c r="A529" s="33">
        <v>46177.331998611109</v>
      </c>
      <c r="B529" s="1">
        <v>46177</v>
      </c>
      <c r="C529" t="s">
        <v>23</v>
      </c>
      <c r="D529" t="s">
        <v>30</v>
      </c>
      <c r="E529" t="s">
        <v>31</v>
      </c>
      <c r="F529" t="s">
        <v>32</v>
      </c>
      <c r="G529" t="s">
        <v>154</v>
      </c>
      <c r="H529" t="s">
        <v>155</v>
      </c>
      <c r="I529">
        <v>2</v>
      </c>
      <c r="J529">
        <v>23.51</v>
      </c>
      <c r="K529">
        <v>-47.02</v>
      </c>
      <c r="L529" s="28">
        <v>-1</v>
      </c>
      <c r="N529" t="s">
        <v>26</v>
      </c>
      <c r="R529" t="s">
        <v>173</v>
      </c>
      <c r="S529" t="s">
        <v>1042</v>
      </c>
    </row>
    <row r="530" spans="1:21" x14ac:dyDescent="0.25">
      <c r="A530" s="33">
        <v>46177.331998622692</v>
      </c>
      <c r="B530" s="1">
        <v>46177</v>
      </c>
      <c r="C530" t="s">
        <v>23</v>
      </c>
      <c r="D530" t="s">
        <v>30</v>
      </c>
      <c r="E530" t="s">
        <v>31</v>
      </c>
      <c r="F530" t="s">
        <v>32</v>
      </c>
      <c r="G530" t="s">
        <v>154</v>
      </c>
      <c r="H530" t="s">
        <v>155</v>
      </c>
      <c r="I530">
        <v>0.12675400000000001</v>
      </c>
      <c r="J530">
        <v>23.51</v>
      </c>
      <c r="K530">
        <v>-2.98</v>
      </c>
      <c r="N530" t="s">
        <v>26</v>
      </c>
      <c r="R530" t="s">
        <v>1043</v>
      </c>
      <c r="S530" t="s">
        <v>1044</v>
      </c>
    </row>
    <row r="531" spans="1:21" x14ac:dyDescent="0.25">
      <c r="A531" s="33">
        <v>46177.347603756119</v>
      </c>
      <c r="B531" s="1">
        <v>46177</v>
      </c>
      <c r="C531" t="s">
        <v>23</v>
      </c>
      <c r="D531" t="s">
        <v>24</v>
      </c>
      <c r="E531" t="s">
        <v>161</v>
      </c>
      <c r="G531" t="s">
        <v>807</v>
      </c>
      <c r="K531">
        <v>-45.21</v>
      </c>
      <c r="N531" t="s">
        <v>26</v>
      </c>
      <c r="R531" t="s">
        <v>661</v>
      </c>
      <c r="S531" t="s">
        <v>1045</v>
      </c>
      <c r="T531" t="s">
        <v>807</v>
      </c>
      <c r="U531" t="s">
        <v>809</v>
      </c>
    </row>
    <row r="532" spans="1:21" x14ac:dyDescent="0.25">
      <c r="A532" s="33">
        <v>46177.493117384263</v>
      </c>
      <c r="B532" s="1">
        <v>46177</v>
      </c>
      <c r="C532" t="s">
        <v>23</v>
      </c>
      <c r="D532" t="s">
        <v>30</v>
      </c>
      <c r="E532" t="s">
        <v>31</v>
      </c>
      <c r="F532" t="s">
        <v>64</v>
      </c>
      <c r="G532" t="s">
        <v>65</v>
      </c>
      <c r="H532" t="s">
        <v>66</v>
      </c>
      <c r="I532">
        <v>1</v>
      </c>
      <c r="J532">
        <v>59.058999999999997</v>
      </c>
      <c r="K532">
        <v>-59.06</v>
      </c>
      <c r="L532" s="28">
        <v>-1</v>
      </c>
      <c r="N532" t="s">
        <v>26</v>
      </c>
      <c r="R532" t="s">
        <v>572</v>
      </c>
      <c r="S532" t="s">
        <v>1046</v>
      </c>
    </row>
    <row r="533" spans="1:21" x14ac:dyDescent="0.25">
      <c r="A533" s="33">
        <v>46177.493557592592</v>
      </c>
      <c r="B533" s="1">
        <v>46177</v>
      </c>
      <c r="C533" t="s">
        <v>23</v>
      </c>
      <c r="D533" t="s">
        <v>30</v>
      </c>
      <c r="E533" t="s">
        <v>31</v>
      </c>
      <c r="F533" t="s">
        <v>64</v>
      </c>
      <c r="G533" t="s">
        <v>69</v>
      </c>
      <c r="H533" t="s">
        <v>69</v>
      </c>
      <c r="I533">
        <v>38.094856</v>
      </c>
      <c r="J533">
        <v>0.99757099999999999</v>
      </c>
      <c r="K533">
        <v>-38</v>
      </c>
      <c r="L533" s="28">
        <v>-1</v>
      </c>
      <c r="N533" t="s">
        <v>26</v>
      </c>
      <c r="R533" t="s">
        <v>1047</v>
      </c>
      <c r="S533" t="s">
        <v>1048</v>
      </c>
    </row>
    <row r="534" spans="1:21" x14ac:dyDescent="0.25">
      <c r="A534" s="33">
        <v>46177.847182280093</v>
      </c>
      <c r="B534" s="1">
        <v>46177</v>
      </c>
      <c r="C534" t="s">
        <v>23</v>
      </c>
      <c r="D534" t="s">
        <v>30</v>
      </c>
      <c r="E534" t="s">
        <v>31</v>
      </c>
      <c r="F534" t="s">
        <v>64</v>
      </c>
      <c r="G534" t="s">
        <v>72</v>
      </c>
      <c r="H534" t="s">
        <v>73</v>
      </c>
      <c r="I534">
        <v>310.01599599999997</v>
      </c>
      <c r="J534">
        <v>0.16129299999999999</v>
      </c>
      <c r="K534">
        <v>-50</v>
      </c>
      <c r="L534" s="28">
        <v>-1</v>
      </c>
      <c r="N534" t="s">
        <v>26</v>
      </c>
      <c r="R534" t="s">
        <v>1049</v>
      </c>
      <c r="S534" t="s">
        <v>1050</v>
      </c>
    </row>
    <row r="535" spans="1:21" x14ac:dyDescent="0.25">
      <c r="A535" s="33">
        <v>46177.873931364527</v>
      </c>
      <c r="B535" s="1">
        <v>46177</v>
      </c>
      <c r="C535" t="s">
        <v>23</v>
      </c>
      <c r="D535" t="s">
        <v>24</v>
      </c>
      <c r="E535" t="s">
        <v>25</v>
      </c>
      <c r="G535" t="s">
        <v>807</v>
      </c>
      <c r="K535">
        <v>2</v>
      </c>
      <c r="N535" t="s">
        <v>26</v>
      </c>
      <c r="R535" t="s">
        <v>647</v>
      </c>
      <c r="S535" t="s">
        <v>1051</v>
      </c>
      <c r="T535" t="s">
        <v>807</v>
      </c>
      <c r="U535" t="s">
        <v>809</v>
      </c>
    </row>
    <row r="536" spans="1:21" x14ac:dyDescent="0.25">
      <c r="A536" s="33">
        <v>46177.890543796297</v>
      </c>
      <c r="B536" s="1">
        <v>46177</v>
      </c>
      <c r="C536" t="s">
        <v>23</v>
      </c>
      <c r="D536" t="s">
        <v>30</v>
      </c>
      <c r="E536" t="s">
        <v>31</v>
      </c>
      <c r="F536" t="s">
        <v>464</v>
      </c>
      <c r="G536" t="s">
        <v>1004</v>
      </c>
      <c r="H536" t="s">
        <v>1005</v>
      </c>
      <c r="I536">
        <v>7</v>
      </c>
      <c r="J536">
        <v>7.13</v>
      </c>
      <c r="K536">
        <v>-49.91</v>
      </c>
      <c r="L536" s="28">
        <v>-1</v>
      </c>
      <c r="N536" t="s">
        <v>26</v>
      </c>
      <c r="R536" t="s">
        <v>1052</v>
      </c>
      <c r="S536" t="s">
        <v>1053</v>
      </c>
    </row>
    <row r="537" spans="1:21" x14ac:dyDescent="0.25">
      <c r="A537" s="33">
        <v>46177.890543807873</v>
      </c>
      <c r="B537" s="1">
        <v>46177</v>
      </c>
      <c r="C537" t="s">
        <v>23</v>
      </c>
      <c r="D537" t="s">
        <v>30</v>
      </c>
      <c r="E537" t="s">
        <v>31</v>
      </c>
      <c r="F537" t="s">
        <v>464</v>
      </c>
      <c r="G537" t="s">
        <v>1004</v>
      </c>
      <c r="H537" t="s">
        <v>1005</v>
      </c>
      <c r="I537">
        <v>1.2622E-2</v>
      </c>
      <c r="J537">
        <v>7.13</v>
      </c>
      <c r="K537">
        <v>-0.09</v>
      </c>
      <c r="N537" t="s">
        <v>26</v>
      </c>
      <c r="R537" t="s">
        <v>1054</v>
      </c>
      <c r="S537" t="s">
        <v>1055</v>
      </c>
    </row>
    <row r="538" spans="1:21" x14ac:dyDescent="0.25">
      <c r="A538" s="33">
        <v>46177.891498498277</v>
      </c>
      <c r="B538" s="1">
        <v>46177</v>
      </c>
      <c r="C538" t="s">
        <v>23</v>
      </c>
      <c r="D538" t="s">
        <v>24</v>
      </c>
      <c r="E538" t="s">
        <v>161</v>
      </c>
      <c r="G538" t="s">
        <v>807</v>
      </c>
      <c r="K538">
        <v>-0.94</v>
      </c>
      <c r="N538" t="s">
        <v>26</v>
      </c>
      <c r="R538" t="s">
        <v>661</v>
      </c>
      <c r="S538" t="s">
        <v>1056</v>
      </c>
      <c r="T538" t="s">
        <v>807</v>
      </c>
      <c r="U538" t="s">
        <v>809</v>
      </c>
    </row>
    <row r="539" spans="1:21" x14ac:dyDescent="0.25">
      <c r="A539" s="33">
        <v>46178.672507939817</v>
      </c>
      <c r="B539" s="1">
        <v>46178</v>
      </c>
      <c r="C539" t="s">
        <v>23</v>
      </c>
      <c r="D539" t="s">
        <v>30</v>
      </c>
      <c r="E539" t="s">
        <v>82</v>
      </c>
      <c r="F539" t="s">
        <v>32</v>
      </c>
      <c r="G539" t="s">
        <v>590</v>
      </c>
      <c r="H539" t="s">
        <v>591</v>
      </c>
      <c r="I539">
        <v>-33.53454</v>
      </c>
      <c r="J539">
        <v>6.2910000000000004</v>
      </c>
      <c r="K539">
        <v>210.97</v>
      </c>
      <c r="L539" s="28">
        <v>-1</v>
      </c>
      <c r="N539" t="s">
        <v>26</v>
      </c>
      <c r="R539" t="s">
        <v>1057</v>
      </c>
      <c r="S539" t="s">
        <v>1058</v>
      </c>
    </row>
    <row r="540" spans="1:21" x14ac:dyDescent="0.25">
      <c r="A540" s="33">
        <v>46178.696529594898</v>
      </c>
      <c r="B540" s="1">
        <v>46178</v>
      </c>
      <c r="C540" t="s">
        <v>23</v>
      </c>
      <c r="D540" t="s">
        <v>30</v>
      </c>
      <c r="E540" t="s">
        <v>31</v>
      </c>
      <c r="F540" t="s">
        <v>464</v>
      </c>
      <c r="G540" t="s">
        <v>948</v>
      </c>
      <c r="H540" t="s">
        <v>949</v>
      </c>
      <c r="I540">
        <v>0.52246599999999999</v>
      </c>
      <c r="J540">
        <v>95.8</v>
      </c>
      <c r="K540">
        <v>-50.05</v>
      </c>
      <c r="L540" s="28">
        <v>-1</v>
      </c>
      <c r="N540" t="s">
        <v>26</v>
      </c>
      <c r="R540" t="s">
        <v>1059</v>
      </c>
      <c r="S540" t="s">
        <v>1060</v>
      </c>
    </row>
    <row r="541" spans="1:21" x14ac:dyDescent="0.25">
      <c r="A541" s="33">
        <v>46178.699263032409</v>
      </c>
      <c r="B541" s="1">
        <v>46178</v>
      </c>
      <c r="C541" t="s">
        <v>23</v>
      </c>
      <c r="D541" t="s">
        <v>30</v>
      </c>
      <c r="E541" t="s">
        <v>31</v>
      </c>
      <c r="F541" t="s">
        <v>464</v>
      </c>
      <c r="G541" t="s">
        <v>1004</v>
      </c>
      <c r="H541" t="s">
        <v>1005</v>
      </c>
      <c r="I541">
        <v>0.599939</v>
      </c>
      <c r="J541">
        <v>6.5789999999999997</v>
      </c>
      <c r="K541">
        <v>-3.95</v>
      </c>
      <c r="N541" t="s">
        <v>26</v>
      </c>
      <c r="R541" t="s">
        <v>1061</v>
      </c>
      <c r="S541" t="s">
        <v>1062</v>
      </c>
    </row>
    <row r="542" spans="1:21" x14ac:dyDescent="0.25">
      <c r="A542" s="33">
        <v>46178.699263043978</v>
      </c>
      <c r="B542" s="1">
        <v>46178</v>
      </c>
      <c r="C542" t="s">
        <v>23</v>
      </c>
      <c r="D542" t="s">
        <v>30</v>
      </c>
      <c r="E542" t="s">
        <v>31</v>
      </c>
      <c r="F542" t="s">
        <v>464</v>
      </c>
      <c r="G542" t="s">
        <v>1004</v>
      </c>
      <c r="H542" t="s">
        <v>1005</v>
      </c>
      <c r="I542">
        <v>7</v>
      </c>
      <c r="J542">
        <v>6.5789999999999997</v>
      </c>
      <c r="K542">
        <v>-46.05</v>
      </c>
      <c r="L542" s="28">
        <v>-1</v>
      </c>
      <c r="N542" t="s">
        <v>26</v>
      </c>
      <c r="R542" t="s">
        <v>1052</v>
      </c>
      <c r="S542" t="s">
        <v>1063</v>
      </c>
    </row>
    <row r="543" spans="1:21" x14ac:dyDescent="0.25">
      <c r="A543" s="33">
        <v>46178.802286585647</v>
      </c>
      <c r="B543" s="1">
        <v>46178</v>
      </c>
      <c r="C543" t="s">
        <v>23</v>
      </c>
      <c r="D543" t="s">
        <v>30</v>
      </c>
      <c r="E543" t="s">
        <v>31</v>
      </c>
      <c r="F543" t="s">
        <v>32</v>
      </c>
      <c r="G543" t="s">
        <v>211</v>
      </c>
      <c r="H543" t="s">
        <v>212</v>
      </c>
      <c r="I543">
        <v>13</v>
      </c>
      <c r="J543">
        <v>3.64</v>
      </c>
      <c r="K543">
        <v>-47.32</v>
      </c>
      <c r="L543" s="28">
        <v>-1</v>
      </c>
      <c r="N543" t="s">
        <v>26</v>
      </c>
      <c r="R543" t="s">
        <v>1064</v>
      </c>
      <c r="S543" t="s">
        <v>1065</v>
      </c>
    </row>
    <row r="544" spans="1:21" x14ac:dyDescent="0.25">
      <c r="A544" s="33">
        <v>46178.886892669827</v>
      </c>
      <c r="B544" s="1">
        <v>46178</v>
      </c>
      <c r="C544" t="s">
        <v>23</v>
      </c>
      <c r="D544" t="s">
        <v>24</v>
      </c>
      <c r="E544" t="s">
        <v>25</v>
      </c>
      <c r="G544" t="s">
        <v>774</v>
      </c>
      <c r="K544">
        <v>400</v>
      </c>
      <c r="N544" t="s">
        <v>26</v>
      </c>
      <c r="R544" t="s">
        <v>246</v>
      </c>
      <c r="S544" t="s">
        <v>1066</v>
      </c>
      <c r="T544" t="s">
        <v>774</v>
      </c>
      <c r="U544" t="s">
        <v>776</v>
      </c>
    </row>
    <row r="545" spans="1:21" x14ac:dyDescent="0.25">
      <c r="A545" s="33">
        <v>46178.931196747682</v>
      </c>
      <c r="B545" s="1">
        <v>46178</v>
      </c>
      <c r="C545" t="s">
        <v>23</v>
      </c>
      <c r="D545" t="s">
        <v>30</v>
      </c>
      <c r="E545" t="s">
        <v>31</v>
      </c>
      <c r="F545" t="s">
        <v>464</v>
      </c>
      <c r="G545" t="s">
        <v>526</v>
      </c>
      <c r="H545" t="s">
        <v>527</v>
      </c>
      <c r="I545">
        <v>0.37703399999999998</v>
      </c>
      <c r="J545">
        <v>686.62</v>
      </c>
      <c r="K545">
        <v>-258.88</v>
      </c>
      <c r="L545" s="28">
        <v>-1</v>
      </c>
      <c r="N545" t="s">
        <v>26</v>
      </c>
      <c r="R545" t="s">
        <v>1067</v>
      </c>
      <c r="S545" t="s">
        <v>1068</v>
      </c>
    </row>
    <row r="546" spans="1:21" x14ac:dyDescent="0.25">
      <c r="A546" s="33">
        <v>46178.931478368053</v>
      </c>
      <c r="B546" s="1">
        <v>46178</v>
      </c>
      <c r="C546" t="s">
        <v>23</v>
      </c>
      <c r="D546" t="s">
        <v>30</v>
      </c>
      <c r="E546" t="s">
        <v>31</v>
      </c>
      <c r="F546" t="s">
        <v>464</v>
      </c>
      <c r="G546" t="s">
        <v>799</v>
      </c>
      <c r="H546" t="s">
        <v>800</v>
      </c>
      <c r="I546">
        <v>0.72223000000000004</v>
      </c>
      <c r="J546">
        <v>138.44</v>
      </c>
      <c r="K546">
        <v>-99.99</v>
      </c>
      <c r="L546" s="28">
        <v>-1</v>
      </c>
      <c r="N546" t="s">
        <v>26</v>
      </c>
      <c r="R546" t="s">
        <v>1069</v>
      </c>
      <c r="S546" t="s">
        <v>1070</v>
      </c>
    </row>
    <row r="547" spans="1:21" x14ac:dyDescent="0.25">
      <c r="A547" s="33">
        <v>46178.932106979169</v>
      </c>
      <c r="B547" s="1">
        <v>46178</v>
      </c>
      <c r="C547" t="s">
        <v>23</v>
      </c>
      <c r="D547" t="s">
        <v>30</v>
      </c>
      <c r="E547" t="s">
        <v>82</v>
      </c>
      <c r="F547" t="s">
        <v>32</v>
      </c>
      <c r="G547" t="s">
        <v>937</v>
      </c>
      <c r="H547" t="s">
        <v>938</v>
      </c>
      <c r="I547">
        <v>-0.73486200000000002</v>
      </c>
      <c r="J547">
        <v>3.782</v>
      </c>
      <c r="K547">
        <v>2.78</v>
      </c>
      <c r="N547" t="s">
        <v>26</v>
      </c>
      <c r="R547" t="s">
        <v>1071</v>
      </c>
      <c r="S547" t="s">
        <v>1072</v>
      </c>
    </row>
    <row r="548" spans="1:21" x14ac:dyDescent="0.25">
      <c r="A548" s="33">
        <v>46178.932107037042</v>
      </c>
      <c r="B548" s="1">
        <v>46178</v>
      </c>
      <c r="C548" t="s">
        <v>23</v>
      </c>
      <c r="D548" t="s">
        <v>30</v>
      </c>
      <c r="E548" t="s">
        <v>82</v>
      </c>
      <c r="F548" t="s">
        <v>32</v>
      </c>
      <c r="G548" t="s">
        <v>937</v>
      </c>
      <c r="H548" t="s">
        <v>938</v>
      </c>
      <c r="I548">
        <v>-38</v>
      </c>
      <c r="J548">
        <v>3.782</v>
      </c>
      <c r="K548">
        <v>143.72</v>
      </c>
      <c r="L548" s="28">
        <v>-1</v>
      </c>
      <c r="N548" t="s">
        <v>26</v>
      </c>
      <c r="R548" t="s">
        <v>1073</v>
      </c>
      <c r="S548" t="s">
        <v>1074</v>
      </c>
    </row>
    <row r="549" spans="1:21" x14ac:dyDescent="0.25">
      <c r="A549" s="33">
        <v>46178.933205127323</v>
      </c>
      <c r="B549" s="1">
        <v>46178</v>
      </c>
      <c r="C549" t="s">
        <v>23</v>
      </c>
      <c r="D549" t="s">
        <v>30</v>
      </c>
      <c r="E549" t="s">
        <v>31</v>
      </c>
      <c r="F549" t="s">
        <v>32</v>
      </c>
      <c r="G549" t="s">
        <v>154</v>
      </c>
      <c r="H549" t="s">
        <v>155</v>
      </c>
      <c r="I549">
        <v>3</v>
      </c>
      <c r="J549">
        <v>20.440000000000001</v>
      </c>
      <c r="K549">
        <v>-61.32</v>
      </c>
      <c r="L549" s="28">
        <v>-1</v>
      </c>
      <c r="N549" t="s">
        <v>26</v>
      </c>
      <c r="R549" t="s">
        <v>929</v>
      </c>
      <c r="S549" t="s">
        <v>1075</v>
      </c>
    </row>
    <row r="550" spans="1:21" x14ac:dyDescent="0.25">
      <c r="A550" s="33">
        <v>46178.934394131953</v>
      </c>
      <c r="B550" s="1">
        <v>46178</v>
      </c>
      <c r="C550" t="s">
        <v>23</v>
      </c>
      <c r="D550" t="s">
        <v>30</v>
      </c>
      <c r="E550" t="s">
        <v>31</v>
      </c>
      <c r="F550" t="s">
        <v>464</v>
      </c>
      <c r="G550" t="s">
        <v>994</v>
      </c>
      <c r="H550" t="s">
        <v>995</v>
      </c>
      <c r="I550">
        <v>1</v>
      </c>
      <c r="J550">
        <v>93.54</v>
      </c>
      <c r="K550">
        <v>-93.54</v>
      </c>
      <c r="L550" s="28">
        <v>-1</v>
      </c>
      <c r="N550" t="s">
        <v>26</v>
      </c>
      <c r="R550" t="s">
        <v>1076</v>
      </c>
      <c r="S550" t="s">
        <v>1077</v>
      </c>
    </row>
    <row r="551" spans="1:21" x14ac:dyDescent="0.25">
      <c r="A551" s="33">
        <v>46178.937073923611</v>
      </c>
      <c r="B551" s="1">
        <v>46178</v>
      </c>
      <c r="C551" t="s">
        <v>23</v>
      </c>
      <c r="D551" t="s">
        <v>30</v>
      </c>
      <c r="E551" t="s">
        <v>31</v>
      </c>
      <c r="F551" t="s">
        <v>464</v>
      </c>
      <c r="G551" t="s">
        <v>1011</v>
      </c>
      <c r="H551" t="s">
        <v>1012</v>
      </c>
      <c r="I551">
        <v>1.117443</v>
      </c>
      <c r="J551">
        <v>44.75</v>
      </c>
      <c r="K551">
        <v>-50.01</v>
      </c>
      <c r="L551" s="28">
        <v>-1</v>
      </c>
      <c r="N551" t="s">
        <v>26</v>
      </c>
      <c r="R551" t="s">
        <v>1078</v>
      </c>
      <c r="S551" t="s">
        <v>1079</v>
      </c>
    </row>
    <row r="552" spans="1:21" x14ac:dyDescent="0.25">
      <c r="A552" s="33">
        <v>46178.937667708327</v>
      </c>
      <c r="B552" s="1">
        <v>46178</v>
      </c>
      <c r="C552" t="s">
        <v>23</v>
      </c>
      <c r="D552" t="s">
        <v>30</v>
      </c>
      <c r="E552" t="s">
        <v>31</v>
      </c>
      <c r="F552" t="s">
        <v>32</v>
      </c>
      <c r="G552" t="s">
        <v>211</v>
      </c>
      <c r="H552" t="s">
        <v>212</v>
      </c>
      <c r="I552">
        <v>9</v>
      </c>
      <c r="J552">
        <v>3.6</v>
      </c>
      <c r="K552">
        <v>-32.4</v>
      </c>
      <c r="L552" s="28">
        <v>-1</v>
      </c>
      <c r="N552" t="s">
        <v>26</v>
      </c>
      <c r="R552" t="s">
        <v>1080</v>
      </c>
      <c r="S552" t="s">
        <v>1081</v>
      </c>
    </row>
    <row r="553" spans="1:21" x14ac:dyDescent="0.25">
      <c r="A553" s="33">
        <v>46178.937667719911</v>
      </c>
      <c r="B553" s="1">
        <v>46178</v>
      </c>
      <c r="C553" t="s">
        <v>23</v>
      </c>
      <c r="D553" t="s">
        <v>30</v>
      </c>
      <c r="E553" t="s">
        <v>31</v>
      </c>
      <c r="F553" t="s">
        <v>32</v>
      </c>
      <c r="G553" t="s">
        <v>211</v>
      </c>
      <c r="H553" t="s">
        <v>212</v>
      </c>
      <c r="I553">
        <v>0.44444400000000001</v>
      </c>
      <c r="J553">
        <v>3.6</v>
      </c>
      <c r="K553">
        <v>-1.6</v>
      </c>
      <c r="N553" t="s">
        <v>26</v>
      </c>
      <c r="R553" t="s">
        <v>1082</v>
      </c>
      <c r="S553" t="s">
        <v>1083</v>
      </c>
    </row>
    <row r="554" spans="1:21" x14ac:dyDescent="0.25">
      <c r="A554" s="33">
        <v>46178.943812305151</v>
      </c>
      <c r="B554" s="1">
        <v>46178</v>
      </c>
      <c r="C554" t="s">
        <v>23</v>
      </c>
      <c r="D554" t="s">
        <v>24</v>
      </c>
      <c r="E554" t="s">
        <v>25</v>
      </c>
      <c r="G554" t="s">
        <v>774</v>
      </c>
      <c r="K554">
        <v>34</v>
      </c>
      <c r="N554" t="s">
        <v>26</v>
      </c>
      <c r="R554" t="s">
        <v>246</v>
      </c>
      <c r="S554" t="s">
        <v>1084</v>
      </c>
      <c r="T554" t="s">
        <v>774</v>
      </c>
      <c r="U554" t="s">
        <v>776</v>
      </c>
    </row>
    <row r="555" spans="1:21" x14ac:dyDescent="0.25">
      <c r="A555" s="33">
        <v>46178.943869722221</v>
      </c>
      <c r="B555" s="1">
        <v>46178</v>
      </c>
      <c r="C555" t="s">
        <v>23</v>
      </c>
      <c r="D555" t="s">
        <v>30</v>
      </c>
      <c r="E555" t="s">
        <v>31</v>
      </c>
      <c r="F555" t="s">
        <v>32</v>
      </c>
      <c r="G555" t="s">
        <v>515</v>
      </c>
      <c r="H555" t="s">
        <v>516</v>
      </c>
      <c r="I555">
        <v>3</v>
      </c>
      <c r="J555">
        <v>11.14</v>
      </c>
      <c r="K555">
        <v>-33.42</v>
      </c>
      <c r="L555" s="28">
        <v>-1</v>
      </c>
      <c r="N555" t="s">
        <v>26</v>
      </c>
      <c r="R555" t="s">
        <v>1085</v>
      </c>
      <c r="S555" t="s">
        <v>1086</v>
      </c>
    </row>
    <row r="556" spans="1:21" x14ac:dyDescent="0.25">
      <c r="A556" s="33">
        <v>46178.956111170177</v>
      </c>
      <c r="B556" s="1">
        <v>46178</v>
      </c>
      <c r="C556" t="s">
        <v>23</v>
      </c>
      <c r="D556" t="s">
        <v>24</v>
      </c>
      <c r="E556" t="s">
        <v>25</v>
      </c>
      <c r="G556" t="s">
        <v>774</v>
      </c>
      <c r="K556">
        <v>51</v>
      </c>
      <c r="N556" t="s">
        <v>26</v>
      </c>
      <c r="R556" t="s">
        <v>246</v>
      </c>
      <c r="S556" t="s">
        <v>1087</v>
      </c>
      <c r="T556" t="s">
        <v>774</v>
      </c>
      <c r="U556" t="s">
        <v>776</v>
      </c>
    </row>
    <row r="557" spans="1:21" x14ac:dyDescent="0.25">
      <c r="A557" s="33">
        <v>46178.956170370373</v>
      </c>
      <c r="B557" s="1">
        <v>46178</v>
      </c>
      <c r="C557" t="s">
        <v>23</v>
      </c>
      <c r="D557" t="s">
        <v>30</v>
      </c>
      <c r="E557" t="s">
        <v>31</v>
      </c>
      <c r="F557" t="s">
        <v>464</v>
      </c>
      <c r="G557" t="s">
        <v>1018</v>
      </c>
      <c r="H557" t="s">
        <v>1019</v>
      </c>
      <c r="I557">
        <v>0.94357400000000002</v>
      </c>
      <c r="J557">
        <v>52.89</v>
      </c>
      <c r="K557">
        <v>-49.91</v>
      </c>
      <c r="L557" s="28">
        <v>-1</v>
      </c>
      <c r="N557" t="s">
        <v>26</v>
      </c>
      <c r="R557" t="s">
        <v>1088</v>
      </c>
      <c r="S557" t="s">
        <v>1089</v>
      </c>
    </row>
    <row r="558" spans="1:21" x14ac:dyDescent="0.25">
      <c r="A558" s="33">
        <v>46179.340913438573</v>
      </c>
      <c r="B558" s="1">
        <v>46179</v>
      </c>
      <c r="C558" t="s">
        <v>23</v>
      </c>
      <c r="D558" t="s">
        <v>24</v>
      </c>
      <c r="E558" t="s">
        <v>25</v>
      </c>
      <c r="G558" t="s">
        <v>774</v>
      </c>
      <c r="K558">
        <v>55</v>
      </c>
      <c r="N558" t="s">
        <v>26</v>
      </c>
      <c r="R558" t="s">
        <v>246</v>
      </c>
      <c r="S558" t="s">
        <v>1090</v>
      </c>
      <c r="T558" t="s">
        <v>774</v>
      </c>
      <c r="U558" t="s">
        <v>776</v>
      </c>
    </row>
    <row r="559" spans="1:21" x14ac:dyDescent="0.25">
      <c r="A559" s="33">
        <v>46179.340965543983</v>
      </c>
      <c r="B559" s="1">
        <v>46179</v>
      </c>
      <c r="C559" t="s">
        <v>23</v>
      </c>
      <c r="D559" t="s">
        <v>30</v>
      </c>
      <c r="E559" t="s">
        <v>31</v>
      </c>
      <c r="F559" t="s">
        <v>64</v>
      </c>
      <c r="G559" t="s">
        <v>65</v>
      </c>
      <c r="H559" t="s">
        <v>66</v>
      </c>
      <c r="I559">
        <v>1</v>
      </c>
      <c r="J559">
        <v>54.796999999999997</v>
      </c>
      <c r="K559">
        <v>-54.8</v>
      </c>
      <c r="L559" s="28">
        <v>-1</v>
      </c>
      <c r="N559" t="s">
        <v>26</v>
      </c>
      <c r="R559" t="s">
        <v>572</v>
      </c>
      <c r="S559" t="s">
        <v>1091</v>
      </c>
    </row>
    <row r="560" spans="1:21" x14ac:dyDescent="0.25">
      <c r="A560" s="33">
        <v>46182.828904154383</v>
      </c>
      <c r="B560" s="1">
        <v>46182</v>
      </c>
      <c r="C560" t="s">
        <v>23</v>
      </c>
      <c r="D560" t="s">
        <v>24</v>
      </c>
      <c r="E560" t="s">
        <v>25</v>
      </c>
      <c r="G560" t="s">
        <v>774</v>
      </c>
      <c r="K560">
        <v>47</v>
      </c>
      <c r="N560" t="s">
        <v>26</v>
      </c>
      <c r="R560" t="s">
        <v>246</v>
      </c>
      <c r="S560" t="s">
        <v>1092</v>
      </c>
      <c r="T560" t="s">
        <v>774</v>
      </c>
      <c r="U560" t="s">
        <v>776</v>
      </c>
    </row>
    <row r="561" spans="1:21" x14ac:dyDescent="0.25">
      <c r="A561" s="33">
        <v>46182.881343394038</v>
      </c>
      <c r="B561" s="1">
        <v>46182</v>
      </c>
      <c r="C561" t="s">
        <v>23</v>
      </c>
      <c r="D561" t="s">
        <v>24</v>
      </c>
      <c r="E561" t="s">
        <v>161</v>
      </c>
      <c r="G561" t="s">
        <v>774</v>
      </c>
      <c r="K561">
        <v>-47.23</v>
      </c>
      <c r="N561" t="s">
        <v>26</v>
      </c>
      <c r="R561" t="s">
        <v>397</v>
      </c>
      <c r="S561" t="s">
        <v>1093</v>
      </c>
      <c r="T561" t="s">
        <v>774</v>
      </c>
      <c r="U561" t="s">
        <v>776</v>
      </c>
    </row>
    <row r="562" spans="1:21" x14ac:dyDescent="0.25">
      <c r="A562" s="33">
        <v>46184.823018679119</v>
      </c>
      <c r="B562" s="1">
        <v>46184</v>
      </c>
      <c r="C562" t="s">
        <v>23</v>
      </c>
      <c r="D562" t="s">
        <v>24</v>
      </c>
      <c r="E562" t="s">
        <v>25</v>
      </c>
      <c r="G562" t="s">
        <v>807</v>
      </c>
      <c r="K562">
        <v>200</v>
      </c>
      <c r="N562" t="s">
        <v>26</v>
      </c>
      <c r="R562" t="s">
        <v>647</v>
      </c>
      <c r="S562" t="s">
        <v>1094</v>
      </c>
      <c r="T562" t="s">
        <v>807</v>
      </c>
      <c r="U562" t="s">
        <v>809</v>
      </c>
    </row>
    <row r="563" spans="1:21" x14ac:dyDescent="0.25">
      <c r="A563" s="33">
        <v>46184.825424305564</v>
      </c>
      <c r="B563" s="1">
        <v>46184</v>
      </c>
      <c r="C563" t="s">
        <v>23</v>
      </c>
      <c r="D563" t="s">
        <v>30</v>
      </c>
      <c r="E563" t="s">
        <v>31</v>
      </c>
      <c r="F563" t="s">
        <v>32</v>
      </c>
      <c r="G563" t="s">
        <v>515</v>
      </c>
      <c r="H563" t="s">
        <v>516</v>
      </c>
      <c r="I563">
        <v>11</v>
      </c>
      <c r="J563">
        <v>9.08</v>
      </c>
      <c r="K563">
        <v>-99.88</v>
      </c>
      <c r="L563" s="28">
        <v>-1</v>
      </c>
      <c r="N563" t="s">
        <v>26</v>
      </c>
      <c r="R563" t="s">
        <v>1095</v>
      </c>
      <c r="S563" t="s">
        <v>1096</v>
      </c>
    </row>
    <row r="564" spans="1:21" x14ac:dyDescent="0.25">
      <c r="A564" s="33">
        <v>46184.825681099537</v>
      </c>
      <c r="B564" s="1">
        <v>46184</v>
      </c>
      <c r="C564" t="s">
        <v>23</v>
      </c>
      <c r="D564" t="s">
        <v>30</v>
      </c>
      <c r="E564" t="s">
        <v>31</v>
      </c>
      <c r="F564" t="s">
        <v>32</v>
      </c>
      <c r="G564" t="s">
        <v>167</v>
      </c>
      <c r="H564" t="s">
        <v>168</v>
      </c>
      <c r="I564">
        <v>29</v>
      </c>
      <c r="J564">
        <v>1.6884999999999999</v>
      </c>
      <c r="K564">
        <v>-48.97</v>
      </c>
      <c r="L564" s="28">
        <v>-1</v>
      </c>
      <c r="N564" t="s">
        <v>26</v>
      </c>
      <c r="R564" t="s">
        <v>1097</v>
      </c>
      <c r="S564" t="s">
        <v>1098</v>
      </c>
    </row>
    <row r="565" spans="1:21" x14ac:dyDescent="0.25">
      <c r="A565" s="33">
        <v>46184.825681111113</v>
      </c>
      <c r="B565" s="1">
        <v>46184</v>
      </c>
      <c r="C565" t="s">
        <v>23</v>
      </c>
      <c r="D565" t="s">
        <v>30</v>
      </c>
      <c r="E565" t="s">
        <v>31</v>
      </c>
      <c r="F565" t="s">
        <v>32</v>
      </c>
      <c r="G565" t="s">
        <v>167</v>
      </c>
      <c r="H565" t="s">
        <v>168</v>
      </c>
      <c r="I565">
        <v>0.61208099999999999</v>
      </c>
      <c r="J565">
        <v>1.6884999999999999</v>
      </c>
      <c r="K565">
        <v>-1.03</v>
      </c>
      <c r="N565" t="s">
        <v>26</v>
      </c>
      <c r="R565" t="s">
        <v>1099</v>
      </c>
      <c r="S565" t="s">
        <v>1100</v>
      </c>
    </row>
    <row r="566" spans="1:21" x14ac:dyDescent="0.25">
      <c r="A566" s="33">
        <v>46184.82782165509</v>
      </c>
      <c r="B566" s="1">
        <v>46184</v>
      </c>
      <c r="C566" t="s">
        <v>23</v>
      </c>
      <c r="D566" t="s">
        <v>30</v>
      </c>
      <c r="E566" t="s">
        <v>31</v>
      </c>
      <c r="F566" t="s">
        <v>32</v>
      </c>
      <c r="G566" t="s">
        <v>211</v>
      </c>
      <c r="H566" t="s">
        <v>212</v>
      </c>
      <c r="I566">
        <v>0.40105499999999999</v>
      </c>
      <c r="J566">
        <v>3.8</v>
      </c>
      <c r="K566">
        <v>-1.52</v>
      </c>
      <c r="N566" t="s">
        <v>26</v>
      </c>
      <c r="R566" t="s">
        <v>1101</v>
      </c>
      <c r="S566" t="s">
        <v>1102</v>
      </c>
    </row>
    <row r="567" spans="1:21" x14ac:dyDescent="0.25">
      <c r="A567" s="33">
        <v>46184.827821840277</v>
      </c>
      <c r="B567" s="1">
        <v>46184</v>
      </c>
      <c r="C567" t="s">
        <v>23</v>
      </c>
      <c r="D567" t="s">
        <v>30</v>
      </c>
      <c r="E567" t="s">
        <v>31</v>
      </c>
      <c r="F567" t="s">
        <v>32</v>
      </c>
      <c r="G567" t="s">
        <v>211</v>
      </c>
      <c r="H567" t="s">
        <v>212</v>
      </c>
      <c r="I567">
        <v>12</v>
      </c>
      <c r="J567">
        <v>3.8</v>
      </c>
      <c r="K567">
        <v>-45.6</v>
      </c>
      <c r="L567" s="28">
        <v>-1</v>
      </c>
      <c r="N567" t="s">
        <v>26</v>
      </c>
      <c r="R567" t="s">
        <v>534</v>
      </c>
      <c r="S567" t="s">
        <v>1103</v>
      </c>
    </row>
    <row r="568" spans="1:21" x14ac:dyDescent="0.25">
      <c r="A568" s="33">
        <v>46188.724286261568</v>
      </c>
      <c r="B568" s="1">
        <v>46188</v>
      </c>
      <c r="C568" t="s">
        <v>23</v>
      </c>
      <c r="D568" t="s">
        <v>30</v>
      </c>
      <c r="E568" t="s">
        <v>82</v>
      </c>
      <c r="F568" t="s">
        <v>32</v>
      </c>
      <c r="G568" t="s">
        <v>211</v>
      </c>
      <c r="H568" t="s">
        <v>212</v>
      </c>
      <c r="I568">
        <v>-147.77105399999999</v>
      </c>
      <c r="J568">
        <v>4.92</v>
      </c>
      <c r="K568">
        <v>727.03</v>
      </c>
      <c r="L568" s="28">
        <v>-1</v>
      </c>
      <c r="N568" t="s">
        <v>26</v>
      </c>
      <c r="R568" t="s">
        <v>1104</v>
      </c>
      <c r="S568" t="s">
        <v>1105</v>
      </c>
    </row>
    <row r="569" spans="1:21" x14ac:dyDescent="0.25">
      <c r="A569" s="33">
        <v>46188.820106320323</v>
      </c>
      <c r="B569" s="1">
        <v>46188</v>
      </c>
      <c r="C569" t="s">
        <v>23</v>
      </c>
      <c r="D569" t="s">
        <v>24</v>
      </c>
      <c r="E569" t="s">
        <v>25</v>
      </c>
      <c r="G569" t="s">
        <v>774</v>
      </c>
      <c r="K569">
        <v>51</v>
      </c>
      <c r="N569" t="s">
        <v>26</v>
      </c>
      <c r="R569" t="s">
        <v>246</v>
      </c>
      <c r="S569" t="s">
        <v>1106</v>
      </c>
      <c r="T569" t="s">
        <v>774</v>
      </c>
      <c r="U569" t="s">
        <v>776</v>
      </c>
    </row>
    <row r="570" spans="1:21" x14ac:dyDescent="0.25">
      <c r="A570" s="33">
        <v>46189.42436713654</v>
      </c>
      <c r="B570" s="1">
        <v>46189</v>
      </c>
      <c r="C570" t="s">
        <v>23</v>
      </c>
      <c r="D570" t="s">
        <v>24</v>
      </c>
      <c r="E570" t="s">
        <v>1107</v>
      </c>
      <c r="G570" t="s">
        <v>774</v>
      </c>
      <c r="K570">
        <v>-726.03</v>
      </c>
      <c r="N570" t="s">
        <v>26</v>
      </c>
      <c r="R570" t="s">
        <v>397</v>
      </c>
      <c r="S570" t="s">
        <v>1108</v>
      </c>
      <c r="T570" t="s">
        <v>774</v>
      </c>
      <c r="U570" t="s">
        <v>776</v>
      </c>
    </row>
    <row r="571" spans="1:21" x14ac:dyDescent="0.25">
      <c r="A571" s="33">
        <v>46189.762464517407</v>
      </c>
      <c r="B571" s="1">
        <v>46189</v>
      </c>
      <c r="C571" t="s">
        <v>23</v>
      </c>
      <c r="D571" t="s">
        <v>24</v>
      </c>
      <c r="E571" t="s">
        <v>25</v>
      </c>
      <c r="G571" t="s">
        <v>807</v>
      </c>
      <c r="K571">
        <v>51</v>
      </c>
      <c r="N571" t="s">
        <v>26</v>
      </c>
      <c r="R571" t="s">
        <v>647</v>
      </c>
      <c r="S571" t="s">
        <v>1109</v>
      </c>
      <c r="T571" t="s">
        <v>807</v>
      </c>
      <c r="U571" t="s">
        <v>809</v>
      </c>
    </row>
    <row r="572" spans="1:21" x14ac:dyDescent="0.25">
      <c r="A572" s="33">
        <v>46189.80372783565</v>
      </c>
      <c r="B572" s="1">
        <v>46189</v>
      </c>
      <c r="C572" t="s">
        <v>23</v>
      </c>
      <c r="D572" t="s">
        <v>30</v>
      </c>
      <c r="E572" t="s">
        <v>31</v>
      </c>
      <c r="F572" t="s">
        <v>464</v>
      </c>
      <c r="G572" t="s">
        <v>948</v>
      </c>
      <c r="H572" t="s">
        <v>949</v>
      </c>
      <c r="I572">
        <v>0.58268200000000003</v>
      </c>
      <c r="J572">
        <v>85.81</v>
      </c>
      <c r="K572">
        <v>-50</v>
      </c>
      <c r="L572" s="28">
        <v>-1</v>
      </c>
      <c r="N572" t="s">
        <v>26</v>
      </c>
      <c r="R572" t="s">
        <v>1110</v>
      </c>
      <c r="S572" t="s">
        <v>1111</v>
      </c>
    </row>
    <row r="573" spans="1:21" x14ac:dyDescent="0.25">
      <c r="A573" s="33">
        <v>46189.805898483799</v>
      </c>
      <c r="B573" s="1">
        <v>46189</v>
      </c>
      <c r="C573" t="s">
        <v>23</v>
      </c>
      <c r="D573" t="s">
        <v>30</v>
      </c>
      <c r="E573" t="s">
        <v>31</v>
      </c>
      <c r="F573" t="s">
        <v>464</v>
      </c>
      <c r="G573" t="s">
        <v>1004</v>
      </c>
      <c r="H573" t="s">
        <v>1005</v>
      </c>
      <c r="I573">
        <v>8.7458449999999992</v>
      </c>
      <c r="J573">
        <v>5.6980000000000004</v>
      </c>
      <c r="K573">
        <v>-49.83</v>
      </c>
      <c r="L573" s="28">
        <v>-1</v>
      </c>
      <c r="N573" t="s">
        <v>26</v>
      </c>
      <c r="R573" t="s">
        <v>1112</v>
      </c>
      <c r="S573" t="s">
        <v>1113</v>
      </c>
    </row>
    <row r="574" spans="1:21" x14ac:dyDescent="0.25">
      <c r="A574" s="33">
        <v>46195.729173159823</v>
      </c>
      <c r="B574" s="1">
        <v>46195</v>
      </c>
      <c r="C574" t="s">
        <v>23</v>
      </c>
      <c r="D574" t="s">
        <v>24</v>
      </c>
      <c r="E574" t="s">
        <v>25</v>
      </c>
      <c r="G574" t="s">
        <v>774</v>
      </c>
      <c r="K574">
        <v>66</v>
      </c>
      <c r="N574" t="s">
        <v>26</v>
      </c>
      <c r="R574" t="s">
        <v>246</v>
      </c>
      <c r="S574" t="s">
        <v>1114</v>
      </c>
      <c r="T574" t="s">
        <v>774</v>
      </c>
      <c r="U574" t="s">
        <v>776</v>
      </c>
    </row>
    <row r="575" spans="1:21" x14ac:dyDescent="0.25">
      <c r="A575" s="33">
        <v>46195.72927113426</v>
      </c>
      <c r="B575" s="1">
        <v>46195</v>
      </c>
      <c r="C575" t="s">
        <v>23</v>
      </c>
      <c r="D575" t="s">
        <v>30</v>
      </c>
      <c r="E575" t="s">
        <v>31</v>
      </c>
      <c r="F575" t="s">
        <v>32</v>
      </c>
      <c r="G575" t="s">
        <v>747</v>
      </c>
      <c r="H575" t="s">
        <v>748</v>
      </c>
      <c r="I575">
        <v>1</v>
      </c>
      <c r="J575">
        <v>64.5</v>
      </c>
      <c r="K575">
        <v>-64.5</v>
      </c>
      <c r="L575" s="28">
        <v>-1</v>
      </c>
      <c r="N575" t="s">
        <v>26</v>
      </c>
      <c r="R575" t="s">
        <v>878</v>
      </c>
      <c r="S575" t="s">
        <v>1115</v>
      </c>
    </row>
    <row r="576" spans="1:21" x14ac:dyDescent="0.25">
      <c r="A576" s="33">
        <v>46196.468794598783</v>
      </c>
      <c r="B576" s="1">
        <v>46196</v>
      </c>
      <c r="C576" t="s">
        <v>23</v>
      </c>
      <c r="D576" t="s">
        <v>24</v>
      </c>
      <c r="E576" t="s">
        <v>25</v>
      </c>
      <c r="G576" t="s">
        <v>807</v>
      </c>
      <c r="K576">
        <v>51</v>
      </c>
      <c r="N576" t="s">
        <v>26</v>
      </c>
      <c r="R576" t="s">
        <v>647</v>
      </c>
      <c r="S576" t="s">
        <v>1116</v>
      </c>
      <c r="T576" t="s">
        <v>807</v>
      </c>
      <c r="U576" t="s">
        <v>809</v>
      </c>
    </row>
    <row r="577" spans="1:21" x14ac:dyDescent="0.25">
      <c r="A577" s="33">
        <v>46196.46907590278</v>
      </c>
      <c r="B577" s="1">
        <v>46196</v>
      </c>
      <c r="C577" t="s">
        <v>23</v>
      </c>
      <c r="D577" t="s">
        <v>30</v>
      </c>
      <c r="E577" t="s">
        <v>31</v>
      </c>
      <c r="F577" t="s">
        <v>464</v>
      </c>
      <c r="G577" t="s">
        <v>948</v>
      </c>
      <c r="H577" t="s">
        <v>949</v>
      </c>
      <c r="I577">
        <v>0.63123300000000004</v>
      </c>
      <c r="J577">
        <v>79.19</v>
      </c>
      <c r="K577">
        <v>-49.99</v>
      </c>
      <c r="L577" s="28">
        <v>-1</v>
      </c>
      <c r="N577" t="s">
        <v>26</v>
      </c>
      <c r="R577" t="s">
        <v>1117</v>
      </c>
      <c r="S577" t="s">
        <v>1118</v>
      </c>
    </row>
    <row r="578" spans="1:21" x14ac:dyDescent="0.25">
      <c r="A578" s="33">
        <v>46196.471251717208</v>
      </c>
      <c r="B578" s="1">
        <v>46196</v>
      </c>
      <c r="C578" t="s">
        <v>23</v>
      </c>
      <c r="D578" t="s">
        <v>24</v>
      </c>
      <c r="E578" t="s">
        <v>25</v>
      </c>
      <c r="G578" t="s">
        <v>774</v>
      </c>
      <c r="K578">
        <v>51</v>
      </c>
      <c r="N578" t="s">
        <v>26</v>
      </c>
      <c r="R578" t="s">
        <v>246</v>
      </c>
      <c r="S578" t="s">
        <v>1119</v>
      </c>
      <c r="T578" t="s">
        <v>774</v>
      </c>
      <c r="U578" t="s">
        <v>776</v>
      </c>
    </row>
    <row r="579" spans="1:21" x14ac:dyDescent="0.25">
      <c r="A579" s="33">
        <v>46196.471315578703</v>
      </c>
      <c r="B579" s="1">
        <v>46196</v>
      </c>
      <c r="C579" t="s">
        <v>23</v>
      </c>
      <c r="D579" t="s">
        <v>30</v>
      </c>
      <c r="E579" t="s">
        <v>31</v>
      </c>
      <c r="F579" t="s">
        <v>464</v>
      </c>
      <c r="G579" t="s">
        <v>1004</v>
      </c>
      <c r="H579" t="s">
        <v>1005</v>
      </c>
      <c r="I579">
        <v>9.2867750000000004</v>
      </c>
      <c r="J579">
        <v>5.3840000000000003</v>
      </c>
      <c r="K579">
        <v>-50</v>
      </c>
      <c r="L579" s="28">
        <v>-1</v>
      </c>
      <c r="N579" t="s">
        <v>26</v>
      </c>
      <c r="R579" t="s">
        <v>1120</v>
      </c>
      <c r="S579" t="s">
        <v>1121</v>
      </c>
    </row>
    <row r="580" spans="1:21" x14ac:dyDescent="0.25">
      <c r="A580" s="33">
        <v>46196.679517388788</v>
      </c>
      <c r="B580" s="1">
        <v>46196</v>
      </c>
      <c r="C580" t="s">
        <v>23</v>
      </c>
      <c r="D580" t="s">
        <v>24</v>
      </c>
      <c r="E580" t="s">
        <v>25</v>
      </c>
      <c r="G580" t="s">
        <v>774</v>
      </c>
      <c r="K580">
        <v>51</v>
      </c>
      <c r="N580" t="s">
        <v>26</v>
      </c>
      <c r="R580" t="s">
        <v>246</v>
      </c>
      <c r="S580" t="s">
        <v>1122</v>
      </c>
      <c r="T580" t="s">
        <v>774</v>
      </c>
      <c r="U580" t="s">
        <v>776</v>
      </c>
    </row>
    <row r="581" spans="1:21" x14ac:dyDescent="0.25">
      <c r="A581" s="33">
        <v>46196.679584004632</v>
      </c>
      <c r="B581" s="1">
        <v>46196</v>
      </c>
      <c r="C581" t="s">
        <v>23</v>
      </c>
      <c r="D581" t="s">
        <v>30</v>
      </c>
      <c r="E581" t="s">
        <v>31</v>
      </c>
      <c r="F581" t="s">
        <v>32</v>
      </c>
      <c r="G581" t="s">
        <v>167</v>
      </c>
      <c r="H581" t="s">
        <v>168</v>
      </c>
      <c r="I581">
        <v>31.269542999999999</v>
      </c>
      <c r="J581">
        <v>1.5994999999999999</v>
      </c>
      <c r="K581">
        <v>-50.02</v>
      </c>
      <c r="L581" s="28">
        <v>-1</v>
      </c>
      <c r="N581" t="s">
        <v>26</v>
      </c>
      <c r="R581" t="s">
        <v>1123</v>
      </c>
      <c r="S581" t="s">
        <v>1124</v>
      </c>
    </row>
    <row r="582" spans="1:21" x14ac:dyDescent="0.25">
      <c r="A582" s="33">
        <v>46198.409106752973</v>
      </c>
      <c r="B582" s="1">
        <v>46198</v>
      </c>
      <c r="C582" t="s">
        <v>23</v>
      </c>
      <c r="D582" t="s">
        <v>24</v>
      </c>
      <c r="E582" t="s">
        <v>25</v>
      </c>
      <c r="G582" t="s">
        <v>774</v>
      </c>
      <c r="K582">
        <v>51</v>
      </c>
      <c r="N582" t="s">
        <v>26</v>
      </c>
      <c r="R582" t="s">
        <v>246</v>
      </c>
      <c r="S582" t="s">
        <v>1125</v>
      </c>
      <c r="T582" t="s">
        <v>774</v>
      </c>
      <c r="U582" t="s">
        <v>776</v>
      </c>
    </row>
    <row r="583" spans="1:21" x14ac:dyDescent="0.25">
      <c r="A583" s="33">
        <v>46198.410265590283</v>
      </c>
      <c r="B583" s="1">
        <v>46198</v>
      </c>
      <c r="C583" t="s">
        <v>23</v>
      </c>
      <c r="D583" t="s">
        <v>30</v>
      </c>
      <c r="E583" t="s">
        <v>31</v>
      </c>
      <c r="F583" t="s">
        <v>32</v>
      </c>
      <c r="G583" t="s">
        <v>167</v>
      </c>
      <c r="H583" t="s">
        <v>168</v>
      </c>
      <c r="I583">
        <v>34.843204999999998</v>
      </c>
      <c r="J583">
        <v>1.4339999999999999</v>
      </c>
      <c r="K583">
        <v>-49.97</v>
      </c>
      <c r="L583" s="28">
        <v>-1</v>
      </c>
      <c r="N583" t="s">
        <v>26</v>
      </c>
      <c r="R583" t="s">
        <v>1126</v>
      </c>
      <c r="S583" t="s">
        <v>1127</v>
      </c>
    </row>
    <row r="584" spans="1:21" x14ac:dyDescent="0.25">
      <c r="A584" s="33">
        <v>46198.678419664349</v>
      </c>
      <c r="B584" s="1">
        <v>46198</v>
      </c>
      <c r="C584" t="s">
        <v>23</v>
      </c>
      <c r="D584" t="s">
        <v>30</v>
      </c>
      <c r="E584" t="s">
        <v>82</v>
      </c>
      <c r="F584" t="s">
        <v>32</v>
      </c>
      <c r="G584" t="s">
        <v>262</v>
      </c>
      <c r="H584" t="s">
        <v>263</v>
      </c>
      <c r="I584">
        <v>-13.410273</v>
      </c>
      <c r="J584">
        <v>46.32</v>
      </c>
      <c r="K584">
        <v>621.16</v>
      </c>
      <c r="L584" s="28">
        <v>-1</v>
      </c>
      <c r="N584" t="s">
        <v>26</v>
      </c>
      <c r="R584" t="s">
        <v>1128</v>
      </c>
      <c r="S584" t="s">
        <v>1129</v>
      </c>
    </row>
    <row r="585" spans="1:21" x14ac:dyDescent="0.25">
      <c r="A585" s="33">
        <v>46198.814820208332</v>
      </c>
      <c r="B585" s="1">
        <v>46198</v>
      </c>
      <c r="C585" t="s">
        <v>23</v>
      </c>
      <c r="D585" t="s">
        <v>30</v>
      </c>
      <c r="E585" t="s">
        <v>31</v>
      </c>
      <c r="F585" t="s">
        <v>464</v>
      </c>
      <c r="G585" t="s">
        <v>1018</v>
      </c>
      <c r="H585" t="s">
        <v>1019</v>
      </c>
      <c r="I585">
        <v>1.021137</v>
      </c>
      <c r="J585">
        <v>49.045000000000002</v>
      </c>
      <c r="K585">
        <v>-50.08</v>
      </c>
      <c r="L585" s="28">
        <v>-1</v>
      </c>
      <c r="N585" t="s">
        <v>26</v>
      </c>
      <c r="R585" t="s">
        <v>1130</v>
      </c>
      <c r="S585" t="s">
        <v>1131</v>
      </c>
    </row>
    <row r="586" spans="1:21" x14ac:dyDescent="0.25">
      <c r="A586" s="33">
        <v>46198.815215567127</v>
      </c>
      <c r="B586" s="1">
        <v>46198</v>
      </c>
      <c r="C586" t="s">
        <v>23</v>
      </c>
      <c r="D586" t="s">
        <v>30</v>
      </c>
      <c r="E586" t="s">
        <v>31</v>
      </c>
      <c r="F586" t="s">
        <v>464</v>
      </c>
      <c r="G586" t="s">
        <v>1004</v>
      </c>
      <c r="H586" t="s">
        <v>1005</v>
      </c>
      <c r="I586">
        <v>10.078613000000001</v>
      </c>
      <c r="J586">
        <v>4.9684999999999997</v>
      </c>
      <c r="K586">
        <v>-50.08</v>
      </c>
      <c r="L586" s="28">
        <v>-1</v>
      </c>
      <c r="N586" t="s">
        <v>26</v>
      </c>
      <c r="R586" t="s">
        <v>1132</v>
      </c>
      <c r="S586" t="s">
        <v>1133</v>
      </c>
    </row>
    <row r="587" spans="1:21" x14ac:dyDescent="0.25">
      <c r="A587" s="33">
        <v>46198.851645104172</v>
      </c>
      <c r="B587" s="1">
        <v>46198</v>
      </c>
      <c r="C587" t="s">
        <v>23</v>
      </c>
      <c r="D587" t="s">
        <v>30</v>
      </c>
      <c r="E587" t="s">
        <v>31</v>
      </c>
      <c r="F587" t="s">
        <v>64</v>
      </c>
      <c r="G587" t="s">
        <v>69</v>
      </c>
      <c r="H587" t="s">
        <v>69</v>
      </c>
      <c r="I587">
        <v>19</v>
      </c>
      <c r="J587">
        <v>0.91832800000000003</v>
      </c>
      <c r="K587">
        <v>-17.45</v>
      </c>
      <c r="L587" s="28">
        <v>-1</v>
      </c>
      <c r="N587" t="s">
        <v>26</v>
      </c>
      <c r="R587" t="s">
        <v>1134</v>
      </c>
      <c r="S587" t="s">
        <v>1135</v>
      </c>
    </row>
    <row r="588" spans="1:21" x14ac:dyDescent="0.25">
      <c r="A588" s="33">
        <v>46199.648148563203</v>
      </c>
      <c r="B588" s="1">
        <v>46199</v>
      </c>
      <c r="C588" t="s">
        <v>23</v>
      </c>
      <c r="D588" t="s">
        <v>24</v>
      </c>
      <c r="E588" t="s">
        <v>178</v>
      </c>
      <c r="F588" t="s">
        <v>32</v>
      </c>
      <c r="G588" t="s">
        <v>590</v>
      </c>
      <c r="H588" t="s">
        <v>591</v>
      </c>
      <c r="I588">
        <v>47.271608999999998</v>
      </c>
      <c r="K588">
        <v>3.4</v>
      </c>
      <c r="N588" t="s">
        <v>26</v>
      </c>
      <c r="O588">
        <v>2.92</v>
      </c>
      <c r="P588" t="s">
        <v>1136</v>
      </c>
      <c r="Q588">
        <v>1.1627909999999999</v>
      </c>
      <c r="R588" t="s">
        <v>1137</v>
      </c>
      <c r="S588" t="s">
        <v>1138</v>
      </c>
    </row>
    <row r="589" spans="1:21" x14ac:dyDescent="0.25">
      <c r="A589" s="33">
        <v>46199.65709241898</v>
      </c>
      <c r="B589" s="1">
        <v>46199</v>
      </c>
      <c r="C589" t="s">
        <v>23</v>
      </c>
      <c r="D589" t="s">
        <v>30</v>
      </c>
      <c r="E589" t="s">
        <v>31</v>
      </c>
      <c r="F589" t="s">
        <v>32</v>
      </c>
      <c r="G589" t="s">
        <v>167</v>
      </c>
      <c r="H589" t="s">
        <v>168</v>
      </c>
      <c r="I589">
        <v>38.639876000000001</v>
      </c>
      <c r="J589">
        <v>1.296</v>
      </c>
      <c r="K589">
        <v>-50.08</v>
      </c>
      <c r="L589" s="28">
        <v>-1</v>
      </c>
      <c r="N589" t="s">
        <v>26</v>
      </c>
      <c r="R589" t="s">
        <v>1139</v>
      </c>
      <c r="S589" t="s">
        <v>1140</v>
      </c>
    </row>
    <row r="590" spans="1:21" x14ac:dyDescent="0.25">
      <c r="A590" s="33">
        <v>46199.662699108798</v>
      </c>
      <c r="B590" s="1">
        <v>46199</v>
      </c>
      <c r="C590" t="s">
        <v>23</v>
      </c>
      <c r="D590" t="s">
        <v>30</v>
      </c>
      <c r="E590" t="s">
        <v>31</v>
      </c>
      <c r="F590" t="s">
        <v>464</v>
      </c>
      <c r="G590" t="s">
        <v>955</v>
      </c>
      <c r="H590" t="s">
        <v>956</v>
      </c>
      <c r="I590">
        <v>1.9256690000000001</v>
      </c>
      <c r="J590">
        <v>25.94</v>
      </c>
      <c r="K590">
        <v>-49.95</v>
      </c>
      <c r="L590" s="28">
        <v>-1</v>
      </c>
      <c r="N590" t="s">
        <v>26</v>
      </c>
      <c r="R590" t="s">
        <v>1141</v>
      </c>
      <c r="S590" t="s">
        <v>1142</v>
      </c>
    </row>
    <row r="591" spans="1:21" x14ac:dyDescent="0.25">
      <c r="A591" s="33">
        <v>46199.663316736107</v>
      </c>
      <c r="B591" s="1">
        <v>46199</v>
      </c>
      <c r="C591" t="s">
        <v>23</v>
      </c>
      <c r="D591" t="s">
        <v>30</v>
      </c>
      <c r="E591" t="s">
        <v>31</v>
      </c>
      <c r="F591" t="s">
        <v>32</v>
      </c>
      <c r="G591" t="s">
        <v>154</v>
      </c>
      <c r="H591" t="s">
        <v>155</v>
      </c>
      <c r="I591">
        <v>3</v>
      </c>
      <c r="J591">
        <v>18.75</v>
      </c>
      <c r="K591">
        <v>-56.25</v>
      </c>
      <c r="L591" s="28">
        <v>-1</v>
      </c>
      <c r="N591" t="s">
        <v>26</v>
      </c>
      <c r="R591" t="s">
        <v>929</v>
      </c>
      <c r="S591" t="s">
        <v>1143</v>
      </c>
    </row>
    <row r="592" spans="1:21" x14ac:dyDescent="0.25">
      <c r="A592" s="33">
        <v>46199.675997835649</v>
      </c>
      <c r="B592" s="1">
        <v>46199</v>
      </c>
      <c r="C592" t="s">
        <v>23</v>
      </c>
      <c r="D592" t="s">
        <v>30</v>
      </c>
      <c r="E592" t="s">
        <v>31</v>
      </c>
      <c r="F592" t="s">
        <v>464</v>
      </c>
      <c r="G592" t="s">
        <v>465</v>
      </c>
      <c r="H592" t="s">
        <v>466</v>
      </c>
      <c r="I592">
        <v>1.2159040000000001</v>
      </c>
      <c r="J592">
        <v>123.35</v>
      </c>
      <c r="K592">
        <v>-149.97999999999999</v>
      </c>
      <c r="L592" s="28">
        <v>-1</v>
      </c>
      <c r="N592" t="s">
        <v>26</v>
      </c>
      <c r="R592" t="s">
        <v>1144</v>
      </c>
      <c r="S592" t="s">
        <v>1145</v>
      </c>
    </row>
    <row r="593" spans="1:21" x14ac:dyDescent="0.25">
      <c r="A593" s="33">
        <v>46199.67690697185</v>
      </c>
      <c r="B593" s="1">
        <v>46199</v>
      </c>
      <c r="C593" t="s">
        <v>23</v>
      </c>
      <c r="D593" t="s">
        <v>24</v>
      </c>
      <c r="E593" t="s">
        <v>725</v>
      </c>
      <c r="G593" t="s">
        <v>845</v>
      </c>
      <c r="K593">
        <v>-51</v>
      </c>
      <c r="N593" t="s">
        <v>26</v>
      </c>
      <c r="R593" t="s">
        <v>846</v>
      </c>
      <c r="S593" t="s">
        <v>1146</v>
      </c>
      <c r="T593" t="s">
        <v>845</v>
      </c>
      <c r="U593" t="s">
        <v>848</v>
      </c>
    </row>
    <row r="594" spans="1:21" x14ac:dyDescent="0.25">
      <c r="A594" s="33">
        <v>46199.677712354212</v>
      </c>
      <c r="B594" s="1">
        <v>46199</v>
      </c>
      <c r="C594" t="s">
        <v>23</v>
      </c>
      <c r="D594" t="s">
        <v>24</v>
      </c>
      <c r="E594" t="s">
        <v>725</v>
      </c>
      <c r="G594" t="s">
        <v>850</v>
      </c>
      <c r="K594">
        <v>-51</v>
      </c>
      <c r="N594" t="s">
        <v>26</v>
      </c>
      <c r="R594" t="s">
        <v>726</v>
      </c>
      <c r="S594" t="s">
        <v>1147</v>
      </c>
      <c r="T594" t="s">
        <v>850</v>
      </c>
      <c r="U594" t="s">
        <v>852</v>
      </c>
    </row>
    <row r="595" spans="1:21" x14ac:dyDescent="0.25">
      <c r="A595" s="33">
        <v>46199.678179374641</v>
      </c>
      <c r="B595" s="1">
        <v>46199</v>
      </c>
      <c r="C595" t="s">
        <v>23</v>
      </c>
      <c r="D595" t="s">
        <v>24</v>
      </c>
      <c r="E595" t="s">
        <v>725</v>
      </c>
      <c r="G595" t="s">
        <v>853</v>
      </c>
      <c r="K595">
        <v>-51</v>
      </c>
      <c r="N595" t="s">
        <v>26</v>
      </c>
      <c r="R595" t="s">
        <v>854</v>
      </c>
      <c r="S595" t="s">
        <v>1148</v>
      </c>
      <c r="T595" t="s">
        <v>853</v>
      </c>
      <c r="U595" t="s">
        <v>856</v>
      </c>
    </row>
    <row r="596" spans="1:21" x14ac:dyDescent="0.25">
      <c r="A596" s="33">
        <v>46199.689351302302</v>
      </c>
      <c r="B596" s="1">
        <v>46199</v>
      </c>
      <c r="C596" t="s">
        <v>23</v>
      </c>
      <c r="D596" t="s">
        <v>24</v>
      </c>
      <c r="E596" t="s">
        <v>25</v>
      </c>
      <c r="G596" t="s">
        <v>774</v>
      </c>
      <c r="K596">
        <v>147</v>
      </c>
      <c r="N596" t="s">
        <v>26</v>
      </c>
      <c r="R596" t="s">
        <v>246</v>
      </c>
      <c r="S596" t="s">
        <v>1149</v>
      </c>
      <c r="T596" t="s">
        <v>774</v>
      </c>
      <c r="U596" t="s">
        <v>776</v>
      </c>
    </row>
    <row r="597" spans="1:21" x14ac:dyDescent="0.25">
      <c r="A597" s="33">
        <v>46199.689741168979</v>
      </c>
      <c r="B597" s="1">
        <v>46199</v>
      </c>
      <c r="C597" t="s">
        <v>23</v>
      </c>
      <c r="D597" t="s">
        <v>30</v>
      </c>
      <c r="E597" t="s">
        <v>31</v>
      </c>
      <c r="F597" t="s">
        <v>464</v>
      </c>
      <c r="G597" t="s">
        <v>815</v>
      </c>
      <c r="H597" t="s">
        <v>816</v>
      </c>
      <c r="I597">
        <v>0.32082100000000002</v>
      </c>
      <c r="J597">
        <v>311.64999999999998</v>
      </c>
      <c r="K597">
        <v>-99.98</v>
      </c>
      <c r="L597" s="28">
        <v>-1</v>
      </c>
      <c r="N597" t="s">
        <v>26</v>
      </c>
      <c r="R597" t="s">
        <v>1150</v>
      </c>
      <c r="S597" t="s">
        <v>1151</v>
      </c>
    </row>
    <row r="598" spans="1:21" x14ac:dyDescent="0.25">
      <c r="A598" s="33">
        <v>46199.951070653471</v>
      </c>
      <c r="B598" s="1">
        <v>46199</v>
      </c>
      <c r="C598" t="s">
        <v>23</v>
      </c>
      <c r="D598" t="s">
        <v>24</v>
      </c>
      <c r="E598" t="s">
        <v>161</v>
      </c>
      <c r="G598" t="s">
        <v>807</v>
      </c>
      <c r="K598">
        <v>-86.4</v>
      </c>
      <c r="N598" t="s">
        <v>26</v>
      </c>
      <c r="R598" t="s">
        <v>661</v>
      </c>
      <c r="S598" t="s">
        <v>1152</v>
      </c>
      <c r="T598" t="s">
        <v>807</v>
      </c>
      <c r="U598" t="s">
        <v>809</v>
      </c>
    </row>
    <row r="599" spans="1:21" x14ac:dyDescent="0.25">
      <c r="A599" s="33">
        <v>46202.942366849937</v>
      </c>
      <c r="B599" s="1">
        <v>46202</v>
      </c>
      <c r="C599" t="s">
        <v>23</v>
      </c>
      <c r="D599" t="s">
        <v>24</v>
      </c>
      <c r="E599" t="s">
        <v>25</v>
      </c>
      <c r="G599" t="s">
        <v>774</v>
      </c>
      <c r="K599">
        <v>701</v>
      </c>
      <c r="N599" t="s">
        <v>26</v>
      </c>
      <c r="R599" t="s">
        <v>246</v>
      </c>
      <c r="S599" t="s">
        <v>1153</v>
      </c>
      <c r="T599" t="s">
        <v>774</v>
      </c>
      <c r="U599" t="s">
        <v>776</v>
      </c>
    </row>
    <row r="600" spans="1:21" x14ac:dyDescent="0.25">
      <c r="A600" s="33">
        <v>46202.942679189808</v>
      </c>
      <c r="B600" s="1">
        <v>46202</v>
      </c>
      <c r="C600" t="s">
        <v>23</v>
      </c>
      <c r="D600" t="s">
        <v>30</v>
      </c>
      <c r="E600" t="s">
        <v>31</v>
      </c>
      <c r="F600" t="s">
        <v>464</v>
      </c>
      <c r="G600" t="s">
        <v>1154</v>
      </c>
      <c r="H600" t="s">
        <v>1155</v>
      </c>
      <c r="I600">
        <v>14.461017</v>
      </c>
      <c r="J600">
        <v>48.273000000000003</v>
      </c>
      <c r="K600">
        <v>-698.08</v>
      </c>
      <c r="L600" s="28">
        <v>-1</v>
      </c>
      <c r="N600" t="s">
        <v>26</v>
      </c>
      <c r="R600" t="s">
        <v>1156</v>
      </c>
      <c r="S600" t="s">
        <v>1157</v>
      </c>
    </row>
    <row r="601" spans="1:21" x14ac:dyDescent="0.25">
      <c r="A601" s="33">
        <v>46205.379246350392</v>
      </c>
      <c r="B601" s="1">
        <v>46205</v>
      </c>
      <c r="C601" t="s">
        <v>23</v>
      </c>
      <c r="D601" t="s">
        <v>24</v>
      </c>
      <c r="E601" t="s">
        <v>25</v>
      </c>
      <c r="G601" t="s">
        <v>774</v>
      </c>
      <c r="K601">
        <v>78.510000000000005</v>
      </c>
      <c r="N601" t="s">
        <v>26</v>
      </c>
      <c r="R601" t="s">
        <v>246</v>
      </c>
      <c r="S601" t="s">
        <v>1158</v>
      </c>
      <c r="T601" t="s">
        <v>774</v>
      </c>
      <c r="U601" t="s">
        <v>776</v>
      </c>
    </row>
    <row r="602" spans="1:21" x14ac:dyDescent="0.25">
      <c r="A602" s="33">
        <v>46205.507902557867</v>
      </c>
      <c r="B602" s="1">
        <v>46205</v>
      </c>
      <c r="C602" t="s">
        <v>23</v>
      </c>
      <c r="D602" t="s">
        <v>30</v>
      </c>
      <c r="E602" t="s">
        <v>31</v>
      </c>
      <c r="F602" t="s">
        <v>32</v>
      </c>
      <c r="G602" t="s">
        <v>515</v>
      </c>
      <c r="H602" t="s">
        <v>516</v>
      </c>
      <c r="I602">
        <v>8.4763940000000009</v>
      </c>
      <c r="J602">
        <v>9.32</v>
      </c>
      <c r="K602">
        <v>-79</v>
      </c>
      <c r="L602" s="28">
        <v>-1</v>
      </c>
      <c r="N602" t="s">
        <v>26</v>
      </c>
      <c r="R602" t="s">
        <v>1159</v>
      </c>
      <c r="S602" t="s">
        <v>1160</v>
      </c>
    </row>
    <row r="603" spans="1:21" x14ac:dyDescent="0.25">
      <c r="A603" s="33">
        <v>46217.363658716051</v>
      </c>
      <c r="B603" s="1">
        <v>46217</v>
      </c>
      <c r="C603" t="s">
        <v>23</v>
      </c>
      <c r="D603" t="s">
        <v>24</v>
      </c>
      <c r="E603" t="s">
        <v>25</v>
      </c>
      <c r="G603" t="s">
        <v>774</v>
      </c>
      <c r="K603">
        <v>102</v>
      </c>
      <c r="N603" t="s">
        <v>26</v>
      </c>
      <c r="R603" t="s">
        <v>246</v>
      </c>
      <c r="S603" t="s">
        <v>1161</v>
      </c>
      <c r="T603" t="s">
        <v>774</v>
      </c>
      <c r="U603" t="s">
        <v>776</v>
      </c>
    </row>
    <row r="604" spans="1:21" x14ac:dyDescent="0.25">
      <c r="A604" s="33">
        <v>46217.436528541657</v>
      </c>
      <c r="B604" s="1">
        <v>46217</v>
      </c>
      <c r="C604" t="s">
        <v>23</v>
      </c>
      <c r="D604" t="s">
        <v>30</v>
      </c>
      <c r="E604" t="s">
        <v>31</v>
      </c>
      <c r="F604" t="s">
        <v>32</v>
      </c>
      <c r="G604" t="s">
        <v>154</v>
      </c>
      <c r="H604" t="s">
        <v>155</v>
      </c>
      <c r="I604">
        <v>6</v>
      </c>
      <c r="J604">
        <v>16.739999999999998</v>
      </c>
      <c r="K604">
        <v>-100.44</v>
      </c>
      <c r="L604" s="28">
        <v>-1</v>
      </c>
      <c r="N604" t="s">
        <v>26</v>
      </c>
      <c r="R604" t="s">
        <v>779</v>
      </c>
      <c r="S604" t="s">
        <v>1162</v>
      </c>
    </row>
    <row r="605" spans="1:21" x14ac:dyDescent="0.25">
      <c r="A605" s="33">
        <v>46219.898419930993</v>
      </c>
      <c r="B605" s="1">
        <v>46219</v>
      </c>
      <c r="C605" t="s">
        <v>23</v>
      </c>
      <c r="D605" t="s">
        <v>24</v>
      </c>
      <c r="E605" t="s">
        <v>25</v>
      </c>
      <c r="G605" t="s">
        <v>774</v>
      </c>
      <c r="K605">
        <v>51</v>
      </c>
      <c r="N605" t="s">
        <v>26</v>
      </c>
      <c r="R605" t="s">
        <v>246</v>
      </c>
      <c r="S605" t="s">
        <v>1163</v>
      </c>
      <c r="T605" t="s">
        <v>774</v>
      </c>
      <c r="U605" t="s">
        <v>776</v>
      </c>
    </row>
    <row r="606" spans="1:21" x14ac:dyDescent="0.25">
      <c r="A606" s="33">
        <v>46219.921084305563</v>
      </c>
      <c r="B606" s="1">
        <v>46219</v>
      </c>
      <c r="C606" t="s">
        <v>23</v>
      </c>
      <c r="D606" t="s">
        <v>30</v>
      </c>
      <c r="E606" t="s">
        <v>31</v>
      </c>
      <c r="F606" t="s">
        <v>464</v>
      </c>
      <c r="G606" t="s">
        <v>948</v>
      </c>
      <c r="H606" t="s">
        <v>949</v>
      </c>
      <c r="I606">
        <v>0.71387699999999998</v>
      </c>
      <c r="J606">
        <v>70.040000000000006</v>
      </c>
      <c r="K606">
        <v>-50</v>
      </c>
      <c r="L606" s="28">
        <v>-1</v>
      </c>
      <c r="N606" t="s">
        <v>26</v>
      </c>
      <c r="R606" t="s">
        <v>1164</v>
      </c>
      <c r="S606" t="s">
        <v>1165</v>
      </c>
    </row>
    <row r="607" spans="1:21" x14ac:dyDescent="0.25">
      <c r="A607" s="33">
        <v>46219.924408726853</v>
      </c>
      <c r="B607" s="1">
        <v>46219</v>
      </c>
      <c r="C607" t="s">
        <v>23</v>
      </c>
      <c r="D607" t="s">
        <v>30</v>
      </c>
      <c r="E607" t="s">
        <v>31</v>
      </c>
      <c r="F607" t="s">
        <v>32</v>
      </c>
      <c r="G607" t="s">
        <v>515</v>
      </c>
      <c r="H607" t="s">
        <v>516</v>
      </c>
      <c r="I607">
        <v>10</v>
      </c>
      <c r="J607">
        <v>8.1850000000000005</v>
      </c>
      <c r="K607">
        <v>-81.849999999999994</v>
      </c>
      <c r="L607" s="28">
        <v>-1</v>
      </c>
      <c r="N607" t="s">
        <v>26</v>
      </c>
      <c r="R607" t="s">
        <v>1166</v>
      </c>
      <c r="S607" t="s">
        <v>1167</v>
      </c>
    </row>
    <row r="608" spans="1:21" x14ac:dyDescent="0.25">
      <c r="A608" s="33">
        <v>46219.926563618297</v>
      </c>
      <c r="B608" s="1">
        <v>46219</v>
      </c>
      <c r="C608" t="s">
        <v>23</v>
      </c>
      <c r="D608" t="s">
        <v>24</v>
      </c>
      <c r="E608" t="s">
        <v>25</v>
      </c>
      <c r="G608" t="s">
        <v>774</v>
      </c>
      <c r="K608">
        <v>105</v>
      </c>
      <c r="N608" t="s">
        <v>26</v>
      </c>
      <c r="R608" t="s">
        <v>246</v>
      </c>
      <c r="S608" t="s">
        <v>1168</v>
      </c>
      <c r="T608" t="s">
        <v>774</v>
      </c>
      <c r="U608" t="s">
        <v>776</v>
      </c>
    </row>
    <row r="609" spans="1:21" x14ac:dyDescent="0.25">
      <c r="A609" s="33">
        <v>46219.923818113471</v>
      </c>
      <c r="B609" s="1">
        <v>46219</v>
      </c>
      <c r="C609" t="s">
        <v>23</v>
      </c>
      <c r="D609" t="s">
        <v>24</v>
      </c>
      <c r="E609" t="s">
        <v>25</v>
      </c>
      <c r="G609" t="s">
        <v>774</v>
      </c>
      <c r="K609">
        <v>82</v>
      </c>
      <c r="N609" t="s">
        <v>26</v>
      </c>
      <c r="R609" t="s">
        <v>246</v>
      </c>
      <c r="S609" t="s">
        <v>1169</v>
      </c>
      <c r="T609" t="s">
        <v>774</v>
      </c>
      <c r="U609" t="s">
        <v>776</v>
      </c>
    </row>
    <row r="610" spans="1:21" x14ac:dyDescent="0.25">
      <c r="A610" s="33">
        <v>46219.926659027777</v>
      </c>
      <c r="B610" s="1">
        <v>46219</v>
      </c>
      <c r="C610" t="s">
        <v>23</v>
      </c>
      <c r="D610" t="s">
        <v>30</v>
      </c>
      <c r="E610" t="s">
        <v>31</v>
      </c>
      <c r="F610" t="s">
        <v>32</v>
      </c>
      <c r="G610" t="s">
        <v>154</v>
      </c>
      <c r="H610" t="s">
        <v>155</v>
      </c>
      <c r="I610">
        <v>7</v>
      </c>
      <c r="J610">
        <v>14.824999999999999</v>
      </c>
      <c r="K610">
        <v>-103.78</v>
      </c>
      <c r="L610" s="28">
        <v>-1</v>
      </c>
      <c r="N610" t="s">
        <v>26</v>
      </c>
      <c r="R610" t="s">
        <v>1170</v>
      </c>
      <c r="S610" t="s">
        <v>1171</v>
      </c>
    </row>
    <row r="611" spans="1:21" x14ac:dyDescent="0.25">
      <c r="A611" s="33">
        <v>46220.321591831271</v>
      </c>
      <c r="B611" s="1">
        <v>46220</v>
      </c>
      <c r="C611" t="s">
        <v>23</v>
      </c>
      <c r="D611" t="s">
        <v>24</v>
      </c>
      <c r="E611" t="s">
        <v>25</v>
      </c>
      <c r="G611" t="s">
        <v>774</v>
      </c>
      <c r="K611">
        <v>51</v>
      </c>
      <c r="N611" t="s">
        <v>26</v>
      </c>
      <c r="R611" t="s">
        <v>246</v>
      </c>
      <c r="S611" t="s">
        <v>1172</v>
      </c>
      <c r="T611" t="s">
        <v>774</v>
      </c>
      <c r="U611" t="s">
        <v>776</v>
      </c>
    </row>
    <row r="612" spans="1:21" x14ac:dyDescent="0.25">
      <c r="A612" s="33">
        <v>46220.321736365739</v>
      </c>
      <c r="B612" s="1">
        <v>46220</v>
      </c>
      <c r="C612" t="s">
        <v>23</v>
      </c>
      <c r="D612" t="s">
        <v>30</v>
      </c>
      <c r="E612" t="s">
        <v>31</v>
      </c>
      <c r="F612" t="s">
        <v>464</v>
      </c>
      <c r="G612" t="s">
        <v>955</v>
      </c>
      <c r="H612" t="s">
        <v>956</v>
      </c>
      <c r="I612">
        <v>2.1172979999999999</v>
      </c>
      <c r="J612">
        <v>23.614999999999998</v>
      </c>
      <c r="K612">
        <v>-50</v>
      </c>
      <c r="L612" s="28">
        <v>-1</v>
      </c>
      <c r="N612" t="s">
        <v>26</v>
      </c>
      <c r="R612" t="s">
        <v>1173</v>
      </c>
      <c r="S612" t="s">
        <v>1174</v>
      </c>
    </row>
    <row r="613" spans="1:21" x14ac:dyDescent="0.25">
      <c r="A613" s="33">
        <v>46220.781232277877</v>
      </c>
      <c r="B613" s="1">
        <v>46220</v>
      </c>
      <c r="C613" t="s">
        <v>23</v>
      </c>
      <c r="D613" t="s">
        <v>24</v>
      </c>
      <c r="E613" t="s">
        <v>25</v>
      </c>
      <c r="G613" t="s">
        <v>774</v>
      </c>
      <c r="K613">
        <v>61</v>
      </c>
      <c r="N613" t="s">
        <v>26</v>
      </c>
      <c r="R613" t="s">
        <v>246</v>
      </c>
      <c r="S613" t="s">
        <v>1175</v>
      </c>
      <c r="T613" t="s">
        <v>774</v>
      </c>
      <c r="U613" t="s">
        <v>776</v>
      </c>
    </row>
    <row r="614" spans="1:21" x14ac:dyDescent="0.25">
      <c r="A614" s="33">
        <v>46220.827291331021</v>
      </c>
      <c r="B614" s="1">
        <v>46220</v>
      </c>
      <c r="C614" t="s">
        <v>23</v>
      </c>
      <c r="D614" t="s">
        <v>30</v>
      </c>
      <c r="E614" t="s">
        <v>31</v>
      </c>
      <c r="F614" t="s">
        <v>32</v>
      </c>
      <c r="G614" t="s">
        <v>747</v>
      </c>
      <c r="H614" t="s">
        <v>748</v>
      </c>
      <c r="I614">
        <v>1</v>
      </c>
      <c r="J614">
        <v>60.21</v>
      </c>
      <c r="K614">
        <v>-60.21</v>
      </c>
      <c r="L614" s="28">
        <v>-1</v>
      </c>
      <c r="N614" t="s">
        <v>26</v>
      </c>
      <c r="R614" t="s">
        <v>878</v>
      </c>
      <c r="S614" t="s">
        <v>1176</v>
      </c>
    </row>
    <row r="615" spans="1:21" x14ac:dyDescent="0.25">
      <c r="A615" s="33">
        <v>46226.917723572536</v>
      </c>
      <c r="B615" s="1">
        <v>46226</v>
      </c>
      <c r="C615" t="s">
        <v>23</v>
      </c>
      <c r="D615" t="s">
        <v>24</v>
      </c>
      <c r="E615" t="s">
        <v>25</v>
      </c>
      <c r="G615" t="s">
        <v>774</v>
      </c>
      <c r="K615">
        <v>610</v>
      </c>
      <c r="N615" t="s">
        <v>26</v>
      </c>
      <c r="R615" t="s">
        <v>246</v>
      </c>
      <c r="S615" t="s">
        <v>1177</v>
      </c>
      <c r="T615" t="s">
        <v>774</v>
      </c>
      <c r="U615" t="s">
        <v>776</v>
      </c>
    </row>
    <row r="616" spans="1:21" x14ac:dyDescent="0.25">
      <c r="A616" s="33">
        <v>46226.919942835651</v>
      </c>
      <c r="B616" s="1">
        <v>46226</v>
      </c>
      <c r="C616" t="s">
        <v>23</v>
      </c>
      <c r="D616" t="s">
        <v>30</v>
      </c>
      <c r="E616" t="s">
        <v>31</v>
      </c>
      <c r="F616" t="s">
        <v>464</v>
      </c>
      <c r="G616" t="s">
        <v>1178</v>
      </c>
      <c r="H616" t="s">
        <v>1179</v>
      </c>
      <c r="I616">
        <v>7.5628659999999996</v>
      </c>
      <c r="J616">
        <v>52.89</v>
      </c>
      <c r="K616">
        <v>-400</v>
      </c>
      <c r="L616" s="28">
        <v>-1</v>
      </c>
      <c r="N616" t="s">
        <v>26</v>
      </c>
      <c r="R616" t="s">
        <v>1180</v>
      </c>
      <c r="S616" t="s">
        <v>1181</v>
      </c>
    </row>
    <row r="617" spans="1:21" x14ac:dyDescent="0.25">
      <c r="A617" s="33">
        <v>46226.920198645843</v>
      </c>
      <c r="B617" s="1">
        <v>46226</v>
      </c>
      <c r="C617" t="s">
        <v>23</v>
      </c>
      <c r="D617" t="s">
        <v>30</v>
      </c>
      <c r="E617" t="s">
        <v>31</v>
      </c>
      <c r="F617" t="s">
        <v>32</v>
      </c>
      <c r="G617" t="s">
        <v>1182</v>
      </c>
      <c r="H617" t="s">
        <v>1183</v>
      </c>
      <c r="I617">
        <v>5.7689640000000004</v>
      </c>
      <c r="J617">
        <v>36.055</v>
      </c>
      <c r="K617">
        <v>-208</v>
      </c>
      <c r="L617" s="28">
        <v>-1</v>
      </c>
      <c r="N617" t="s">
        <v>26</v>
      </c>
      <c r="R617" t="s">
        <v>1184</v>
      </c>
      <c r="S617" t="s">
        <v>1185</v>
      </c>
    </row>
    <row r="618" spans="1:21" x14ac:dyDescent="0.25">
      <c r="A618" s="33">
        <v>46227.388942123449</v>
      </c>
      <c r="B618" s="1">
        <v>46227</v>
      </c>
      <c r="C618" t="s">
        <v>23</v>
      </c>
      <c r="D618" t="s">
        <v>24</v>
      </c>
      <c r="E618" t="s">
        <v>25</v>
      </c>
      <c r="G618" t="s">
        <v>774</v>
      </c>
      <c r="K618">
        <v>101</v>
      </c>
      <c r="N618" t="s">
        <v>26</v>
      </c>
      <c r="R618" t="s">
        <v>246</v>
      </c>
      <c r="S618" t="s">
        <v>1186</v>
      </c>
      <c r="T618" t="s">
        <v>774</v>
      </c>
      <c r="U618" t="s">
        <v>776</v>
      </c>
    </row>
    <row r="619" spans="1:21" x14ac:dyDescent="0.25">
      <c r="A619" s="33">
        <v>46227.393021678239</v>
      </c>
      <c r="B619" s="1">
        <v>46227</v>
      </c>
      <c r="C619" t="s">
        <v>23</v>
      </c>
      <c r="D619" t="s">
        <v>30</v>
      </c>
      <c r="E619" t="s">
        <v>31</v>
      </c>
      <c r="F619" t="s">
        <v>32</v>
      </c>
      <c r="G619" t="s">
        <v>664</v>
      </c>
      <c r="H619" t="s">
        <v>665</v>
      </c>
      <c r="I619">
        <v>11.665888000000001</v>
      </c>
      <c r="J619">
        <v>8.5719999999999992</v>
      </c>
      <c r="K619">
        <v>-100</v>
      </c>
      <c r="L619" s="28">
        <v>-1</v>
      </c>
      <c r="N619" t="s">
        <v>26</v>
      </c>
      <c r="R619" t="s">
        <v>1187</v>
      </c>
      <c r="S619" t="s">
        <v>1188</v>
      </c>
    </row>
    <row r="620" spans="1:21" x14ac:dyDescent="0.25">
      <c r="A620" s="33">
        <v>46231.438553246131</v>
      </c>
      <c r="B620" s="1">
        <v>46231</v>
      </c>
      <c r="C620" t="s">
        <v>23</v>
      </c>
      <c r="D620" t="s">
        <v>24</v>
      </c>
      <c r="E620" t="s">
        <v>25</v>
      </c>
      <c r="G620" t="s">
        <v>774</v>
      </c>
      <c r="K620">
        <v>56</v>
      </c>
      <c r="N620" t="s">
        <v>26</v>
      </c>
      <c r="R620" t="s">
        <v>246</v>
      </c>
      <c r="S620" t="s">
        <v>1189</v>
      </c>
      <c r="T620" t="s">
        <v>774</v>
      </c>
      <c r="U620" t="s">
        <v>776</v>
      </c>
    </row>
    <row r="621" spans="1:21" x14ac:dyDescent="0.25">
      <c r="A621" s="33">
        <v>46231.438712002317</v>
      </c>
      <c r="B621" s="1">
        <v>46231</v>
      </c>
      <c r="C621" t="s">
        <v>23</v>
      </c>
      <c r="D621" t="s">
        <v>30</v>
      </c>
      <c r="E621" t="s">
        <v>31</v>
      </c>
      <c r="F621" t="s">
        <v>32</v>
      </c>
      <c r="G621" t="s">
        <v>167</v>
      </c>
      <c r="H621" t="s">
        <v>168</v>
      </c>
      <c r="I621">
        <v>47.619047000000002</v>
      </c>
      <c r="J621">
        <v>1.155</v>
      </c>
      <c r="K621">
        <v>-55</v>
      </c>
      <c r="L621" s="28">
        <v>-1</v>
      </c>
      <c r="N621" t="s">
        <v>26</v>
      </c>
      <c r="R621" t="s">
        <v>1190</v>
      </c>
      <c r="S621" t="s">
        <v>1191</v>
      </c>
    </row>
    <row r="622" spans="1:21" x14ac:dyDescent="0.25">
      <c r="A622" s="33">
        <v>46232.948891658001</v>
      </c>
      <c r="B622" s="1">
        <v>46232</v>
      </c>
      <c r="C622" t="s">
        <v>23</v>
      </c>
      <c r="D622" t="s">
        <v>24</v>
      </c>
      <c r="E622" t="s">
        <v>25</v>
      </c>
      <c r="G622" t="s">
        <v>774</v>
      </c>
      <c r="K622">
        <v>51</v>
      </c>
      <c r="N622" t="s">
        <v>26</v>
      </c>
      <c r="R622" t="s">
        <v>246</v>
      </c>
      <c r="S622" t="s">
        <v>1192</v>
      </c>
      <c r="T622" t="s">
        <v>774</v>
      </c>
      <c r="U622" t="s">
        <v>776</v>
      </c>
    </row>
    <row r="623" spans="1:21" x14ac:dyDescent="0.25">
      <c r="A623" s="33">
        <v>46232.9491371412</v>
      </c>
      <c r="B623" s="1">
        <v>46232</v>
      </c>
      <c r="C623" t="s">
        <v>23</v>
      </c>
      <c r="D623" t="s">
        <v>30</v>
      </c>
      <c r="E623" t="s">
        <v>31</v>
      </c>
      <c r="F623" t="s">
        <v>464</v>
      </c>
      <c r="G623" t="s">
        <v>1011</v>
      </c>
      <c r="H623" t="s">
        <v>1012</v>
      </c>
      <c r="I623">
        <v>1.2632639999999999</v>
      </c>
      <c r="J623">
        <v>39.58</v>
      </c>
      <c r="K623">
        <v>-50</v>
      </c>
      <c r="L623" s="28">
        <v>-1</v>
      </c>
      <c r="N623" t="s">
        <v>26</v>
      </c>
      <c r="R623" t="s">
        <v>1193</v>
      </c>
      <c r="S623" t="s">
        <v>1194</v>
      </c>
    </row>
    <row r="624" spans="1:21" x14ac:dyDescent="0.25">
      <c r="A624" s="33">
        <v>46232.951611537028</v>
      </c>
      <c r="B624" s="1">
        <v>46232</v>
      </c>
      <c r="C624" t="s">
        <v>23</v>
      </c>
      <c r="D624" t="s">
        <v>24</v>
      </c>
      <c r="E624" t="s">
        <v>25</v>
      </c>
      <c r="G624" t="s">
        <v>774</v>
      </c>
      <c r="K624">
        <v>153</v>
      </c>
      <c r="N624" t="s">
        <v>26</v>
      </c>
      <c r="R624" t="s">
        <v>246</v>
      </c>
      <c r="S624" t="s">
        <v>1195</v>
      </c>
      <c r="T624" t="s">
        <v>774</v>
      </c>
      <c r="U624" t="s">
        <v>776</v>
      </c>
    </row>
    <row r="625" spans="1:21" x14ac:dyDescent="0.25">
      <c r="A625" s="33">
        <v>46232.953071345677</v>
      </c>
      <c r="B625" s="1">
        <v>46232</v>
      </c>
      <c r="C625" t="s">
        <v>23</v>
      </c>
      <c r="D625" t="s">
        <v>24</v>
      </c>
      <c r="E625" t="s">
        <v>725</v>
      </c>
      <c r="G625" t="s">
        <v>853</v>
      </c>
      <c r="K625">
        <v>-51</v>
      </c>
      <c r="N625" t="s">
        <v>26</v>
      </c>
      <c r="R625" t="s">
        <v>854</v>
      </c>
      <c r="S625" t="s">
        <v>1196</v>
      </c>
      <c r="T625" t="s">
        <v>853</v>
      </c>
      <c r="U625" t="s">
        <v>856</v>
      </c>
    </row>
    <row r="626" spans="1:21" x14ac:dyDescent="0.25">
      <c r="A626" s="33">
        <v>46232.951873058773</v>
      </c>
      <c r="B626" s="1">
        <v>46232</v>
      </c>
      <c r="C626" t="s">
        <v>23</v>
      </c>
      <c r="D626" t="s">
        <v>24</v>
      </c>
      <c r="E626" t="s">
        <v>725</v>
      </c>
      <c r="G626" t="s">
        <v>845</v>
      </c>
      <c r="K626">
        <v>-51</v>
      </c>
      <c r="N626" t="s">
        <v>26</v>
      </c>
      <c r="R626" t="s">
        <v>846</v>
      </c>
      <c r="S626" t="s">
        <v>1197</v>
      </c>
      <c r="T626" t="s">
        <v>845</v>
      </c>
      <c r="U626" t="s">
        <v>848</v>
      </c>
    </row>
    <row r="627" spans="1:21" x14ac:dyDescent="0.25">
      <c r="A627" s="33">
        <v>46232.952602540077</v>
      </c>
      <c r="B627" s="1">
        <v>46232</v>
      </c>
      <c r="C627" t="s">
        <v>23</v>
      </c>
      <c r="D627" t="s">
        <v>24</v>
      </c>
      <c r="E627" t="s">
        <v>725</v>
      </c>
      <c r="G627" t="s">
        <v>850</v>
      </c>
      <c r="K627">
        <v>-51</v>
      </c>
      <c r="N627" t="s">
        <v>26</v>
      </c>
      <c r="R627" t="s">
        <v>726</v>
      </c>
      <c r="S627" t="s">
        <v>1198</v>
      </c>
      <c r="T627" t="s">
        <v>850</v>
      </c>
      <c r="U627" t="s">
        <v>852</v>
      </c>
    </row>
    <row r="628" spans="1:21" x14ac:dyDescent="0.25">
      <c r="A628" s="33">
        <v>46237.018443473382</v>
      </c>
      <c r="B628" s="1">
        <v>46236</v>
      </c>
      <c r="C628" t="s">
        <v>23</v>
      </c>
      <c r="D628" t="s">
        <v>24</v>
      </c>
      <c r="E628" t="s">
        <v>1199</v>
      </c>
      <c r="G628" t="s">
        <v>1200</v>
      </c>
      <c r="K628">
        <v>50</v>
      </c>
      <c r="N628" t="s">
        <v>26</v>
      </c>
      <c r="R628" t="s">
        <v>1201</v>
      </c>
      <c r="S628" t="s">
        <v>1202</v>
      </c>
      <c r="T628" t="s">
        <v>1200</v>
      </c>
      <c r="U628" t="s">
        <v>776</v>
      </c>
    </row>
    <row r="629" spans="1:21" x14ac:dyDescent="0.25">
      <c r="A629" s="33">
        <v>46237.688509328713</v>
      </c>
      <c r="B629" s="1">
        <v>46237</v>
      </c>
      <c r="C629" t="s">
        <v>23</v>
      </c>
      <c r="D629" t="s">
        <v>30</v>
      </c>
      <c r="E629" t="s">
        <v>31</v>
      </c>
      <c r="F629" t="s">
        <v>464</v>
      </c>
      <c r="G629" t="s">
        <v>1178</v>
      </c>
      <c r="H629" t="s">
        <v>1179</v>
      </c>
      <c r="I629">
        <v>0.95365200000000006</v>
      </c>
      <c r="J629">
        <v>52.43</v>
      </c>
      <c r="K629">
        <v>-50</v>
      </c>
      <c r="N629" t="s">
        <v>26</v>
      </c>
      <c r="R629" t="s">
        <v>1203</v>
      </c>
      <c r="S629" t="s">
        <v>1204</v>
      </c>
    </row>
    <row r="630" spans="1:21" x14ac:dyDescent="0.25">
      <c r="A630" s="33">
        <v>46238.954249236253</v>
      </c>
      <c r="B630" s="1">
        <v>46238</v>
      </c>
      <c r="C630" t="s">
        <v>23</v>
      </c>
      <c r="D630" t="s">
        <v>24</v>
      </c>
      <c r="E630" t="s">
        <v>25</v>
      </c>
      <c r="G630" t="s">
        <v>774</v>
      </c>
      <c r="K630">
        <v>101</v>
      </c>
      <c r="N630" t="s">
        <v>26</v>
      </c>
      <c r="R630" t="s">
        <v>246</v>
      </c>
      <c r="S630" t="s">
        <v>1205</v>
      </c>
      <c r="T630" t="s">
        <v>774</v>
      </c>
      <c r="U630" t="s">
        <v>776</v>
      </c>
    </row>
    <row r="631" spans="1:21" x14ac:dyDescent="0.25">
      <c r="A631" s="33">
        <v>46238.95435010417</v>
      </c>
      <c r="B631" s="1">
        <v>46238</v>
      </c>
      <c r="C631" t="s">
        <v>23</v>
      </c>
      <c r="D631" t="s">
        <v>30</v>
      </c>
      <c r="E631" t="s">
        <v>31</v>
      </c>
      <c r="F631" t="s">
        <v>32</v>
      </c>
      <c r="G631" t="s">
        <v>664</v>
      </c>
      <c r="H631" t="s">
        <v>665</v>
      </c>
      <c r="I631">
        <v>11.709600999999999</v>
      </c>
      <c r="J631">
        <v>8.5399999999999991</v>
      </c>
      <c r="K631">
        <v>-100</v>
      </c>
      <c r="L631" s="28">
        <v>-1</v>
      </c>
      <c r="N631" t="s">
        <v>26</v>
      </c>
      <c r="R631" t="s">
        <v>1206</v>
      </c>
      <c r="S631" t="s">
        <v>1207</v>
      </c>
    </row>
    <row r="632" spans="1:21" x14ac:dyDescent="0.25">
      <c r="A632" s="33">
        <v>46243.579226957852</v>
      </c>
      <c r="B632" s="1">
        <v>46243</v>
      </c>
      <c r="C632" t="s">
        <v>23</v>
      </c>
      <c r="D632" t="s">
        <v>24</v>
      </c>
      <c r="E632" t="s">
        <v>25</v>
      </c>
      <c r="G632" t="s">
        <v>774</v>
      </c>
      <c r="K632">
        <v>26</v>
      </c>
      <c r="N632" t="s">
        <v>26</v>
      </c>
      <c r="R632" t="s">
        <v>246</v>
      </c>
      <c r="S632" t="s">
        <v>1208</v>
      </c>
      <c r="T632" t="s">
        <v>774</v>
      </c>
      <c r="U632" t="s">
        <v>776</v>
      </c>
    </row>
    <row r="633" spans="1:21" x14ac:dyDescent="0.25">
      <c r="A633" s="33">
        <v>46243.579305833337</v>
      </c>
      <c r="B633" s="1">
        <v>46243</v>
      </c>
      <c r="C633" t="s">
        <v>23</v>
      </c>
      <c r="D633" t="s">
        <v>30</v>
      </c>
      <c r="E633" t="s">
        <v>31</v>
      </c>
      <c r="F633" t="s">
        <v>64</v>
      </c>
      <c r="G633" t="s">
        <v>118</v>
      </c>
      <c r="H633" t="s">
        <v>119</v>
      </c>
      <c r="I633">
        <v>35.613549999999996</v>
      </c>
      <c r="J633">
        <v>0.70198000000000005</v>
      </c>
      <c r="K633">
        <v>-25</v>
      </c>
      <c r="L633" s="28">
        <v>-1</v>
      </c>
      <c r="N633" t="s">
        <v>26</v>
      </c>
      <c r="R633" t="s">
        <v>1209</v>
      </c>
      <c r="S633" t="s">
        <v>1210</v>
      </c>
    </row>
    <row r="634" spans="1:21" x14ac:dyDescent="0.25">
      <c r="A634" s="33">
        <v>46246.328338955682</v>
      </c>
      <c r="B634" s="1">
        <v>46246</v>
      </c>
      <c r="C634" t="s">
        <v>23</v>
      </c>
      <c r="D634" t="s">
        <v>24</v>
      </c>
      <c r="E634" t="s">
        <v>25</v>
      </c>
      <c r="G634" t="s">
        <v>807</v>
      </c>
      <c r="K634">
        <v>73</v>
      </c>
      <c r="N634" t="s">
        <v>26</v>
      </c>
      <c r="R634" t="s">
        <v>647</v>
      </c>
      <c r="S634" t="s">
        <v>1211</v>
      </c>
      <c r="T634" t="s">
        <v>807</v>
      </c>
      <c r="U634" t="s">
        <v>809</v>
      </c>
    </row>
    <row r="635" spans="1:21" x14ac:dyDescent="0.25">
      <c r="A635" s="33">
        <v>46247.466993981478</v>
      </c>
      <c r="B635" s="1">
        <v>46247</v>
      </c>
      <c r="C635" t="s">
        <v>23</v>
      </c>
      <c r="D635" t="s">
        <v>30</v>
      </c>
      <c r="E635" t="s">
        <v>31</v>
      </c>
      <c r="F635" t="s">
        <v>464</v>
      </c>
      <c r="G635" t="s">
        <v>1004</v>
      </c>
      <c r="H635" t="s">
        <v>1005</v>
      </c>
      <c r="I635">
        <v>8.6311060000000008</v>
      </c>
      <c r="J635">
        <v>5.7930000000000001</v>
      </c>
      <c r="K635">
        <v>-50</v>
      </c>
      <c r="L635" s="28">
        <v>-1</v>
      </c>
      <c r="N635" t="s">
        <v>26</v>
      </c>
      <c r="R635" t="s">
        <v>1212</v>
      </c>
      <c r="S635" t="s">
        <v>1213</v>
      </c>
    </row>
    <row r="636" spans="1:21" x14ac:dyDescent="0.25">
      <c r="A636" s="33">
        <v>46247.469875069437</v>
      </c>
      <c r="B636" s="1">
        <v>46247</v>
      </c>
      <c r="C636" t="s">
        <v>23</v>
      </c>
      <c r="D636" t="s">
        <v>30</v>
      </c>
      <c r="E636" t="s">
        <v>31</v>
      </c>
      <c r="F636" t="s">
        <v>64</v>
      </c>
      <c r="G636" t="s">
        <v>69</v>
      </c>
      <c r="H636" t="s">
        <v>69</v>
      </c>
      <c r="I636">
        <v>23.89141</v>
      </c>
      <c r="J636">
        <v>0.87897700000000001</v>
      </c>
      <c r="K636">
        <v>-21</v>
      </c>
      <c r="L636" s="28">
        <v>-1</v>
      </c>
      <c r="N636" t="s">
        <v>26</v>
      </c>
      <c r="R636" t="s">
        <v>1214</v>
      </c>
      <c r="S636" t="s">
        <v>1215</v>
      </c>
    </row>
    <row r="637" spans="1:21" x14ac:dyDescent="0.25">
      <c r="A637" s="33">
        <v>46247.470550982587</v>
      </c>
      <c r="B637" s="1">
        <v>46247</v>
      </c>
      <c r="C637" t="s">
        <v>23</v>
      </c>
      <c r="D637" t="s">
        <v>24</v>
      </c>
      <c r="E637" t="s">
        <v>25</v>
      </c>
      <c r="G637" t="s">
        <v>807</v>
      </c>
      <c r="K637">
        <v>51</v>
      </c>
      <c r="N637" t="s">
        <v>26</v>
      </c>
      <c r="R637" t="s">
        <v>647</v>
      </c>
      <c r="S637" t="s">
        <v>1216</v>
      </c>
      <c r="T637" t="s">
        <v>807</v>
      </c>
      <c r="U637" t="s">
        <v>809</v>
      </c>
    </row>
    <row r="638" spans="1:21" x14ac:dyDescent="0.25">
      <c r="A638" s="33">
        <v>46247.470697488417</v>
      </c>
      <c r="B638" s="1">
        <v>46247</v>
      </c>
      <c r="C638" t="s">
        <v>23</v>
      </c>
      <c r="D638" t="s">
        <v>30</v>
      </c>
      <c r="E638" t="s">
        <v>31</v>
      </c>
      <c r="F638" t="s">
        <v>64</v>
      </c>
      <c r="G638" t="s">
        <v>107</v>
      </c>
      <c r="H638" t="s">
        <v>108</v>
      </c>
      <c r="I638">
        <v>6.5981339999999999</v>
      </c>
      <c r="J638">
        <v>7.5778999999999996</v>
      </c>
      <c r="K638">
        <v>-50</v>
      </c>
      <c r="L638" s="28">
        <v>-1</v>
      </c>
      <c r="N638" t="s">
        <v>26</v>
      </c>
      <c r="R638" t="s">
        <v>1217</v>
      </c>
      <c r="S638" t="s">
        <v>1218</v>
      </c>
    </row>
    <row r="639" spans="1:21" x14ac:dyDescent="0.25">
      <c r="A639" s="33">
        <v>46253.395540016041</v>
      </c>
      <c r="B639" s="1">
        <v>46253</v>
      </c>
      <c r="C639" t="s">
        <v>23</v>
      </c>
      <c r="D639" t="s">
        <v>24</v>
      </c>
      <c r="E639" t="s">
        <v>25</v>
      </c>
      <c r="G639" t="s">
        <v>774</v>
      </c>
      <c r="K639">
        <v>51</v>
      </c>
      <c r="N639" t="s">
        <v>26</v>
      </c>
      <c r="R639" t="s">
        <v>246</v>
      </c>
      <c r="S639" t="s">
        <v>1219</v>
      </c>
      <c r="T639" t="s">
        <v>774</v>
      </c>
      <c r="U639" t="s">
        <v>776</v>
      </c>
    </row>
    <row r="640" spans="1:21" x14ac:dyDescent="0.25">
      <c r="A640" s="33">
        <v>46253.395623958328</v>
      </c>
      <c r="B640" s="1">
        <v>46253</v>
      </c>
      <c r="C640" t="s">
        <v>23</v>
      </c>
      <c r="D640" t="s">
        <v>30</v>
      </c>
      <c r="E640" t="s">
        <v>31</v>
      </c>
      <c r="F640" t="s">
        <v>32</v>
      </c>
      <c r="G640" t="s">
        <v>664</v>
      </c>
      <c r="H640" t="s">
        <v>665</v>
      </c>
      <c r="I640">
        <v>6.3532400000000004</v>
      </c>
      <c r="J640">
        <v>7.87</v>
      </c>
      <c r="K640">
        <v>-50</v>
      </c>
      <c r="L640" s="28">
        <v>-1</v>
      </c>
      <c r="N640" t="s">
        <v>26</v>
      </c>
      <c r="R640" t="s">
        <v>1220</v>
      </c>
      <c r="S640" t="s">
        <v>1221</v>
      </c>
    </row>
    <row r="641" spans="1:21" x14ac:dyDescent="0.25">
      <c r="A641" s="33">
        <v>46253.408111478471</v>
      </c>
      <c r="B641" s="1">
        <v>46253</v>
      </c>
      <c r="C641" t="s">
        <v>23</v>
      </c>
      <c r="D641" t="s">
        <v>24</v>
      </c>
      <c r="E641" t="s">
        <v>25</v>
      </c>
      <c r="G641" t="s">
        <v>807</v>
      </c>
      <c r="K641">
        <v>51</v>
      </c>
      <c r="N641" t="s">
        <v>26</v>
      </c>
      <c r="R641" t="s">
        <v>647</v>
      </c>
      <c r="S641" t="s">
        <v>1222</v>
      </c>
      <c r="T641" t="s">
        <v>807</v>
      </c>
      <c r="U641" t="s">
        <v>809</v>
      </c>
    </row>
    <row r="642" spans="1:21" x14ac:dyDescent="0.25">
      <c r="A642" s="33">
        <v>46253.908457708327</v>
      </c>
      <c r="B642" s="1">
        <v>46253</v>
      </c>
      <c r="C642" t="s">
        <v>23</v>
      </c>
      <c r="D642" t="s">
        <v>30</v>
      </c>
      <c r="E642" t="s">
        <v>31</v>
      </c>
      <c r="F642" t="s">
        <v>32</v>
      </c>
      <c r="G642" t="s">
        <v>167</v>
      </c>
      <c r="H642" t="s">
        <v>168</v>
      </c>
      <c r="I642">
        <v>4.3233889999999997</v>
      </c>
      <c r="J642">
        <v>1.1565000000000001</v>
      </c>
      <c r="K642">
        <v>-5</v>
      </c>
      <c r="L642" s="28">
        <v>-1</v>
      </c>
      <c r="N642" t="s">
        <v>26</v>
      </c>
      <c r="R642" t="s">
        <v>1223</v>
      </c>
      <c r="S642" t="s">
        <v>1224</v>
      </c>
    </row>
    <row r="643" spans="1:21" x14ac:dyDescent="0.25">
      <c r="A643" s="33">
        <v>46253.909207959317</v>
      </c>
      <c r="B643" s="1">
        <v>46253</v>
      </c>
      <c r="C643" t="s">
        <v>23</v>
      </c>
      <c r="D643" t="s">
        <v>24</v>
      </c>
      <c r="E643" t="s">
        <v>25</v>
      </c>
      <c r="G643" t="s">
        <v>774</v>
      </c>
      <c r="K643">
        <v>6</v>
      </c>
      <c r="N643" t="s">
        <v>26</v>
      </c>
      <c r="R643" t="s">
        <v>246</v>
      </c>
      <c r="S643" t="s">
        <v>1225</v>
      </c>
      <c r="T643" t="s">
        <v>774</v>
      </c>
      <c r="U643" t="s">
        <v>776</v>
      </c>
    </row>
    <row r="644" spans="1:21" x14ac:dyDescent="0.25">
      <c r="A644" s="33">
        <v>46253.909297256941</v>
      </c>
      <c r="B644" s="1">
        <v>46253</v>
      </c>
      <c r="C644" t="s">
        <v>23</v>
      </c>
      <c r="D644" t="s">
        <v>30</v>
      </c>
      <c r="E644" t="s">
        <v>31</v>
      </c>
      <c r="F644" t="s">
        <v>32</v>
      </c>
      <c r="G644" t="s">
        <v>167</v>
      </c>
      <c r="H644" t="s">
        <v>168</v>
      </c>
      <c r="I644">
        <v>43.233894999999997</v>
      </c>
      <c r="J644">
        <v>1.1565000000000001</v>
      </c>
      <c r="K644">
        <v>-50</v>
      </c>
      <c r="L644" s="28">
        <v>-1</v>
      </c>
      <c r="N644" t="s">
        <v>26</v>
      </c>
      <c r="R644" t="s">
        <v>1226</v>
      </c>
      <c r="S644" t="s">
        <v>1227</v>
      </c>
    </row>
    <row r="645" spans="1:21" x14ac:dyDescent="0.25">
      <c r="A645" s="33">
        <v>46254.4821227875</v>
      </c>
      <c r="B645" s="1">
        <v>46254</v>
      </c>
      <c r="C645" t="s">
        <v>23</v>
      </c>
      <c r="D645" t="s">
        <v>24</v>
      </c>
      <c r="E645" t="s">
        <v>25</v>
      </c>
      <c r="G645" t="s">
        <v>774</v>
      </c>
      <c r="K645">
        <v>91</v>
      </c>
      <c r="N645" t="s">
        <v>26</v>
      </c>
      <c r="R645" t="s">
        <v>246</v>
      </c>
      <c r="S645" t="s">
        <v>1228</v>
      </c>
      <c r="T645" t="s">
        <v>774</v>
      </c>
      <c r="U645" t="s">
        <v>776</v>
      </c>
    </row>
    <row r="646" spans="1:21" x14ac:dyDescent="0.25">
      <c r="A646" s="33">
        <v>46254.483869085649</v>
      </c>
      <c r="B646" s="1">
        <v>46254</v>
      </c>
      <c r="C646" t="s">
        <v>23</v>
      </c>
      <c r="D646" t="s">
        <v>30</v>
      </c>
      <c r="E646" t="s">
        <v>31</v>
      </c>
      <c r="F646" t="s">
        <v>32</v>
      </c>
      <c r="G646" t="s">
        <v>167</v>
      </c>
      <c r="H646" t="s">
        <v>168</v>
      </c>
      <c r="I646">
        <v>64.624421999999996</v>
      </c>
      <c r="J646">
        <v>1.1915</v>
      </c>
      <c r="K646">
        <v>-77</v>
      </c>
      <c r="L646" s="28">
        <v>-1</v>
      </c>
      <c r="N646" t="s">
        <v>26</v>
      </c>
      <c r="R646" t="s">
        <v>1229</v>
      </c>
      <c r="S646" t="s">
        <v>1230</v>
      </c>
    </row>
    <row r="647" spans="1:21" x14ac:dyDescent="0.25">
      <c r="A647" s="33">
        <v>46254.485801354167</v>
      </c>
      <c r="B647" s="1">
        <v>46254</v>
      </c>
      <c r="C647" t="s">
        <v>23</v>
      </c>
      <c r="D647" t="s">
        <v>30</v>
      </c>
      <c r="E647" t="s">
        <v>31</v>
      </c>
      <c r="F647" t="s">
        <v>64</v>
      </c>
      <c r="G647" t="s">
        <v>69</v>
      </c>
      <c r="H647" t="s">
        <v>69</v>
      </c>
      <c r="I647">
        <v>12.15292</v>
      </c>
      <c r="J647">
        <v>0.987348</v>
      </c>
      <c r="K647">
        <v>-12</v>
      </c>
      <c r="L647" s="28">
        <v>-1</v>
      </c>
      <c r="N647" t="s">
        <v>26</v>
      </c>
      <c r="R647" t="s">
        <v>1231</v>
      </c>
      <c r="S647" t="s">
        <v>1232</v>
      </c>
    </row>
    <row r="648" spans="1:21" x14ac:dyDescent="0.25">
      <c r="A648" s="33">
        <v>46255.331011258917</v>
      </c>
      <c r="B648" s="1">
        <v>46255</v>
      </c>
      <c r="C648" t="s">
        <v>23</v>
      </c>
      <c r="D648" t="s">
        <v>24</v>
      </c>
      <c r="E648" t="s">
        <v>25</v>
      </c>
      <c r="G648" t="s">
        <v>774</v>
      </c>
      <c r="K648">
        <v>34</v>
      </c>
      <c r="N648" t="s">
        <v>26</v>
      </c>
      <c r="R648" t="s">
        <v>246</v>
      </c>
      <c r="S648" t="s">
        <v>1233</v>
      </c>
      <c r="T648" t="s">
        <v>774</v>
      </c>
      <c r="U648" t="s">
        <v>776</v>
      </c>
    </row>
    <row r="649" spans="1:21" x14ac:dyDescent="0.25">
      <c r="A649" s="33">
        <v>46255.331106886573</v>
      </c>
      <c r="B649" s="1">
        <v>46255</v>
      </c>
      <c r="C649" t="s">
        <v>23</v>
      </c>
      <c r="D649" t="s">
        <v>30</v>
      </c>
      <c r="E649" t="s">
        <v>31</v>
      </c>
      <c r="F649" t="s">
        <v>32</v>
      </c>
      <c r="G649" t="s">
        <v>167</v>
      </c>
      <c r="H649" t="s">
        <v>168</v>
      </c>
      <c r="I649">
        <v>29.398662999999999</v>
      </c>
      <c r="J649">
        <v>1.1225000000000001</v>
      </c>
      <c r="K649">
        <v>-33</v>
      </c>
      <c r="L649" s="28">
        <v>-1</v>
      </c>
      <c r="N649" t="s">
        <v>26</v>
      </c>
      <c r="R649" t="s">
        <v>1234</v>
      </c>
      <c r="S649" t="s">
        <v>1235</v>
      </c>
    </row>
    <row r="650" spans="1:21" x14ac:dyDescent="0.25">
      <c r="A650" s="33">
        <v>46258.601679902356</v>
      </c>
      <c r="B650" s="1">
        <v>46258</v>
      </c>
      <c r="C650" t="s">
        <v>23</v>
      </c>
      <c r="D650" t="s">
        <v>24</v>
      </c>
      <c r="E650" t="s">
        <v>25</v>
      </c>
      <c r="G650" t="s">
        <v>807</v>
      </c>
      <c r="K650">
        <v>401</v>
      </c>
      <c r="N650" t="s">
        <v>26</v>
      </c>
      <c r="R650" t="s">
        <v>647</v>
      </c>
      <c r="S650" t="s">
        <v>1236</v>
      </c>
      <c r="T650" t="s">
        <v>807</v>
      </c>
      <c r="U650" t="s">
        <v>809</v>
      </c>
    </row>
    <row r="651" spans="1:21" x14ac:dyDescent="0.25">
      <c r="A651" s="33">
        <v>46258.650790868058</v>
      </c>
      <c r="B651" s="1">
        <v>46258</v>
      </c>
      <c r="C651" t="s">
        <v>23</v>
      </c>
      <c r="D651" t="s">
        <v>30</v>
      </c>
      <c r="E651" t="s">
        <v>31</v>
      </c>
      <c r="F651" t="s">
        <v>464</v>
      </c>
      <c r="G651" t="s">
        <v>1237</v>
      </c>
      <c r="H651" t="s">
        <v>1238</v>
      </c>
      <c r="I651">
        <v>8.3333329999999997</v>
      </c>
      <c r="J651">
        <v>47.994999999999997</v>
      </c>
      <c r="K651">
        <v>-399.96</v>
      </c>
      <c r="L651" s="28">
        <v>-1</v>
      </c>
      <c r="N651" t="s">
        <v>26</v>
      </c>
      <c r="R651" t="s">
        <v>1239</v>
      </c>
      <c r="S651" t="s">
        <v>1240</v>
      </c>
    </row>
    <row r="652" spans="1:21" x14ac:dyDescent="0.25">
      <c r="A652" s="33">
        <v>46260.322363152642</v>
      </c>
      <c r="B652" s="1">
        <v>46260</v>
      </c>
      <c r="C652" t="s">
        <v>23</v>
      </c>
      <c r="D652" t="s">
        <v>24</v>
      </c>
      <c r="E652" t="s">
        <v>25</v>
      </c>
      <c r="G652" t="s">
        <v>774</v>
      </c>
      <c r="K652">
        <v>51</v>
      </c>
      <c r="N652" t="s">
        <v>26</v>
      </c>
      <c r="R652" t="s">
        <v>246</v>
      </c>
      <c r="S652" t="s">
        <v>1241</v>
      </c>
      <c r="T652" t="s">
        <v>774</v>
      </c>
      <c r="U652" t="s">
        <v>776</v>
      </c>
    </row>
    <row r="653" spans="1:21" x14ac:dyDescent="0.25">
      <c r="A653" s="33">
        <v>46260.323372476851</v>
      </c>
      <c r="B653" s="1">
        <v>46260</v>
      </c>
      <c r="C653" t="s">
        <v>23</v>
      </c>
      <c r="D653" t="s">
        <v>30</v>
      </c>
      <c r="E653" t="s">
        <v>31</v>
      </c>
      <c r="F653" t="s">
        <v>32</v>
      </c>
      <c r="G653" t="s">
        <v>167</v>
      </c>
      <c r="H653" t="s">
        <v>168</v>
      </c>
      <c r="I653">
        <v>46.104194999999997</v>
      </c>
      <c r="J653">
        <v>1.0845</v>
      </c>
      <c r="K653">
        <v>-50</v>
      </c>
      <c r="L653" s="28">
        <v>-1</v>
      </c>
      <c r="N653" t="s">
        <v>26</v>
      </c>
      <c r="R653" t="s">
        <v>1242</v>
      </c>
      <c r="S653" t="s">
        <v>1243</v>
      </c>
    </row>
    <row r="654" spans="1:21" x14ac:dyDescent="0.25">
      <c r="A654" s="33">
        <v>46267.161464598743</v>
      </c>
      <c r="B654" s="1">
        <v>46267</v>
      </c>
      <c r="C654" t="s">
        <v>23</v>
      </c>
      <c r="D654" t="s">
        <v>24</v>
      </c>
      <c r="E654" t="s">
        <v>1199</v>
      </c>
      <c r="G654" t="s">
        <v>1200</v>
      </c>
      <c r="K654">
        <v>50</v>
      </c>
      <c r="N654" t="s">
        <v>26</v>
      </c>
      <c r="R654" t="s">
        <v>1201</v>
      </c>
      <c r="S654" t="s">
        <v>1393</v>
      </c>
      <c r="T654" t="s">
        <v>1200</v>
      </c>
      <c r="U654" t="s">
        <v>776</v>
      </c>
    </row>
    <row r="655" spans="1:21" x14ac:dyDescent="0.25">
      <c r="A655" s="33">
        <v>46267.679141655091</v>
      </c>
      <c r="B655" s="1">
        <v>46267</v>
      </c>
      <c r="C655" t="s">
        <v>23</v>
      </c>
      <c r="D655" t="s">
        <v>30</v>
      </c>
      <c r="E655" t="s">
        <v>31</v>
      </c>
      <c r="F655" t="s">
        <v>464</v>
      </c>
      <c r="G655" t="s">
        <v>1178</v>
      </c>
      <c r="H655" t="s">
        <v>1179</v>
      </c>
      <c r="I655">
        <v>0.90744100000000005</v>
      </c>
      <c r="J655">
        <v>55.1</v>
      </c>
      <c r="K655">
        <v>-50</v>
      </c>
      <c r="N655" t="s">
        <v>26</v>
      </c>
      <c r="R655" t="s">
        <v>1394</v>
      </c>
      <c r="S655" t="s">
        <v>1395</v>
      </c>
    </row>
    <row r="656" spans="1:21" x14ac:dyDescent="0.25">
      <c r="A656" s="33">
        <v>46280.467863904989</v>
      </c>
      <c r="B656" s="1">
        <v>46280</v>
      </c>
      <c r="C656" t="s">
        <v>23</v>
      </c>
      <c r="D656" t="s">
        <v>24</v>
      </c>
      <c r="E656" t="s">
        <v>25</v>
      </c>
      <c r="G656" t="s">
        <v>774</v>
      </c>
      <c r="K656">
        <v>51</v>
      </c>
      <c r="L656"/>
      <c r="N656" t="s">
        <v>26</v>
      </c>
      <c r="R656" t="s">
        <v>246</v>
      </c>
      <c r="S656" t="s">
        <v>1408</v>
      </c>
      <c r="T656" t="s">
        <v>774</v>
      </c>
      <c r="U656" t="s">
        <v>776</v>
      </c>
    </row>
    <row r="657" spans="1:21" x14ac:dyDescent="0.25">
      <c r="A657" s="33">
        <v>46280.490438946763</v>
      </c>
      <c r="B657" s="1">
        <v>46280</v>
      </c>
      <c r="C657" t="s">
        <v>23</v>
      </c>
      <c r="D657" t="s">
        <v>30</v>
      </c>
      <c r="E657" t="s">
        <v>31</v>
      </c>
      <c r="F657" t="s">
        <v>32</v>
      </c>
      <c r="G657" t="s">
        <v>167</v>
      </c>
      <c r="H657" t="s">
        <v>168</v>
      </c>
      <c r="I657">
        <v>50</v>
      </c>
      <c r="J657">
        <v>1</v>
      </c>
      <c r="K657">
        <v>-50</v>
      </c>
      <c r="L657">
        <v>-1</v>
      </c>
      <c r="N657" t="s">
        <v>26</v>
      </c>
      <c r="R657" t="s">
        <v>1409</v>
      </c>
      <c r="S657" t="s">
        <v>1410</v>
      </c>
    </row>
    <row r="658" spans="1:21" x14ac:dyDescent="0.25">
      <c r="A658" s="33">
        <v>46280.707478505843</v>
      </c>
      <c r="B658" s="1">
        <v>46280</v>
      </c>
      <c r="C658" t="s">
        <v>23</v>
      </c>
      <c r="D658" t="s">
        <v>24</v>
      </c>
      <c r="E658" t="s">
        <v>25</v>
      </c>
      <c r="G658" t="s">
        <v>774</v>
      </c>
      <c r="K658">
        <v>51</v>
      </c>
      <c r="L658"/>
      <c r="N658" t="s">
        <v>26</v>
      </c>
      <c r="R658" t="s">
        <v>246</v>
      </c>
      <c r="S658" t="s">
        <v>1411</v>
      </c>
      <c r="T658" t="s">
        <v>774</v>
      </c>
      <c r="U658" t="s">
        <v>776</v>
      </c>
    </row>
    <row r="659" spans="1:21" x14ac:dyDescent="0.25">
      <c r="A659" s="33">
        <v>46280.707949039352</v>
      </c>
      <c r="B659" s="1">
        <v>46280</v>
      </c>
      <c r="C659" t="s">
        <v>23</v>
      </c>
      <c r="D659" t="s">
        <v>30</v>
      </c>
      <c r="E659" t="s">
        <v>31</v>
      </c>
      <c r="F659" t="s">
        <v>464</v>
      </c>
      <c r="G659" t="s">
        <v>1004</v>
      </c>
      <c r="H659" t="s">
        <v>1005</v>
      </c>
      <c r="I659">
        <v>10.483279</v>
      </c>
      <c r="J659">
        <v>4.7694999999999999</v>
      </c>
      <c r="K659">
        <v>-50</v>
      </c>
      <c r="L659">
        <v>-1</v>
      </c>
      <c r="N659" t="s">
        <v>26</v>
      </c>
      <c r="R659" t="s">
        <v>1412</v>
      </c>
      <c r="S659" t="s">
        <v>1413</v>
      </c>
    </row>
    <row r="660" spans="1:21" x14ac:dyDescent="0.25">
      <c r="A660" s="33">
        <v>46281.300199837962</v>
      </c>
      <c r="B660" s="1">
        <v>46281</v>
      </c>
      <c r="C660" t="s">
        <v>23</v>
      </c>
      <c r="D660" t="s">
        <v>30</v>
      </c>
      <c r="E660" t="s">
        <v>82</v>
      </c>
      <c r="F660" t="s">
        <v>64</v>
      </c>
      <c r="G660" t="s">
        <v>65</v>
      </c>
      <c r="H660" t="s">
        <v>66</v>
      </c>
      <c r="I660">
        <v>-8.1041240000000005</v>
      </c>
      <c r="J660">
        <v>82.606999999999999</v>
      </c>
      <c r="K660">
        <v>669.46</v>
      </c>
      <c r="L660">
        <v>-1</v>
      </c>
      <c r="N660" t="s">
        <v>26</v>
      </c>
      <c r="R660" t="s">
        <v>1414</v>
      </c>
      <c r="S660" t="s">
        <v>1415</v>
      </c>
    </row>
    <row r="661" spans="1:21" x14ac:dyDescent="0.25">
      <c r="A661" s="33">
        <v>46281.301226030671</v>
      </c>
      <c r="B661" s="1">
        <v>46281</v>
      </c>
      <c r="C661" t="s">
        <v>23</v>
      </c>
      <c r="D661" t="s">
        <v>24</v>
      </c>
      <c r="E661" t="s">
        <v>161</v>
      </c>
      <c r="G661" t="s">
        <v>774</v>
      </c>
      <c r="K661">
        <v>-668.65</v>
      </c>
      <c r="L661"/>
      <c r="N661" t="s">
        <v>26</v>
      </c>
      <c r="R661" t="s">
        <v>397</v>
      </c>
      <c r="S661" t="s">
        <v>1416</v>
      </c>
      <c r="T661" t="s">
        <v>774</v>
      </c>
      <c r="U661" t="s">
        <v>776</v>
      </c>
    </row>
    <row r="662" spans="1:21" x14ac:dyDescent="0.25">
      <c r="A662" s="33">
        <v>46281.364682372689</v>
      </c>
      <c r="B662" s="1">
        <v>46281</v>
      </c>
      <c r="C662" t="s">
        <v>23</v>
      </c>
      <c r="D662" t="s">
        <v>30</v>
      </c>
      <c r="E662" t="s">
        <v>31</v>
      </c>
      <c r="F662" t="s">
        <v>32</v>
      </c>
      <c r="G662" t="s">
        <v>1182</v>
      </c>
      <c r="H662" t="s">
        <v>1183</v>
      </c>
      <c r="I662">
        <v>1</v>
      </c>
      <c r="J662">
        <v>31.504999999999999</v>
      </c>
      <c r="K662">
        <v>-31.51</v>
      </c>
      <c r="L662">
        <v>-1</v>
      </c>
      <c r="N662" t="s">
        <v>26</v>
      </c>
      <c r="R662" t="s">
        <v>1417</v>
      </c>
      <c r="S662" t="s">
        <v>1418</v>
      </c>
    </row>
    <row r="663" spans="1:21" x14ac:dyDescent="0.25">
      <c r="A663" s="33">
        <v>46281.364686540917</v>
      </c>
      <c r="B663" s="1">
        <v>46281</v>
      </c>
      <c r="C663" t="s">
        <v>23</v>
      </c>
      <c r="D663" t="s">
        <v>24</v>
      </c>
      <c r="E663" t="s">
        <v>25</v>
      </c>
      <c r="G663" t="s">
        <v>774</v>
      </c>
      <c r="K663">
        <v>33</v>
      </c>
      <c r="L663"/>
      <c r="N663" t="s">
        <v>26</v>
      </c>
      <c r="R663" t="s">
        <v>246</v>
      </c>
      <c r="S663" t="s">
        <v>1419</v>
      </c>
      <c r="T663" t="s">
        <v>774</v>
      </c>
      <c r="U663" t="s">
        <v>776</v>
      </c>
    </row>
    <row r="664" spans="1:21" x14ac:dyDescent="0.25">
      <c r="A664" s="33">
        <v>46283.243437777783</v>
      </c>
      <c r="B664" s="1">
        <v>46283.083333333336</v>
      </c>
      <c r="C664" t="s">
        <v>23</v>
      </c>
      <c r="D664" t="s">
        <v>30</v>
      </c>
      <c r="E664" t="s">
        <v>31</v>
      </c>
      <c r="F664" t="s">
        <v>64</v>
      </c>
      <c r="G664" t="s">
        <v>65</v>
      </c>
      <c r="H664" t="s">
        <v>66</v>
      </c>
      <c r="I664" s="30">
        <v>2</v>
      </c>
      <c r="J664" s="30">
        <v>92.072000000000003</v>
      </c>
      <c r="K664" s="28">
        <v>-184.14</v>
      </c>
      <c r="L664" s="28">
        <v>-1</v>
      </c>
      <c r="N664" t="s">
        <v>26</v>
      </c>
      <c r="R664" t="s">
        <v>1423</v>
      </c>
      <c r="S664" t="s">
        <v>1424</v>
      </c>
    </row>
    <row r="665" spans="1:21" x14ac:dyDescent="0.25">
      <c r="A665" s="33">
        <v>46283.24452533642</v>
      </c>
      <c r="B665" s="1">
        <v>46283.083333333343</v>
      </c>
      <c r="C665" t="s">
        <v>23</v>
      </c>
      <c r="D665" t="s">
        <v>24</v>
      </c>
      <c r="E665" t="s">
        <v>25</v>
      </c>
      <c r="G665" t="s">
        <v>774</v>
      </c>
      <c r="I665" s="30"/>
      <c r="J665" s="30"/>
      <c r="K665" s="28">
        <v>93</v>
      </c>
      <c r="N665" t="s">
        <v>26</v>
      </c>
      <c r="R665" t="s">
        <v>246</v>
      </c>
      <c r="S665" t="s">
        <v>1425</v>
      </c>
      <c r="T665" t="s">
        <v>774</v>
      </c>
      <c r="U665" t="s">
        <v>776</v>
      </c>
    </row>
    <row r="666" spans="1:21" x14ac:dyDescent="0.25">
      <c r="A666" s="33">
        <v>46283.243302053197</v>
      </c>
      <c r="B666" s="1">
        <v>46283.083333333343</v>
      </c>
      <c r="C666" t="s">
        <v>23</v>
      </c>
      <c r="D666" t="s">
        <v>24</v>
      </c>
      <c r="E666" t="s">
        <v>25</v>
      </c>
      <c r="G666" t="s">
        <v>774</v>
      </c>
      <c r="I666" s="30"/>
      <c r="J666" s="30"/>
      <c r="K666" s="28">
        <v>185</v>
      </c>
      <c r="N666" t="s">
        <v>26</v>
      </c>
      <c r="R666" t="s">
        <v>246</v>
      </c>
      <c r="S666" t="s">
        <v>1426</v>
      </c>
      <c r="T666" t="s">
        <v>774</v>
      </c>
      <c r="U666" t="s">
        <v>776</v>
      </c>
    </row>
    <row r="667" spans="1:21" x14ac:dyDescent="0.25">
      <c r="A667" s="33">
        <v>46283.244594467593</v>
      </c>
      <c r="B667" s="1">
        <v>46283.083333333343</v>
      </c>
      <c r="C667" t="s">
        <v>23</v>
      </c>
      <c r="D667" t="s">
        <v>30</v>
      </c>
      <c r="E667" t="s">
        <v>31</v>
      </c>
      <c r="F667" t="s">
        <v>64</v>
      </c>
      <c r="G667" t="s">
        <v>65</v>
      </c>
      <c r="H667" t="s">
        <v>66</v>
      </c>
      <c r="I667" s="30">
        <v>1</v>
      </c>
      <c r="J667" s="30">
        <v>91.811999999999998</v>
      </c>
      <c r="K667" s="28">
        <v>-91.81</v>
      </c>
      <c r="L667" s="28">
        <v>-1</v>
      </c>
      <c r="N667" t="s">
        <v>26</v>
      </c>
      <c r="R667" t="s">
        <v>572</v>
      </c>
      <c r="S667" t="s">
        <v>1427</v>
      </c>
    </row>
    <row r="668" spans="1:21" x14ac:dyDescent="0.25">
      <c r="A668" s="33">
        <v>46283.2645567539</v>
      </c>
      <c r="B668" s="1">
        <v>46283.083333333343</v>
      </c>
      <c r="C668" t="s">
        <v>23</v>
      </c>
      <c r="D668" t="s">
        <v>24</v>
      </c>
      <c r="E668" t="s">
        <v>25</v>
      </c>
      <c r="G668" t="s">
        <v>774</v>
      </c>
      <c r="I668" s="30"/>
      <c r="J668" s="30"/>
      <c r="K668" s="28">
        <v>101</v>
      </c>
      <c r="N668" t="s">
        <v>26</v>
      </c>
      <c r="R668" t="s">
        <v>246</v>
      </c>
      <c r="S668" t="s">
        <v>1428</v>
      </c>
      <c r="T668" t="s">
        <v>774</v>
      </c>
      <c r="U668" t="s">
        <v>776</v>
      </c>
    </row>
    <row r="669" spans="1:21" x14ac:dyDescent="0.25">
      <c r="A669" s="33">
        <v>46283.26468364583</v>
      </c>
      <c r="B669" s="1">
        <v>46283.083333333343</v>
      </c>
      <c r="C669" t="s">
        <v>23</v>
      </c>
      <c r="D669" t="s">
        <v>30</v>
      </c>
      <c r="E669" t="s">
        <v>31</v>
      </c>
      <c r="F669" t="s">
        <v>64</v>
      </c>
      <c r="G669" t="s">
        <v>1421</v>
      </c>
      <c r="H669" t="s">
        <v>1422</v>
      </c>
      <c r="I669" s="30">
        <v>1356.0241370000001</v>
      </c>
      <c r="J669" s="30">
        <v>7.3744000000000004E-2</v>
      </c>
      <c r="K669" s="28">
        <v>-100</v>
      </c>
      <c r="L669" s="28">
        <v>-1</v>
      </c>
      <c r="N669" t="s">
        <v>26</v>
      </c>
      <c r="R669" t="s">
        <v>1429</v>
      </c>
      <c r="S669" t="s">
        <v>1430</v>
      </c>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I1" activePane="topRight" state="frozen"/>
      <selection pane="topRight" activeCell="M2" sqref="M2:M62"/>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1244</v>
      </c>
      <c r="B1" s="4" t="s">
        <v>1245</v>
      </c>
      <c r="C1" s="4" t="s">
        <v>1396</v>
      </c>
      <c r="D1" s="4" t="s">
        <v>1246</v>
      </c>
      <c r="E1" s="4" t="s">
        <v>1247</v>
      </c>
      <c r="F1" s="4" t="s">
        <v>1248</v>
      </c>
      <c r="G1" s="16" t="s">
        <v>1249</v>
      </c>
      <c r="H1" s="16" t="s">
        <v>1250</v>
      </c>
      <c r="I1" s="16" t="s">
        <v>1251</v>
      </c>
      <c r="J1" s="16" t="s">
        <v>1252</v>
      </c>
      <c r="K1" s="4" t="s">
        <v>1253</v>
      </c>
      <c r="L1" s="20" t="s">
        <v>1280</v>
      </c>
      <c r="M1" s="20" t="s">
        <v>1257</v>
      </c>
      <c r="N1" s="20" t="s">
        <v>1348</v>
      </c>
      <c r="O1" s="16" t="s">
        <v>1258</v>
      </c>
      <c r="P1" s="16" t="s">
        <v>1321</v>
      </c>
      <c r="Q1" s="18" t="s">
        <v>1314</v>
      </c>
      <c r="R1" s="16" t="s">
        <v>1338</v>
      </c>
      <c r="S1" s="16" t="s">
        <v>1349</v>
      </c>
      <c r="T1" s="25" t="s">
        <v>1407</v>
      </c>
      <c r="U1" s="25" t="s">
        <v>1420</v>
      </c>
      <c r="V1" s="18" t="s">
        <v>1362</v>
      </c>
      <c r="W1" s="17" t="s">
        <v>1363</v>
      </c>
    </row>
    <row r="2" spans="1:23" x14ac:dyDescent="0.25">
      <c r="A2" s="9" t="s">
        <v>359</v>
      </c>
      <c r="B2" s="5" t="s">
        <v>64</v>
      </c>
      <c r="C2" s="5" t="s">
        <v>360</v>
      </c>
      <c r="D2" s="5">
        <f>SUMIFS(Daten!I:I,Daten!H:H,C2,Daten!E:E,"BUY")</f>
        <v>160.77442500000001</v>
      </c>
      <c r="E2" s="5">
        <f>-SUMIFS(Daten!I:I,Daten!H:H,C2,Daten!E:E,"SELL")</f>
        <v>0</v>
      </c>
      <c r="F2" s="5">
        <f>D2-E2</f>
        <v>160.77442500000001</v>
      </c>
      <c r="G2" s="6">
        <f>-SUMIFS(Daten!K:K,Daten!H:H,C2,Daten!E:E,"BUY")</f>
        <v>19</v>
      </c>
      <c r="H2" s="6">
        <f>SUMIFS(Daten!K:K,Daten!H:H,C2,Daten!E:E,"SELL")</f>
        <v>0</v>
      </c>
      <c r="I2" s="6">
        <f>SUMIFS(Daten!L:L,Daten!H:H,C2)*-1</f>
        <v>1</v>
      </c>
      <c r="J2" s="6">
        <f>H2-G2-I2</f>
        <v>-20</v>
      </c>
      <c r="K2" s="5" t="str">
        <f>IF(F2&gt;0,"OFFEN","GESCHLOSSEN")</f>
        <v>OFFEN</v>
      </c>
      <c r="L2">
        <v>0.1244</v>
      </c>
      <c r="M2">
        <v>9.9933999999999995E-2</v>
      </c>
      <c r="N2" s="21">
        <f>IF(K2="GESCHLOSSEN",
0,
IF(K2="OFFEN",
((M2*F2)-(L2*F2)),
""))</f>
        <v>-3.9335070820499993</v>
      </c>
      <c r="O2" s="6">
        <f>IF(F2&gt;0,F2*M2,0)</f>
        <v>16.06683138795</v>
      </c>
      <c r="P2" s="6">
        <f>IF(F2&gt;0,F2*L2,0)</f>
        <v>20.000338469999999</v>
      </c>
      <c r="Q2" s="7">
        <f>IF(K2="GESCHLOSSEN",
0,
IF(K2="OFFEN",
(N2/(L2*F2))))</f>
        <v>-0.19667202572347264</v>
      </c>
      <c r="R2" s="6">
        <f>IF(K2="GESCHLOSSEN",
H2-G2-I2 + SUMIFS(Daten!K:K,Daten!H:H,C2,Daten!E:E,"DIVIDEND"),
IF(K2="OFFEN",
IF(E2=0,
0,
H2+SUMIFS(Daten!K:K,Daten!H:H,C2,Daten!E:E,"DIVIDEND")-(G2-(F2*L2))-I2
),
""))</f>
        <v>0</v>
      </c>
      <c r="S2" s="6">
        <f>IF(E2=0,
0,
(G2-(F2*L2))+I2
)</f>
        <v>0</v>
      </c>
      <c r="T2" s="26">
        <f>COUNTIFS(Daten!H:H,C2,Daten!E:E,"BUY",Daten!L:L,"&lt;0")</f>
        <v>1</v>
      </c>
      <c r="U2" s="26">
        <f>COUNTIFS(Daten!H:H,C2,Daten!E:E,"SELL",Daten!L:L,"&lt;0")</f>
        <v>0</v>
      </c>
      <c r="V2" s="7">
        <f>IF(S2&gt;0,R2/S2,0)</f>
        <v>0</v>
      </c>
      <c r="W2" s="7">
        <f>IF(K2="GESCHLOSSEN",
J2/(G2+I2),
IF(K2="OFFEN",
((H2+M2*F2)-G2-I2)/G2,
""))</f>
        <v>-0.20700887431842108</v>
      </c>
    </row>
    <row r="3" spans="1:23" x14ac:dyDescent="0.25">
      <c r="A3" s="9" t="s">
        <v>262</v>
      </c>
      <c r="B3" s="5" t="s">
        <v>32</v>
      </c>
      <c r="C3" s="5" t="s">
        <v>263</v>
      </c>
      <c r="D3" s="5">
        <f>SUMIFS(Daten!I:I,Daten!H:H,C3,Daten!E:E,"BUY")</f>
        <v>15.014427</v>
      </c>
      <c r="E3" s="5">
        <f>-SUMIFS(Daten!I:I,Daten!H:H,C3,Daten!E:E,"SELL")</f>
        <v>14.432513</v>
      </c>
      <c r="F3" s="5">
        <f>D3-E3</f>
        <v>0.58191399999999938</v>
      </c>
      <c r="G3" s="6">
        <f>-SUMIFS(Daten!K:K,Daten!H:H,C3,Daten!E:E,"BUY")</f>
        <v>555.97</v>
      </c>
      <c r="H3" s="6">
        <f>SUMIFS(Daten!K:K,Daten!H:H,C3,Daten!E:E,"SELL")</f>
        <v>660.92</v>
      </c>
      <c r="I3" s="6">
        <f>SUMIFS(Daten!L:L,Daten!H:H,C3)*-1</f>
        <v>8</v>
      </c>
      <c r="J3" s="6">
        <f>H3-G3-I3</f>
        <v>96.949999999999932</v>
      </c>
      <c r="K3" s="5" t="str">
        <f>IF(F3&gt;0,"OFFEN","GESCHLOSSEN")</f>
        <v>OFFEN</v>
      </c>
      <c r="L3">
        <v>33.659999999999997</v>
      </c>
      <c r="M3">
        <v>49.47</v>
      </c>
      <c r="N3" s="21">
        <f>IF(K3="GESCHLOSSEN",
0,
IF(K3="OFFEN",
((M3*F3)-(L3*F3)),
""))</f>
        <v>9.2000603399999896</v>
      </c>
      <c r="O3" s="6">
        <f>IF(F3&gt;0,F3*M3,0)</f>
        <v>28.787285579999967</v>
      </c>
      <c r="P3" s="6">
        <f>IF(F3&gt;0,F3*L3,0)</f>
        <v>19.587225239999977</v>
      </c>
      <c r="Q3" s="7">
        <f>IF(K3="GESCHLOSSEN",
0,
IF(K3="OFFEN",
(N3/(L3*F3))))</f>
        <v>0.46969696969696972</v>
      </c>
      <c r="R3" s="6">
        <f>IF(K3="GESCHLOSSEN",
H3-G3-I3 + SUMIFS(Daten!K:K,Daten!H:H,C3,Daten!E:E,"DIVIDEND"),
IF(K3="OFFEN",
IF(E3=0,
0,
H3+SUMIFS(Daten!K:K,Daten!H:H,C3,Daten!E:E,"DIVIDEND")-(G3-(F3*L3))-I3
),
""))</f>
        <v>117.1472252399999</v>
      </c>
      <c r="S3" s="6">
        <f>IF(E3=0,
0,
(G3-(F3*L3))+I3
)</f>
        <v>544.38277476000007</v>
      </c>
      <c r="T3" s="26">
        <f>COUNTIFS(Daten!H:H,C3,Daten!E:E,"BUY",Daten!L:L,"&lt;0")</f>
        <v>5</v>
      </c>
      <c r="U3" s="26">
        <f>COUNTIFS(Daten!H:H,C3,Daten!E:E,"SELL",Daten!L:L,"&lt;0")</f>
        <v>3</v>
      </c>
      <c r="V3" s="7">
        <f>IF(S3&gt;0,R3/S3,0)</f>
        <v>0.21519274795505083</v>
      </c>
      <c r="W3" s="7">
        <f>IF(K3="GESCHLOSSEN",
J3/(G3+I3),
IF(K3="OFFEN",
((H3+M3*F3)-G3-I3)/G3,
""))</f>
        <v>0.22615839987769112</v>
      </c>
    </row>
    <row r="4" spans="1:23" x14ac:dyDescent="0.25">
      <c r="A4" s="9" t="s">
        <v>590</v>
      </c>
      <c r="B4" s="5" t="s">
        <v>32</v>
      </c>
      <c r="C4" s="5" t="s">
        <v>591</v>
      </c>
      <c r="D4" s="5">
        <f>SUMIFS(Daten!I:I,Daten!H:H,C4,Daten!E:E,"BUY")</f>
        <v>107.18673200000001</v>
      </c>
      <c r="E4" s="5">
        <f>-SUMIFS(Daten!I:I,Daten!H:H,C4,Daten!E:E,"SELL")</f>
        <v>107.18673200000001</v>
      </c>
      <c r="F4" s="5">
        <f>D4-E4</f>
        <v>0</v>
      </c>
      <c r="G4" s="6">
        <f>-SUMIFS(Daten!K:K,Daten!H:H,C4,Daten!E:E,"BUY")</f>
        <v>650</v>
      </c>
      <c r="H4" s="6">
        <f>SUMIFS(Daten!K:K,Daten!H:H,C4,Daten!E:E,"SELL")</f>
        <v>684.86</v>
      </c>
      <c r="I4" s="6">
        <f>SUMIFS(Daten!L:L,Daten!H:H,C4)*-1</f>
        <v>7</v>
      </c>
      <c r="J4" s="6">
        <f>H4-G4-I4</f>
        <v>27.860000000000014</v>
      </c>
      <c r="K4" s="5" t="str">
        <f>IF(F4&gt;0,"OFFEN","GESCHLOSSEN")</f>
        <v>GESCHLOSSEN</v>
      </c>
      <c r="L4">
        <v>0</v>
      </c>
      <c r="M4">
        <v>0</v>
      </c>
      <c r="N4" s="21">
        <f>IF(K4="GESCHLOSSEN",
0,
IF(K4="OFFEN",
((M4*F4)-(L4*F4)),
""))</f>
        <v>0</v>
      </c>
      <c r="O4" s="6">
        <f>IF(F4&gt;0,F4*M4,0)</f>
        <v>0</v>
      </c>
      <c r="P4" s="6">
        <f>IF(F4&gt;0,F4*L4,0)</f>
        <v>0</v>
      </c>
      <c r="Q4" s="7">
        <f>IF(K4="GESCHLOSSEN",
0,
IF(K4="OFFEN",
(N4/(L4*F4))))</f>
        <v>0</v>
      </c>
      <c r="R4" s="6">
        <f>IF(K4="GESCHLOSSEN",
H4-G4-I4 + SUMIFS(Daten!K:K,Daten!H:H,C4,Daten!E:E,"DIVIDEND"),
IF(K4="OFFEN",
IF(E4=0,
0,
H4+SUMIFS(Daten!K:K,Daten!H:H,C4,Daten!E:E,"DIVIDEND")-(G4-(F4*L4))-I4
),
""))</f>
        <v>31.260000000000012</v>
      </c>
      <c r="S4" s="6">
        <f>IF(E4=0,
0,
(G4-(F4*L4))+I4
)</f>
        <v>657</v>
      </c>
      <c r="T4" s="26">
        <f>COUNTIFS(Daten!H:H,C4,Daten!E:E,"BUY",Daten!L:L,"&lt;0")</f>
        <v>4</v>
      </c>
      <c r="U4" s="26">
        <f>COUNTIFS(Daten!H:H,C4,Daten!E:E,"SELL",Daten!L:L,"&lt;0")</f>
        <v>3</v>
      </c>
      <c r="V4" s="7">
        <f>IF(S4&gt;0,R4/S4,0)</f>
        <v>4.7579908675799108E-2</v>
      </c>
      <c r="W4" s="7">
        <f>IF(K4="GESCHLOSSEN",
J4/(G4+I4),
IF(K4="OFFEN",
((H4+M4*F4)-G4-I4)/G4,
""))</f>
        <v>4.2404870624048727E-2</v>
      </c>
    </row>
    <row r="5" spans="1:23" x14ac:dyDescent="0.25">
      <c r="A5" s="9" t="s">
        <v>211</v>
      </c>
      <c r="B5" s="5" t="s">
        <v>32</v>
      </c>
      <c r="C5" s="5" t="s">
        <v>212</v>
      </c>
      <c r="D5" s="5">
        <f>SUMIFS(Daten!I:I,Daten!H:H,C5,Daten!E:E,"BUY")</f>
        <v>147.77105400000002</v>
      </c>
      <c r="E5" s="5">
        <f>-SUMIFS(Daten!I:I,Daten!H:H,C5,Daten!E:E,"SELL")</f>
        <v>147.77105399999999</v>
      </c>
      <c r="F5" s="5">
        <f>D5-E5</f>
        <v>0</v>
      </c>
      <c r="G5" s="6">
        <f>-SUMIFS(Daten!K:K,Daten!H:H,C5,Daten!E:E,"BUY")</f>
        <v>626</v>
      </c>
      <c r="H5" s="6">
        <f>SUMIFS(Daten!K:K,Daten!H:H,C5,Daten!E:E,"SELL")</f>
        <v>727.03</v>
      </c>
      <c r="I5" s="6">
        <f>SUMIFS(Daten!L:L,Daten!H:H,C5)*-1</f>
        <v>13</v>
      </c>
      <c r="J5" s="6">
        <f>H5-G5-I5</f>
        <v>88.029999999999973</v>
      </c>
      <c r="K5" s="5" t="str">
        <f>IF(F5&gt;0,"OFFEN","GESCHLOSSEN")</f>
        <v>GESCHLOSSEN</v>
      </c>
      <c r="L5">
        <v>0</v>
      </c>
      <c r="M5">
        <v>0</v>
      </c>
      <c r="N5" s="21">
        <f>IF(K5="GESCHLOSSEN",
0,
IF(K5="OFFEN",
((M5*F5)-(L5*F5)),
""))</f>
        <v>0</v>
      </c>
      <c r="O5" s="6">
        <f>IF(F5&gt;0,F5*M5,0)</f>
        <v>0</v>
      </c>
      <c r="P5" s="6">
        <f>IF(F5&gt;0,F5*L5,0)</f>
        <v>0</v>
      </c>
      <c r="Q5" s="7">
        <f>IF(K5="GESCHLOSSEN",
0,
IF(K5="OFFEN",
(N5/(L5*F5))))</f>
        <v>0</v>
      </c>
      <c r="R5" s="6">
        <f>IF(K5="GESCHLOSSEN",
H5-G5-I5 + SUMIFS(Daten!K:K,Daten!H:H,C5,Daten!E:E,"DIVIDEND"),
IF(K5="OFFEN",
IF(E5=0,
0,
H5+SUMIFS(Daten!K:K,Daten!H:H,C5,Daten!E:E,"DIVIDEND")-(G5-(F5*L5))-I5
),
""))</f>
        <v>88.029999999999973</v>
      </c>
      <c r="S5" s="6">
        <f>IF(E5=0,
0,
(G5-(F5*L5))+I5
)</f>
        <v>639</v>
      </c>
      <c r="T5" s="26">
        <f>COUNTIFS(Daten!H:H,C5,Daten!E:E,"BUY",Daten!L:L,"&lt;0")</f>
        <v>12</v>
      </c>
      <c r="U5" s="26">
        <f>COUNTIFS(Daten!H:H,C5,Daten!E:E,"SELL",Daten!L:L,"&lt;0")</f>
        <v>1</v>
      </c>
      <c r="V5" s="7">
        <f>IF(S5&gt;0,R5/S5,0)</f>
        <v>0.13776212832550858</v>
      </c>
      <c r="W5" s="7">
        <f>IF(K5="GESCHLOSSEN",
J5/(G5+I5),
IF(K5="OFFEN",
((H5+M5*F5)-G5-I5)/G5,
""))</f>
        <v>0.13776212832550858</v>
      </c>
    </row>
    <row r="6" spans="1:23" x14ac:dyDescent="0.25">
      <c r="A6" s="9" t="s">
        <v>471</v>
      </c>
      <c r="B6" s="5" t="s">
        <v>32</v>
      </c>
      <c r="C6" s="5" t="s">
        <v>472</v>
      </c>
      <c r="D6" s="5">
        <f>SUMIFS(Daten!I:I,Daten!H:H,C6,Daten!E:E,"BUY")</f>
        <v>22.577082999999998</v>
      </c>
      <c r="E6" s="5">
        <f>-SUMIFS(Daten!I:I,Daten!H:H,C6,Daten!E:E,"SELL")</f>
        <v>22.577083000000002</v>
      </c>
      <c r="F6" s="5">
        <f>D6-E6</f>
        <v>0</v>
      </c>
      <c r="G6" s="6">
        <f>-SUMIFS(Daten!K:K,Daten!H:H,C6,Daten!E:E,"BUY")</f>
        <v>244</v>
      </c>
      <c r="H6" s="6">
        <f>SUMIFS(Daten!K:K,Daten!H:H,C6,Daten!E:E,"SELL")</f>
        <v>242.45999999999998</v>
      </c>
      <c r="I6" s="6">
        <f>SUMIFS(Daten!L:L,Daten!H:H,C6)*-1</f>
        <v>5</v>
      </c>
      <c r="J6" s="6">
        <f>H6-G6-I6</f>
        <v>-6.5400000000000205</v>
      </c>
      <c r="K6" s="5" t="str">
        <f>IF(F6&gt;0,"OFFEN","GESCHLOSSEN")</f>
        <v>GESCHLOSSEN</v>
      </c>
      <c r="L6">
        <v>0</v>
      </c>
      <c r="M6">
        <v>0</v>
      </c>
      <c r="N6" s="21">
        <f>IF(K6="GESCHLOSSEN",
0,
IF(K6="OFFEN",
((M6*F6)-(L6*F6)),
""))</f>
        <v>0</v>
      </c>
      <c r="O6" s="6">
        <f>IF(F6&gt;0,F6*M6,0)</f>
        <v>0</v>
      </c>
      <c r="P6" s="6">
        <f>IF(F6&gt;0,F6*L6,0)</f>
        <v>0</v>
      </c>
      <c r="Q6" s="7">
        <f>IF(K6="GESCHLOSSEN",
0,
IF(K6="OFFEN",
(N6/(L6*F6))))</f>
        <v>0</v>
      </c>
      <c r="R6" s="6">
        <f>IF(K6="GESCHLOSSEN",
H6-G6-I6 + SUMIFS(Daten!K:K,Daten!H:H,C6,Daten!E:E,"DIVIDEND"),
IF(K6="OFFEN",
IF(E6=0,
0,
H6+SUMIFS(Daten!K:K,Daten!H:H,C6,Daten!E:E,"DIVIDEND")-(G6-(F6*L6))-I6
),
""))</f>
        <v>-6.5400000000000205</v>
      </c>
      <c r="S6" s="6">
        <f>IF(E6=0,
0,
(G6-(F6*L6))+I6
)</f>
        <v>249</v>
      </c>
      <c r="T6" s="26">
        <f>COUNTIFS(Daten!H:H,C6,Daten!E:E,"BUY",Daten!L:L,"&lt;0")</f>
        <v>3</v>
      </c>
      <c r="U6" s="26">
        <f>COUNTIFS(Daten!H:H,C6,Daten!E:E,"SELL",Daten!L:L,"&lt;0")</f>
        <v>2</v>
      </c>
      <c r="V6" s="7">
        <f>IF(S6&gt;0,R6/S6,0)</f>
        <v>-2.6265060240963936E-2</v>
      </c>
      <c r="W6" s="7">
        <f>IF(K6="GESCHLOSSEN",
J6/(G6+I6),
IF(K6="OFFEN",
((H6+M6*F6)-G6-I6)/G6,
""))</f>
        <v>-2.6265060240963936E-2</v>
      </c>
    </row>
    <row r="7" spans="1:23" x14ac:dyDescent="0.25">
      <c r="A7" s="9" t="s">
        <v>72</v>
      </c>
      <c r="B7" s="5" t="s">
        <v>64</v>
      </c>
      <c r="C7" s="5" t="s">
        <v>73</v>
      </c>
      <c r="D7" s="5">
        <f>SUMIFS(Daten!I:I,Daten!H:H,C7,Daten!E:E,"BUY")</f>
        <v>714.061285</v>
      </c>
      <c r="E7" s="5">
        <f>-SUMIFS(Daten!I:I,Daten!H:H,C7,Daten!E:E,"SELL")</f>
        <v>0</v>
      </c>
      <c r="F7" s="5">
        <f>D7-E7</f>
        <v>714.061285</v>
      </c>
      <c r="G7" s="6">
        <f>-SUMIFS(Daten!K:K,Daten!H:H,C7,Daten!E:E,"BUY")</f>
        <v>178.99</v>
      </c>
      <c r="H7" s="6">
        <f>SUMIFS(Daten!K:K,Daten!H:H,C7,Daten!E:E,"SELL")</f>
        <v>0</v>
      </c>
      <c r="I7" s="6">
        <f>SUMIFS(Daten!L:L,Daten!H:H,C7)*-1</f>
        <v>5</v>
      </c>
      <c r="J7" s="6">
        <f>H7-G7-I7</f>
        <v>-183.99</v>
      </c>
      <c r="K7" s="5" t="str">
        <f>IF(F7&gt;0,"OFFEN","GESCHLOSSEN")</f>
        <v>OFFEN</v>
      </c>
      <c r="L7">
        <v>0.25800000000000001</v>
      </c>
      <c r="M7">
        <v>0.218555</v>
      </c>
      <c r="N7" s="21">
        <f>IF(K7="GESCHLOSSEN",
0,
IF(K7="OFFEN",
((M7*F7)-(L7*F7)),
""))</f>
        <v>-28.166147386825003</v>
      </c>
      <c r="O7" s="6">
        <f>IF(F7&gt;0,F7*M7,0)</f>
        <v>156.06166414317499</v>
      </c>
      <c r="P7" s="6">
        <f>IF(F7&gt;0,F7*L7,0)</f>
        <v>184.22781153</v>
      </c>
      <c r="Q7" s="7">
        <f>IF(K7="GESCHLOSSEN",
0,
IF(K7="OFFEN",
(N7/(L7*F7))))</f>
        <v>-0.15288759689922482</v>
      </c>
      <c r="R7" s="6">
        <f>IF(K7="GESCHLOSSEN",
H7-G7-I7 + SUMIFS(Daten!K:K,Daten!H:H,C7,Daten!E:E,"DIVIDEND"),
IF(K7="OFFEN",
IF(E7=0,
0,
H7+SUMIFS(Daten!K:K,Daten!H:H,C7,Daten!E:E,"DIVIDEND")-(G7-(F7*L7))-I7
),
""))</f>
        <v>0</v>
      </c>
      <c r="S7" s="6">
        <f>IF(E7=0,
0,
(G7-(F7*L7))+I7
)</f>
        <v>0</v>
      </c>
      <c r="T7" s="26">
        <f>COUNTIFS(Daten!H:H,C7,Daten!E:E,"BUY",Daten!L:L,"&lt;0")</f>
        <v>5</v>
      </c>
      <c r="U7" s="26">
        <f>COUNTIFS(Daten!H:H,C7,Daten!E:E,"SELL",Daten!L:L,"&lt;0")</f>
        <v>0</v>
      </c>
      <c r="V7" s="7">
        <f>IF(S7&gt;0,R7/S7,0)</f>
        <v>0</v>
      </c>
      <c r="W7" s="7">
        <f>IF(K7="GESCHLOSSEN",
J7/(G7+I7),
IF(K7="OFFEN",
((H7+M7*F7)-G7-I7)/G7,
""))</f>
        <v>-0.15603293958782621</v>
      </c>
    </row>
    <row r="8" spans="1:23" x14ac:dyDescent="0.25">
      <c r="A8" s="9" t="s">
        <v>293</v>
      </c>
      <c r="B8" s="5" t="s">
        <v>32</v>
      </c>
      <c r="C8" s="5" t="s">
        <v>294</v>
      </c>
      <c r="D8" s="5">
        <f>SUMIFS(Daten!I:I,Daten!H:H,C8,Daten!E:E,"BUY")</f>
        <v>23.832335</v>
      </c>
      <c r="E8" s="5">
        <f>-SUMIFS(Daten!I:I,Daten!H:H,C8,Daten!E:E,"SELL")</f>
        <v>23.832335</v>
      </c>
      <c r="F8" s="5">
        <f>D8-E8</f>
        <v>0</v>
      </c>
      <c r="G8" s="6">
        <f>-SUMIFS(Daten!K:K,Daten!H:H,C8,Daten!E:E,"BUY")</f>
        <v>199</v>
      </c>
      <c r="H8" s="6">
        <f>SUMIFS(Daten!K:K,Daten!H:H,C8,Daten!E:E,"SELL")</f>
        <v>252.62</v>
      </c>
      <c r="I8" s="6">
        <f>SUMIFS(Daten!L:L,Daten!H:H,C8)*-1</f>
        <v>3</v>
      </c>
      <c r="J8" s="6">
        <f>H8-G8-I8</f>
        <v>50.620000000000005</v>
      </c>
      <c r="K8" s="5" t="str">
        <f>IF(F8&gt;0,"OFFEN","GESCHLOSSEN")</f>
        <v>GESCHLOSSEN</v>
      </c>
      <c r="L8">
        <v>0</v>
      </c>
      <c r="M8">
        <v>0</v>
      </c>
      <c r="N8" s="21">
        <f>IF(K8="GESCHLOSSEN",
0,
IF(K8="OFFEN",
((M8*F8)-(L8*F8)),
""))</f>
        <v>0</v>
      </c>
      <c r="O8" s="6">
        <f>IF(F8&gt;0,F8*M8,0)</f>
        <v>0</v>
      </c>
      <c r="P8" s="6">
        <f>IF(F8&gt;0,F8*L8,0)</f>
        <v>0</v>
      </c>
      <c r="Q8" s="7">
        <f>IF(K8="GESCHLOSSEN",
0,
IF(K8="OFFEN",
(N8/(L8*F8))))</f>
        <v>0</v>
      </c>
      <c r="R8" s="6">
        <f>IF(K8="GESCHLOSSEN",
H8-G8-I8 + SUMIFS(Daten!K:K,Daten!H:H,C8,Daten!E:E,"DIVIDEND"),
IF(K8="OFFEN",
IF(E8=0,
0,
H8+SUMIFS(Daten!K:K,Daten!H:H,C8,Daten!E:E,"DIVIDEND")-(G8-(F8*L8))-I8
),
""))</f>
        <v>50.620000000000005</v>
      </c>
      <c r="S8" s="6">
        <f>IF(E8=0,
0,
(G8-(F8*L8))+I8
)</f>
        <v>202</v>
      </c>
      <c r="T8" s="26">
        <f>COUNTIFS(Daten!H:H,C8,Daten!E:E,"BUY",Daten!L:L,"&lt;0")</f>
        <v>1</v>
      </c>
      <c r="U8" s="26">
        <f>COUNTIFS(Daten!H:H,C8,Daten!E:E,"SELL",Daten!L:L,"&lt;0")</f>
        <v>2</v>
      </c>
      <c r="V8" s="7">
        <f>IF(S8&gt;0,R8/S8,0)</f>
        <v>0.25059405940594059</v>
      </c>
      <c r="W8" s="7">
        <f>IF(K8="GESCHLOSSEN",
J8/(G8+I8),
IF(K8="OFFEN",
((H8+M8*F8)-G8-I8)/G8,
""))</f>
        <v>0.25059405940594059</v>
      </c>
    </row>
    <row r="9" spans="1:23" x14ac:dyDescent="0.25">
      <c r="A9" s="9" t="s">
        <v>107</v>
      </c>
      <c r="B9" s="5" t="s">
        <v>64</v>
      </c>
      <c r="C9" s="5" t="s">
        <v>108</v>
      </c>
      <c r="D9" s="5">
        <f>SUMIFS(Daten!I:I,Daten!H:H,C9,Daten!E:E,"BUY")</f>
        <v>24.110118</v>
      </c>
      <c r="E9" s="5">
        <f>-SUMIFS(Daten!I:I,Daten!H:H,C9,Daten!E:E,"SELL")</f>
        <v>0</v>
      </c>
      <c r="F9" s="5">
        <f>D9-E9</f>
        <v>24.110118</v>
      </c>
      <c r="G9" s="6">
        <f>-SUMIFS(Daten!K:K,Daten!H:H,C9,Daten!E:E,"BUY")</f>
        <v>243</v>
      </c>
      <c r="H9" s="6">
        <f>SUMIFS(Daten!K:K,Daten!H:H,C9,Daten!E:E,"SELL")</f>
        <v>0</v>
      </c>
      <c r="I9" s="6">
        <f>SUMIFS(Daten!L:L,Daten!H:H,C9)*-1</f>
        <v>5</v>
      </c>
      <c r="J9" s="6">
        <f>H9-G9-I9</f>
        <v>-248</v>
      </c>
      <c r="K9" s="5" t="str">
        <f>IF(F9&gt;0,"OFFEN","GESCHLOSSEN")</f>
        <v>OFFEN</v>
      </c>
      <c r="L9">
        <v>10.29</v>
      </c>
      <c r="M9">
        <v>11.85</v>
      </c>
      <c r="N9" s="21">
        <f>IF(K9="GESCHLOSSEN",
0,
IF(K9="OFFEN",
((M9*F9)-(L9*F9)),
""))</f>
        <v>37.611784079999978</v>
      </c>
      <c r="O9" s="6">
        <f>IF(F9&gt;0,F9*M9,0)</f>
        <v>285.70489829999997</v>
      </c>
      <c r="P9" s="6">
        <f>IF(F9&gt;0,F9*L9,0)</f>
        <v>248.09311421999999</v>
      </c>
      <c r="Q9" s="7">
        <f>IF(K9="GESCHLOSSEN",
0,
IF(K9="OFFEN",
(N9/(L9*F9))))</f>
        <v>0.15160349854227398</v>
      </c>
      <c r="R9" s="6">
        <f>IF(K9="GESCHLOSSEN",
H9-G9-I9 + SUMIFS(Daten!K:K,Daten!H:H,C9,Daten!E:E,"DIVIDEND"),
IF(K9="OFFEN",
IF(E9=0,
0,
H9+SUMIFS(Daten!K:K,Daten!H:H,C9,Daten!E:E,"DIVIDEND")-(G9-(F9*L9))-I9
),
""))</f>
        <v>0</v>
      </c>
      <c r="S9" s="6">
        <f>IF(E9=0,
0,
(G9-(F9*L9))+I9
)</f>
        <v>0</v>
      </c>
      <c r="T9" s="26">
        <f>COUNTIFS(Daten!H:H,C9,Daten!E:E,"BUY",Daten!L:L,"&lt;0")</f>
        <v>5</v>
      </c>
      <c r="U9" s="26">
        <f>COUNTIFS(Daten!H:H,C9,Daten!E:E,"SELL",Daten!L:L,"&lt;0")</f>
        <v>0</v>
      </c>
      <c r="V9" s="7">
        <f>IF(S9&gt;0,R9/S9,0)</f>
        <v>0</v>
      </c>
      <c r="W9" s="7">
        <f>IF(K9="GESCHLOSSEN",
J9/(G9+I9),
IF(K9="OFFEN",
((H9+M9*F9)-G9-I9)/G9,
""))</f>
        <v>0.15516419053497929</v>
      </c>
    </row>
    <row r="10" spans="1:23" x14ac:dyDescent="0.25">
      <c r="A10" s="9" t="s">
        <v>1154</v>
      </c>
      <c r="B10" s="5" t="s">
        <v>464</v>
      </c>
      <c r="C10" s="5" t="s">
        <v>1155</v>
      </c>
      <c r="D10" s="5">
        <f>SUMIFS(Daten!I:I,Daten!H:H,C10,Daten!E:E,"BUY")</f>
        <v>14.461017</v>
      </c>
      <c r="E10" s="5">
        <f>-SUMIFS(Daten!I:I,Daten!H:H,C10,Daten!E:E,"SELL")</f>
        <v>0</v>
      </c>
      <c r="F10" s="5">
        <f>D10-E10</f>
        <v>14.461017</v>
      </c>
      <c r="G10" s="6">
        <f>-SUMIFS(Daten!K:K,Daten!H:H,C10,Daten!E:E,"BUY")</f>
        <v>698.08</v>
      </c>
      <c r="H10" s="6">
        <f>SUMIFS(Daten!K:K,Daten!H:H,C10,Daten!E:E,"SELL")</f>
        <v>0</v>
      </c>
      <c r="I10" s="6">
        <f>SUMIFS(Daten!L:L,Daten!H:H,C10)*-1</f>
        <v>1</v>
      </c>
      <c r="J10" s="6">
        <f>H10-G10-I10</f>
        <v>-699.08</v>
      </c>
      <c r="K10" s="5" t="str">
        <f>IF(F10&gt;0,"OFFEN","GESCHLOSSEN")</f>
        <v>OFFEN</v>
      </c>
      <c r="L10">
        <v>48.34</v>
      </c>
      <c r="M10">
        <v>48.692999999999998</v>
      </c>
      <c r="N10" s="21">
        <f>IF(K10="GESCHLOSSEN",
0,
IF(K10="OFFEN",
((M10*F10)-(L10*F10)),
""))</f>
        <v>5.1047390009998708</v>
      </c>
      <c r="O10" s="6">
        <f>IF(F10&gt;0,F10*M10,0)</f>
        <v>704.15030078099994</v>
      </c>
      <c r="P10" s="6">
        <f>IF(F10&gt;0,F10*L10,0)</f>
        <v>699.04556178000007</v>
      </c>
      <c r="Q10" s="7">
        <f>IF(K10="GESCHLOSSEN",
0,
IF(K10="OFFEN",
(N10/(L10*F10))))</f>
        <v>7.302441042614626E-3</v>
      </c>
      <c r="R10" s="6">
        <f>IF(K10="GESCHLOSSEN",
H10-G10-I10 + SUMIFS(Daten!K:K,Daten!H:H,C10,Daten!E:E,"DIVIDEND"),
IF(K10="OFFEN",
IF(E10=0,
0,
H10+SUMIFS(Daten!K:K,Daten!H:H,C10,Daten!E:E,"DIVIDEND")-(G10-(F10*L10))-I10
),
""))</f>
        <v>0</v>
      </c>
      <c r="S10" s="6">
        <f>IF(E10=0,
0,
(G10-(F10*L10))+I10
)</f>
        <v>0</v>
      </c>
      <c r="T10" s="26">
        <f>COUNTIFS(Daten!H:H,C10,Daten!E:E,"BUY",Daten!L:L,"&lt;0")</f>
        <v>1</v>
      </c>
      <c r="U10" s="26">
        <f>COUNTIFS(Daten!H:H,C10,Daten!E:E,"SELL",Daten!L:L,"&lt;0")</f>
        <v>0</v>
      </c>
      <c r="V10" s="7">
        <f>IF(S10&gt;0,R10/S10,0)</f>
        <v>0</v>
      </c>
      <c r="W10" s="7">
        <f>IF(K10="GESCHLOSSEN",
J10/(G10+I10),
IF(K10="OFFEN",
((H10+M10*F10)-G10-I10)/G10,
""))</f>
        <v>7.2632087740658671E-3</v>
      </c>
    </row>
    <row r="11" spans="1:23" x14ac:dyDescent="0.25">
      <c r="A11" s="9" t="s">
        <v>465</v>
      </c>
      <c r="B11" s="5" t="s">
        <v>464</v>
      </c>
      <c r="C11" s="5" t="s">
        <v>466</v>
      </c>
      <c r="D11" s="5">
        <f>SUMIFS(Daten!I:I,Daten!H:H,C11,Daten!E:E,"BUY")</f>
        <v>9.0643020000000014</v>
      </c>
      <c r="E11" s="5">
        <f>-SUMIFS(Daten!I:I,Daten!H:H,C11,Daten!E:E,"SELL")</f>
        <v>0</v>
      </c>
      <c r="F11" s="5">
        <f>D11-E11</f>
        <v>9.0643020000000014</v>
      </c>
      <c r="G11" s="6">
        <f>-SUMIFS(Daten!K:K,Daten!H:H,C11,Daten!E:E,"BUY")</f>
        <v>1049.99</v>
      </c>
      <c r="H11" s="6">
        <f>SUMIFS(Daten!K:K,Daten!H:H,C11,Daten!E:E,"SELL")</f>
        <v>0</v>
      </c>
      <c r="I11" s="6">
        <f>SUMIFS(Daten!L:L,Daten!H:H,C11)*-1</f>
        <v>7</v>
      </c>
      <c r="J11" s="6">
        <f>H11-G11-I11</f>
        <v>-1056.99</v>
      </c>
      <c r="K11" s="5" t="str">
        <f>IF(F11&gt;0,"OFFEN","GESCHLOSSEN")</f>
        <v>OFFEN</v>
      </c>
      <c r="L11">
        <v>116.61</v>
      </c>
      <c r="M11">
        <v>129.10499999999999</v>
      </c>
      <c r="N11" s="21">
        <f>IF(K11="GESCHLOSSEN",
0,
IF(K11="OFFEN",
((M11*F11)-(L11*F11)),
""))</f>
        <v>113.25845348999974</v>
      </c>
      <c r="O11" s="6">
        <f>IF(F11&gt;0,F11*M11,0)</f>
        <v>1170.24670971</v>
      </c>
      <c r="P11" s="6">
        <f>IF(F11&gt;0,F11*L11,0)</f>
        <v>1056.9882562200003</v>
      </c>
      <c r="Q11" s="7">
        <f>IF(K11="GESCHLOSSEN",
0,
IF(K11="OFFEN",
(N11/(L11*F11))))</f>
        <v>0.1071520452791353</v>
      </c>
      <c r="R11" s="6">
        <f>IF(K11="GESCHLOSSEN",
H11-G11-I11 + SUMIFS(Daten!K:K,Daten!H:H,C11,Daten!E:E,"DIVIDEND"),
IF(K11="OFFEN",
IF(E11=0,
0,
H11+SUMIFS(Daten!K:K,Daten!H:H,C11,Daten!E:E,"DIVIDEND")-(G11-(F11*L11))-I11
),
""))</f>
        <v>0</v>
      </c>
      <c r="S11" s="6">
        <f>IF(E11=0,
0,
(G11-(F11*L11))+I11
)</f>
        <v>0</v>
      </c>
      <c r="T11" s="26">
        <f>COUNTIFS(Daten!H:H,C11,Daten!E:E,"BUY",Daten!L:L,"&lt;0")</f>
        <v>7</v>
      </c>
      <c r="U11" s="26">
        <f>COUNTIFS(Daten!H:H,C11,Daten!E:E,"SELL",Daten!L:L,"&lt;0")</f>
        <v>0</v>
      </c>
      <c r="V11" s="7">
        <f>IF(S11&gt;0,R11/S11,0)</f>
        <v>0</v>
      </c>
      <c r="W11" s="7">
        <f>IF(K11="GESCHLOSSEN",
J11/(G11+I11),
IF(K11="OFFEN",
((H11+M11*F11)-G11-I11)/G11,
""))</f>
        <v>0.10786456033866988</v>
      </c>
    </row>
    <row r="12" spans="1:23" x14ac:dyDescent="0.25">
      <c r="A12" s="9" t="s">
        <v>526</v>
      </c>
      <c r="B12" s="5" t="s">
        <v>464</v>
      </c>
      <c r="C12" s="5" t="s">
        <v>527</v>
      </c>
      <c r="D12" s="5">
        <f>SUMIFS(Daten!I:I,Daten!H:H,C12,Daten!E:E,"BUY")</f>
        <v>2.8623150000000002</v>
      </c>
      <c r="E12" s="5">
        <f>-SUMIFS(Daten!I:I,Daten!H:H,C12,Daten!E:E,"SELL")</f>
        <v>0</v>
      </c>
      <c r="F12" s="5">
        <f>D12-E12</f>
        <v>2.8623150000000002</v>
      </c>
      <c r="G12" s="6">
        <f>-SUMIFS(Daten!K:K,Daten!H:H,C12,Daten!E:E,"BUY")</f>
        <v>1837.88</v>
      </c>
      <c r="H12" s="6">
        <f>SUMIFS(Daten!K:K,Daten!H:H,C12,Daten!E:E,"SELL")</f>
        <v>0</v>
      </c>
      <c r="I12" s="6">
        <f>SUMIFS(Daten!L:L,Daten!H:H,C12)*-1</f>
        <v>8</v>
      </c>
      <c r="J12" s="6">
        <f>H12-G12-I12</f>
        <v>-1845.88</v>
      </c>
      <c r="K12" s="5" t="str">
        <f>IF(F12&gt;0,"OFFEN","GESCHLOSSEN")</f>
        <v>OFFEN</v>
      </c>
      <c r="L12">
        <v>644.89</v>
      </c>
      <c r="M12">
        <v>731.46</v>
      </c>
      <c r="N12" s="21">
        <f>IF(K12="GESCHLOSSEN",
0,
IF(K12="OFFEN",
((M12*F12)-(L12*F12)),
""))</f>
        <v>247.79060955000045</v>
      </c>
      <c r="O12" s="6">
        <f>IF(F12&gt;0,F12*M12,0)</f>
        <v>2093.6689299000004</v>
      </c>
      <c r="P12" s="6">
        <f>IF(F12&gt;0,F12*L12,0)</f>
        <v>1845.87832035</v>
      </c>
      <c r="Q12" s="7">
        <f>IF(K12="GESCHLOSSEN",
0,
IF(K12="OFFEN",
(N12/(L12*F12))))</f>
        <v>0.13423994789809141</v>
      </c>
      <c r="R12" s="6">
        <f>IF(K12="GESCHLOSSEN",
H12-G12-I12 + SUMIFS(Daten!K:K,Daten!H:H,C12,Daten!E:E,"DIVIDEND"),
IF(K12="OFFEN",
IF(E12=0,
0,
H12+SUMIFS(Daten!K:K,Daten!H:H,C12,Daten!E:E,"DIVIDEND")-(G12-(F12*L12))-I12
),
""))</f>
        <v>0</v>
      </c>
      <c r="S12" s="6">
        <f>IF(E12=0,
0,
(G12-(F12*L12))+I12
)</f>
        <v>0</v>
      </c>
      <c r="T12" s="26">
        <f>COUNTIFS(Daten!H:H,C12,Daten!E:E,"BUY",Daten!L:L,"&lt;0")</f>
        <v>8</v>
      </c>
      <c r="U12" s="26">
        <f>COUNTIFS(Daten!H:H,C12,Daten!E:E,"SELL",Daten!L:L,"&lt;0")</f>
        <v>0</v>
      </c>
      <c r="V12" s="7">
        <f>IF(S12&gt;0,R12/S12,0)</f>
        <v>0</v>
      </c>
      <c r="W12" s="7">
        <f>IF(K12="GESCHLOSSEN",
J12/(G12+I12),
IF(K12="OFFEN",
((H12+M12*F12)-G12-I12)/G12,
""))</f>
        <v>0.13482323650075104</v>
      </c>
    </row>
    <row r="13" spans="1:23" x14ac:dyDescent="0.25">
      <c r="A13" s="9" t="s">
        <v>815</v>
      </c>
      <c r="B13" s="5" t="s">
        <v>464</v>
      </c>
      <c r="C13" s="5" t="s">
        <v>816</v>
      </c>
      <c r="D13" s="5">
        <f>SUMIFS(Daten!I:I,Daten!H:H,C13,Daten!E:E,"BUY")</f>
        <v>2.3372229999999998</v>
      </c>
      <c r="E13" s="5">
        <f>-SUMIFS(Daten!I:I,Daten!H:H,C13,Daten!E:E,"SELL")</f>
        <v>0</v>
      </c>
      <c r="F13" s="5">
        <f>D13-E13</f>
        <v>2.3372229999999998</v>
      </c>
      <c r="G13" s="6">
        <f>-SUMIFS(Daten!K:K,Daten!H:H,C13,Daten!E:E,"BUY")</f>
        <v>703.81</v>
      </c>
      <c r="H13" s="6">
        <f>SUMIFS(Daten!K:K,Daten!H:H,C13,Daten!E:E,"SELL")</f>
        <v>0</v>
      </c>
      <c r="I13" s="6">
        <f>SUMIFS(Daten!L:L,Daten!H:H,C13)*-1</f>
        <v>3</v>
      </c>
      <c r="J13" s="6">
        <f>H13-G13-I13</f>
        <v>-706.81</v>
      </c>
      <c r="K13" s="5" t="str">
        <f>IF(F13&gt;0,"OFFEN","GESCHLOSSEN")</f>
        <v>OFFEN</v>
      </c>
      <c r="L13">
        <v>302.41000000000003</v>
      </c>
      <c r="M13">
        <v>316</v>
      </c>
      <c r="N13" s="21">
        <f>IF(K13="GESCHLOSSEN",
0,
IF(K13="OFFEN",
((M13*F13)-(L13*F13)),
""))</f>
        <v>31.76286056999993</v>
      </c>
      <c r="O13" s="6">
        <f>IF(F13&gt;0,F13*M13,0)</f>
        <v>738.56246799999997</v>
      </c>
      <c r="P13" s="6">
        <f>IF(F13&gt;0,F13*L13,0)</f>
        <v>706.79960743000004</v>
      </c>
      <c r="Q13" s="7">
        <f>IF(K13="GESCHLOSSEN",
0,
IF(K13="OFFEN",
(N13/(L13*F13))))</f>
        <v>4.4938990112760722E-2</v>
      </c>
      <c r="R13" s="6">
        <f>IF(K13="GESCHLOSSEN",
H13-G13-I13 + SUMIFS(Daten!K:K,Daten!H:H,C13,Daten!E:E,"DIVIDEND"),
IF(K13="OFFEN",
IF(E13=0,
0,
H13+SUMIFS(Daten!K:K,Daten!H:H,C13,Daten!E:E,"DIVIDEND")-(G13-(F13*L13))-I13
),
""))</f>
        <v>0</v>
      </c>
      <c r="S13" s="6">
        <f>IF(E13=0,
0,
(G13-(F13*L13))+I13
)</f>
        <v>0</v>
      </c>
      <c r="T13" s="26">
        <f>COUNTIFS(Daten!H:H,C13,Daten!E:E,"BUY",Daten!L:L,"&lt;0")</f>
        <v>3</v>
      </c>
      <c r="U13" s="26">
        <f>COUNTIFS(Daten!H:H,C13,Daten!E:E,"SELL",Daten!L:L,"&lt;0")</f>
        <v>0</v>
      </c>
      <c r="V13" s="7">
        <f>IF(S13&gt;0,R13/S13,0)</f>
        <v>0</v>
      </c>
      <c r="W13" s="7">
        <f>IF(K13="GESCHLOSSEN",
J13/(G13+I13),
IF(K13="OFFEN",
((H13+M13*F13)-G13-I13)/G13,
""))</f>
        <v>4.5115113453915154E-2</v>
      </c>
    </row>
    <row r="14" spans="1:23" x14ac:dyDescent="0.25">
      <c r="A14" s="9" t="s">
        <v>718</v>
      </c>
      <c r="B14" s="5" t="s">
        <v>464</v>
      </c>
      <c r="C14" s="5" t="s">
        <v>719</v>
      </c>
      <c r="D14" s="5">
        <f>SUMIFS(Daten!I:I,Daten!H:H,C14,Daten!E:E,"BUY")</f>
        <v>2.2190669999999999</v>
      </c>
      <c r="E14" s="5">
        <f>-SUMIFS(Daten!I:I,Daten!H:H,C14,Daten!E:E,"SELL")</f>
        <v>2.2190669999999999</v>
      </c>
      <c r="F14" s="5">
        <f>D14-E14</f>
        <v>0</v>
      </c>
      <c r="G14" s="6">
        <f>-SUMIFS(Daten!K:K,Daten!H:H,C14,Daten!E:E,"BUY")</f>
        <v>500</v>
      </c>
      <c r="H14" s="6">
        <f>SUMIFS(Daten!K:K,Daten!H:H,C14,Daten!E:E,"SELL")</f>
        <v>506.61</v>
      </c>
      <c r="I14" s="6">
        <f>SUMIFS(Daten!L:L,Daten!H:H,C14)*-1</f>
        <v>3</v>
      </c>
      <c r="J14" s="6">
        <f>H14-G14-I14</f>
        <v>3.6100000000000136</v>
      </c>
      <c r="K14" s="5" t="str">
        <f>IF(F14&gt;0,"OFFEN","GESCHLOSSEN")</f>
        <v>GESCHLOSSEN</v>
      </c>
      <c r="L14">
        <v>0</v>
      </c>
      <c r="M14">
        <v>0</v>
      </c>
      <c r="N14" s="21">
        <f>IF(K14="GESCHLOSSEN",
0,
IF(K14="OFFEN",
((M14*F14)-(L14*F14)),
""))</f>
        <v>0</v>
      </c>
      <c r="O14" s="6">
        <f>IF(F14&gt;0,F14*M14,0)</f>
        <v>0</v>
      </c>
      <c r="P14" s="6">
        <f>IF(F14&gt;0,F14*L14,0)</f>
        <v>0</v>
      </c>
      <c r="Q14" s="7">
        <f>IF(K14="GESCHLOSSEN",
0,
IF(K14="OFFEN",
(N14/(L14*F14))))</f>
        <v>0</v>
      </c>
      <c r="R14" s="6">
        <f>IF(K14="GESCHLOSSEN",
H14-G14-I14 + SUMIFS(Daten!K:K,Daten!H:H,C14,Daten!E:E,"DIVIDEND"),
IF(K14="OFFEN",
IF(E14=0,
0,
H14+SUMIFS(Daten!K:K,Daten!H:H,C14,Daten!E:E,"DIVIDEND")-(G14-(F14*L14))-I14
),
""))</f>
        <v>3.6100000000000136</v>
      </c>
      <c r="S14" s="6">
        <f>IF(E14=0,
0,
(G14-(F14*L14))+I14
)</f>
        <v>503</v>
      </c>
      <c r="T14" s="26">
        <f>COUNTIFS(Daten!H:H,C14,Daten!E:E,"BUY",Daten!L:L,"&lt;0")</f>
        <v>2</v>
      </c>
      <c r="U14" s="26">
        <f>COUNTIFS(Daten!H:H,C14,Daten!E:E,"SELL",Daten!L:L,"&lt;0")</f>
        <v>1</v>
      </c>
      <c r="V14" s="7">
        <f>IF(S14&gt;0,R14/S14,0)</f>
        <v>7.1769383697813391E-3</v>
      </c>
      <c r="W14" s="7">
        <f>IF(K14="GESCHLOSSEN",
J14/(G14+I14),
IF(K14="OFFEN",
((H14+M14*F14)-G14-I14)/G14,
""))</f>
        <v>7.1769383697813391E-3</v>
      </c>
    </row>
    <row r="15" spans="1:23" x14ac:dyDescent="0.25">
      <c r="A15" s="9" t="s">
        <v>1018</v>
      </c>
      <c r="B15" s="5" t="s">
        <v>464</v>
      </c>
      <c r="C15" s="5" t="s">
        <v>1019</v>
      </c>
      <c r="D15" s="5">
        <f>SUMIFS(Daten!I:I,Daten!H:H,C15,Daten!E:E,"BUY")</f>
        <v>7.1821020000000004</v>
      </c>
      <c r="E15" s="5">
        <f>-SUMIFS(Daten!I:I,Daten!H:H,C15,Daten!E:E,"SELL")</f>
        <v>0</v>
      </c>
      <c r="F15" s="5">
        <f>D15-E15</f>
        <v>7.1821020000000004</v>
      </c>
      <c r="G15" s="6">
        <f>-SUMIFS(Daten!K:K,Daten!H:H,C15,Daten!E:E,"BUY")</f>
        <v>399.98999999999995</v>
      </c>
      <c r="H15" s="6">
        <f>SUMIFS(Daten!K:K,Daten!H:H,C15,Daten!E:E,"SELL")</f>
        <v>0</v>
      </c>
      <c r="I15" s="6">
        <f>SUMIFS(Daten!L:L,Daten!H:H,C15)*-1</f>
        <v>3</v>
      </c>
      <c r="J15" s="6">
        <f>H15-G15-I15</f>
        <v>-402.98999999999995</v>
      </c>
      <c r="K15" s="5" t="str">
        <f>IF(F15&gt;0,"OFFEN","GESCHLOSSEN")</f>
        <v>OFFEN</v>
      </c>
      <c r="L15">
        <v>56.11</v>
      </c>
      <c r="M15">
        <v>52.18</v>
      </c>
      <c r="N15" s="21">
        <f>IF(K15="GESCHLOSSEN",
0,
IF(K15="OFFEN",
((M15*F15)-(L15*F15)),
""))</f>
        <v>-28.225660860000005</v>
      </c>
      <c r="O15" s="6">
        <f>IF(F15&gt;0,F15*M15,0)</f>
        <v>374.76208236000002</v>
      </c>
      <c r="P15" s="6">
        <f>IF(F15&gt;0,F15*L15,0)</f>
        <v>402.98774322000003</v>
      </c>
      <c r="Q15" s="7">
        <f>IF(K15="GESCHLOSSEN",
0,
IF(K15="OFFEN",
(N15/(L15*F15))))</f>
        <v>-7.0040990910711115E-2</v>
      </c>
      <c r="R15" s="6">
        <f>IF(K15="GESCHLOSSEN",
H15-G15-I15 + SUMIFS(Daten!K:K,Daten!H:H,C15,Daten!E:E,"DIVIDEND"),
IF(K15="OFFEN",
IF(E15=0,
0,
H15+SUMIFS(Daten!K:K,Daten!H:H,C15,Daten!E:E,"DIVIDEND")-(G15-(F15*L15))-I15
),
""))</f>
        <v>0</v>
      </c>
      <c r="S15" s="6">
        <f>IF(E15=0,
0,
(G15-(F15*L15))+I15
)</f>
        <v>0</v>
      </c>
      <c r="T15" s="26">
        <f>COUNTIFS(Daten!H:H,C15,Daten!E:E,"BUY",Daten!L:L,"&lt;0")</f>
        <v>3</v>
      </c>
      <c r="U15" s="26">
        <f>COUNTIFS(Daten!H:H,C15,Daten!E:E,"SELL",Daten!L:L,"&lt;0")</f>
        <v>0</v>
      </c>
      <c r="V15" s="7">
        <f>IF(S15&gt;0,R15/S15,0)</f>
        <v>0</v>
      </c>
      <c r="W15" s="7">
        <f>IF(K15="GESCHLOSSEN",
J15/(G15+I15),
IF(K15="OFFEN",
((H15+M15*F15)-G15-I15)/G15,
""))</f>
        <v>-7.0571558388959552E-2</v>
      </c>
    </row>
    <row r="16" spans="1:23" x14ac:dyDescent="0.25">
      <c r="A16" s="9" t="s">
        <v>300</v>
      </c>
      <c r="B16" s="5" t="s">
        <v>32</v>
      </c>
      <c r="C16" s="5" t="s">
        <v>301</v>
      </c>
      <c r="D16" s="5">
        <f>SUMIFS(Daten!I:I,Daten!H:H,C16,Daten!E:E,"BUY")</f>
        <v>30</v>
      </c>
      <c r="E16" s="5">
        <f>-SUMIFS(Daten!I:I,Daten!H:H,C16,Daten!E:E,"SELL")</f>
        <v>0</v>
      </c>
      <c r="F16" s="5">
        <f>D16-E16</f>
        <v>30</v>
      </c>
      <c r="G16" s="6">
        <f>-SUMIFS(Daten!K:K,Daten!H:H,C16,Daten!E:E,"BUY")</f>
        <v>56.55</v>
      </c>
      <c r="H16" s="6">
        <f>SUMIFS(Daten!K:K,Daten!H:H,C16,Daten!E:E,"SELL")</f>
        <v>0</v>
      </c>
      <c r="I16" s="6">
        <f>SUMIFS(Daten!L:L,Daten!H:H,C16)*-1</f>
        <v>1</v>
      </c>
      <c r="J16" s="6">
        <f>H16-G16-I16</f>
        <v>-57.55</v>
      </c>
      <c r="K16" s="5" t="str">
        <f>IF(F16&gt;0,"OFFEN","GESCHLOSSEN")</f>
        <v>OFFEN</v>
      </c>
      <c r="L16">
        <v>1.9179999999999999</v>
      </c>
      <c r="M16">
        <v>1.395</v>
      </c>
      <c r="N16" s="21">
        <f>IF(K16="GESCHLOSSEN",
0,
IF(K16="OFFEN",
((M16*F16)-(L16*F16)),
""))</f>
        <v>-15.689999999999998</v>
      </c>
      <c r="O16" s="6">
        <f>IF(F16&gt;0,F16*M16,0)</f>
        <v>41.85</v>
      </c>
      <c r="P16" s="6">
        <f>IF(F16&gt;0,F16*L16,0)</f>
        <v>57.54</v>
      </c>
      <c r="Q16" s="7">
        <f>IF(K16="GESCHLOSSEN",
0,
IF(K16="OFFEN",
(N16/(L16*F16))))</f>
        <v>-0.27267987486965584</v>
      </c>
      <c r="R16" s="6">
        <f>IF(K16="GESCHLOSSEN",
H16-G16-I16 + SUMIFS(Daten!K:K,Daten!H:H,C16,Daten!E:E,"DIVIDEND"),
IF(K16="OFFEN",
IF(E16=0,
0,
H16+SUMIFS(Daten!K:K,Daten!H:H,C16,Daten!E:E,"DIVIDEND")-(G16-(F16*L16))-I16
),
""))</f>
        <v>0</v>
      </c>
      <c r="S16" s="6">
        <f>IF(E16=0,
0,
(G16-(F16*L16))+I16
)</f>
        <v>0</v>
      </c>
      <c r="T16" s="26">
        <f>COUNTIFS(Daten!H:H,C16,Daten!E:E,"BUY",Daten!L:L,"&lt;0")</f>
        <v>1</v>
      </c>
      <c r="U16" s="26">
        <f>COUNTIFS(Daten!H:H,C16,Daten!E:E,"SELL",Daten!L:L,"&lt;0")</f>
        <v>0</v>
      </c>
      <c r="V16" s="7">
        <f>IF(S16&gt;0,R16/S16,0)</f>
        <v>0</v>
      </c>
      <c r="W16" s="7">
        <f>IF(K16="GESCHLOSSEN",
J16/(G16+I16),
IF(K16="OFFEN",
((H16+M16*F16)-G16-I16)/G16,
""))</f>
        <v>-0.27763041556144996</v>
      </c>
    </row>
    <row r="17" spans="1:23" x14ac:dyDescent="0.25">
      <c r="A17" s="9" t="s">
        <v>1421</v>
      </c>
      <c r="B17" s="5" t="s">
        <v>64</v>
      </c>
      <c r="C17" s="5" t="s">
        <v>1422</v>
      </c>
      <c r="D17" s="5">
        <f>SUMIFS(Daten!I:I,Daten!H:H,C17,Daten!E:E,"BUY")</f>
        <v>1356.0241370000001</v>
      </c>
      <c r="E17" s="5">
        <f>-SUMIFS(Daten!I:I,Daten!H:H,C17,Daten!E:E,"SELL")</f>
        <v>0</v>
      </c>
      <c r="F17" s="5">
        <f>D17-E17</f>
        <v>1356.0241370000001</v>
      </c>
      <c r="G17" s="6">
        <f>-SUMIFS(Daten!K:K,Daten!H:H,C17,Daten!E:E,"BUY")</f>
        <v>100</v>
      </c>
      <c r="H17" s="6">
        <f>SUMIFS(Daten!K:K,Daten!H:H,C17,Daten!E:E,"SELL")</f>
        <v>0</v>
      </c>
      <c r="I17" s="6">
        <f>SUMIFS(Daten!L:L,Daten!H:H,C17)*-1</f>
        <v>1</v>
      </c>
      <c r="J17" s="6">
        <f>H17-G17-I17</f>
        <v>-101</v>
      </c>
      <c r="K17" s="5" t="str">
        <f>IF(F17&gt;0,"OFFEN","GESCHLOSSEN")</f>
        <v>OFFEN</v>
      </c>
      <c r="L17">
        <v>7.4499999999999997E-2</v>
      </c>
      <c r="M17">
        <v>8.3766999999999994E-2</v>
      </c>
      <c r="N17" s="21">
        <f>IF(K17="GESCHLOSSEN",
0,
IF(K17="OFFEN",
((M17*F17)-(L17*F17)),
""))</f>
        <v>12.566275677579</v>
      </c>
      <c r="O17" s="6">
        <f>IF(F17&gt;0,F17*M17,0)</f>
        <v>113.590073884079</v>
      </c>
      <c r="P17" s="6">
        <f>IF(F17&gt;0,F17*L17,0)</f>
        <v>101.0237982065</v>
      </c>
      <c r="Q17" s="7">
        <f>IF(K17="GESCHLOSSEN",
0,
IF(K17="OFFEN",
(N17/(L17*F17))))</f>
        <v>0.12438926174496644</v>
      </c>
      <c r="R17" s="6">
        <f>IF(K17="GESCHLOSSEN",
H17-G17-I17 + SUMIFS(Daten!K:K,Daten!H:H,C17,Daten!E:E,"DIVIDEND"),
IF(K17="OFFEN",
IF(E17=0,
0,
H17+SUMIFS(Daten!K:K,Daten!H:H,C17,Daten!E:E,"DIVIDEND")-(G17-(F17*L17))-I17
),
""))</f>
        <v>0</v>
      </c>
      <c r="S17" s="6">
        <f>IF(E17=0,
0,
(G17-(F17*L17))+I17
)</f>
        <v>0</v>
      </c>
      <c r="T17" s="26">
        <f>COUNTIFS(Daten!H:H,C17,Daten!E:E,"BUY",Daten!L:L,"&lt;0")</f>
        <v>1</v>
      </c>
      <c r="U17" s="26">
        <f>COUNTIFS(Daten!H:H,C17,Daten!E:E,"SELL",Daten!L:L,"&lt;0")</f>
        <v>0</v>
      </c>
      <c r="V17" s="7">
        <f>IF(S17&gt;0,R17/S17,0)</f>
        <v>0</v>
      </c>
      <c r="W17" s="7">
        <f>IF(K17="GESCHLOSSEN",
J17/(G17+I17),
IF(K17="OFFEN",
((H17+M17*F17)-G17-I17)/G17,
""))</f>
        <v>0.12590073884079003</v>
      </c>
    </row>
    <row r="18" spans="1:23" x14ac:dyDescent="0.25">
      <c r="A18" s="9" t="s">
        <v>315</v>
      </c>
      <c r="B18" s="5" t="s">
        <v>32</v>
      </c>
      <c r="C18" s="5" t="s">
        <v>316</v>
      </c>
      <c r="D18" s="5">
        <f>SUMIFS(Daten!I:I,Daten!H:H,C18,Daten!E:E,"BUY")</f>
        <v>14.905659999999999</v>
      </c>
      <c r="E18" s="5">
        <f>-SUMIFS(Daten!I:I,Daten!H:H,C18,Daten!E:E,"SELL")</f>
        <v>14.905659999999999</v>
      </c>
      <c r="F18" s="5">
        <f>D18-E18</f>
        <v>0</v>
      </c>
      <c r="G18" s="6">
        <f>-SUMIFS(Daten!K:K,Daten!H:H,C18,Daten!E:E,"BUY")</f>
        <v>79</v>
      </c>
      <c r="H18" s="6">
        <f>SUMIFS(Daten!K:K,Daten!H:H,C18,Daten!E:E,"SELL")</f>
        <v>122.97</v>
      </c>
      <c r="I18" s="6">
        <f>SUMIFS(Daten!L:L,Daten!H:H,C18)*-1</f>
        <v>2</v>
      </c>
      <c r="J18" s="6">
        <f>H18-G18-I18</f>
        <v>41.97</v>
      </c>
      <c r="K18" s="5" t="str">
        <f>IF(F18&gt;0,"OFFEN","GESCHLOSSEN")</f>
        <v>GESCHLOSSEN</v>
      </c>
      <c r="L18">
        <v>0</v>
      </c>
      <c r="M18">
        <v>0</v>
      </c>
      <c r="N18" s="21">
        <f>IF(K18="GESCHLOSSEN",
0,
IF(K18="OFFEN",
((M18*F18)-(L18*F18)),
""))</f>
        <v>0</v>
      </c>
      <c r="O18" s="6">
        <f>IF(F18&gt;0,F18*M18,0)</f>
        <v>0</v>
      </c>
      <c r="P18" s="6">
        <f>IF(F18&gt;0,F18*L18,0)</f>
        <v>0</v>
      </c>
      <c r="Q18" s="7">
        <f>IF(K18="GESCHLOSSEN",
0,
IF(K18="OFFEN",
(N18/(L18*F18))))</f>
        <v>0</v>
      </c>
      <c r="R18" s="6">
        <f>IF(K18="GESCHLOSSEN",
H18-G18-I18 + SUMIFS(Daten!K:K,Daten!H:H,C18,Daten!E:E,"DIVIDEND"),
IF(K18="OFFEN",
IF(E18=0,
0,
H18+SUMIFS(Daten!K:K,Daten!H:H,C18,Daten!E:E,"DIVIDEND")-(G18-(F18*L18))-I18
),
""))</f>
        <v>41.97</v>
      </c>
      <c r="S18" s="6">
        <f>IF(E18=0,
0,
(G18-(F18*L18))+I18
)</f>
        <v>81</v>
      </c>
      <c r="T18" s="26">
        <f>COUNTIFS(Daten!H:H,C18,Daten!E:E,"BUY",Daten!L:L,"&lt;0")</f>
        <v>1</v>
      </c>
      <c r="U18" s="26">
        <f>COUNTIFS(Daten!H:H,C18,Daten!E:E,"SELL",Daten!L:L,"&lt;0")</f>
        <v>1</v>
      </c>
      <c r="V18" s="7">
        <f>IF(S18&gt;0,R18/S18,0)</f>
        <v>0.51814814814814814</v>
      </c>
      <c r="W18" s="7">
        <f>IF(K18="GESCHLOSSEN",
J18/(G18+I18),
IF(K18="OFFEN",
((H18+M18*F18)-G18-I18)/G18,
""))</f>
        <v>0.51814814814814814</v>
      </c>
    </row>
    <row r="19" spans="1:23" x14ac:dyDescent="0.25">
      <c r="A19" s="9" t="s">
        <v>1004</v>
      </c>
      <c r="B19" s="5" t="s">
        <v>464</v>
      </c>
      <c r="C19" s="5" t="s">
        <v>1005</v>
      </c>
      <c r="D19" s="5">
        <f>SUMIFS(Daten!I:I,Daten!H:H,C19,Daten!E:E,"BUY")</f>
        <v>102.799402</v>
      </c>
      <c r="E19" s="5">
        <f>-SUMIFS(Daten!I:I,Daten!H:H,C19,Daten!E:E,"SELL")</f>
        <v>0</v>
      </c>
      <c r="F19" s="5">
        <f>D19-E19</f>
        <v>102.799402</v>
      </c>
      <c r="G19" s="6">
        <f>-SUMIFS(Daten!K:K,Daten!H:H,C19,Daten!E:E,"BUY")</f>
        <v>649.91</v>
      </c>
      <c r="H19" s="6">
        <f>SUMIFS(Daten!K:K,Daten!H:H,C19,Daten!E:E,"SELL")</f>
        <v>0</v>
      </c>
      <c r="I19" s="6">
        <f>SUMIFS(Daten!L:L,Daten!H:H,C19)*-1</f>
        <v>8</v>
      </c>
      <c r="J19" s="6">
        <f>H19-G19-I19</f>
        <v>-657.91</v>
      </c>
      <c r="K19" s="5" t="str">
        <f>IF(F19&gt;0,"OFFEN","GESCHLOSSEN")</f>
        <v>OFFEN</v>
      </c>
      <c r="L19">
        <v>6.4</v>
      </c>
      <c r="M19">
        <v>4.9969999999999999</v>
      </c>
      <c r="N19" s="21">
        <f>IF(K19="GESCHLOSSEN",
0,
IF(K19="OFFEN",
((M19*F19)-(L19*F19)),
""))</f>
        <v>-144.22756100600009</v>
      </c>
      <c r="O19" s="6">
        <f>IF(F19&gt;0,F19*M19,0)</f>
        <v>513.68861179399994</v>
      </c>
      <c r="P19" s="6">
        <f>IF(F19&gt;0,F19*L19,0)</f>
        <v>657.91617280000003</v>
      </c>
      <c r="Q19" s="7">
        <f>IF(K19="GESCHLOSSEN",
0,
IF(K19="OFFEN",
(N19/(L19*F19))))</f>
        <v>-0.21921875000000013</v>
      </c>
      <c r="R19" s="6">
        <f>IF(K19="GESCHLOSSEN",
H19-G19-I19 + SUMIFS(Daten!K:K,Daten!H:H,C19,Daten!E:E,"DIVIDEND"),
IF(K19="OFFEN",
IF(E19=0,
0,
H19+SUMIFS(Daten!K:K,Daten!H:H,C19,Daten!E:E,"DIVIDEND")-(G19-(F19*L19))-I19
),
""))</f>
        <v>0</v>
      </c>
      <c r="S19" s="6">
        <f>IF(E19=0,
0,
(G19-(F19*L19))+I19
)</f>
        <v>0</v>
      </c>
      <c r="T19" s="26">
        <f>COUNTIFS(Daten!H:H,C19,Daten!E:E,"BUY",Daten!L:L,"&lt;0")</f>
        <v>8</v>
      </c>
      <c r="U19" s="26">
        <f>COUNTIFS(Daten!H:H,C19,Daten!E:E,"SELL",Daten!L:L,"&lt;0")</f>
        <v>0</v>
      </c>
      <c r="V19" s="7">
        <f>IF(S19&gt;0,R19/S19,0)</f>
        <v>0</v>
      </c>
      <c r="W19" s="7">
        <f>IF(K19="GESCHLOSSEN",
J19/(G19+I19),
IF(K19="OFFEN",
((H19+M19*F19)-G19-I19)/G19,
""))</f>
        <v>-0.22190978474865755</v>
      </c>
    </row>
    <row r="20" spans="1:23" x14ac:dyDescent="0.25">
      <c r="A20" s="9" t="s">
        <v>167</v>
      </c>
      <c r="B20" s="5" t="s">
        <v>32</v>
      </c>
      <c r="C20" s="5" t="s">
        <v>168</v>
      </c>
      <c r="D20" s="5">
        <f>SUMIFS(Daten!I:I,Daten!H:H,C20,Daten!E:E,"BUY")</f>
        <v>1360.3733259999999</v>
      </c>
      <c r="E20" s="5">
        <f>-SUMIFS(Daten!I:I,Daten!H:H,C20,Daten!E:E,"SELL")</f>
        <v>629.09074399999997</v>
      </c>
      <c r="F20" s="5">
        <f>D20-E20</f>
        <v>731.28258199999993</v>
      </c>
      <c r="G20" s="6">
        <f>-SUMIFS(Daten!K:K,Daten!H:H,C20,Daten!E:E,"BUY")</f>
        <v>2590.2499999999995</v>
      </c>
      <c r="H20" s="6">
        <f>SUMIFS(Daten!K:K,Daten!H:H,C20,Daten!E:E,"SELL")</f>
        <v>1716.62</v>
      </c>
      <c r="I20" s="6">
        <f>SUMIFS(Daten!L:L,Daten!H:H,C20)*-1</f>
        <v>34</v>
      </c>
      <c r="J20" s="6">
        <f>H20-G20-I20</f>
        <v>-907.62999999999965</v>
      </c>
      <c r="K20" s="5" t="str">
        <f>IF(F20&gt;0,"OFFEN","GESCHLOSSEN")</f>
        <v>OFFEN</v>
      </c>
      <c r="L20">
        <v>1.5549999999999999</v>
      </c>
      <c r="M20">
        <v>0.99819999999999998</v>
      </c>
      <c r="N20" s="21">
        <f>IF(K20="GESCHLOSSEN",
0,
IF(K20="OFFEN",
((M20*F20)-(L20*F20)),
""))</f>
        <v>-407.17814165760001</v>
      </c>
      <c r="O20" s="6">
        <f>IF(F20&gt;0,F20*M20,0)</f>
        <v>729.96627335239987</v>
      </c>
      <c r="P20" s="6">
        <f>IF(F20&gt;0,F20*L20,0)</f>
        <v>1137.1444150099999</v>
      </c>
      <c r="Q20" s="7">
        <f>IF(K20="GESCHLOSSEN",
0,
IF(K20="OFFEN",
(N20/(L20*F20))))</f>
        <v>-0.35807073954983926</v>
      </c>
      <c r="R20" s="6">
        <f>IF(K20="GESCHLOSSEN",
H20-G20-I20 + SUMIFS(Daten!K:K,Daten!H:H,C20,Daten!E:E,"DIVIDEND"),
IF(K20="OFFEN",
IF(E20=0,
0,
H20+SUMIFS(Daten!K:K,Daten!H:H,C20,Daten!E:E,"DIVIDEND")-(G20-(F20*L20))-I20
),
""))</f>
        <v>229.51441501000022</v>
      </c>
      <c r="S20" s="6">
        <f>IF(E20=0,
0,
(G20-(F20*L20))+I20
)</f>
        <v>1487.1055849899997</v>
      </c>
      <c r="T20" s="26">
        <f>COUNTIFS(Daten!H:H,C20,Daten!E:E,"BUY",Daten!L:L,"&lt;0")</f>
        <v>28</v>
      </c>
      <c r="U20" s="26">
        <f>COUNTIFS(Daten!H:H,C20,Daten!E:E,"SELL",Daten!L:L,"&lt;0")</f>
        <v>6</v>
      </c>
      <c r="V20" s="7">
        <f>IF(S20&gt;0,R20/S20,0)</f>
        <v>0.15433632778101875</v>
      </c>
      <c r="W20" s="7">
        <f>IF(K20="GESCHLOSSEN",
J20/(G20+I20),
IF(K20="OFFEN",
((H20+M20*F20)-G20-I20)/G20,
""))</f>
        <v>-6.8589412854975232E-2</v>
      </c>
    </row>
    <row r="21" spans="1:23" x14ac:dyDescent="0.25">
      <c r="A21" s="9" t="s">
        <v>154</v>
      </c>
      <c r="B21" s="5" t="s">
        <v>32</v>
      </c>
      <c r="C21" s="5" t="s">
        <v>155</v>
      </c>
      <c r="D21" s="5">
        <f>SUMIFS(Daten!I:I,Daten!H:H,C21,Daten!E:E,"BUY")</f>
        <v>132.787488</v>
      </c>
      <c r="E21" s="5">
        <f>-SUMIFS(Daten!I:I,Daten!H:H,C21,Daten!E:E,"SELL")</f>
        <v>100.459531</v>
      </c>
      <c r="F21" s="5">
        <f>D21-E21</f>
        <v>32.327956999999998</v>
      </c>
      <c r="G21" s="6">
        <f>-SUMIFS(Daten!K:K,Daten!H:H,C21,Daten!E:E,"BUY")</f>
        <v>2521.36</v>
      </c>
      <c r="H21" s="6">
        <f>SUMIFS(Daten!K:K,Daten!H:H,C21,Daten!E:E,"SELL")</f>
        <v>2118.5699999999997</v>
      </c>
      <c r="I21" s="6">
        <f>SUMIFS(Daten!L:L,Daten!H:H,C21)*-1</f>
        <v>27</v>
      </c>
      <c r="J21" s="6">
        <f>H21-G21-I21</f>
        <v>-429.79000000000042</v>
      </c>
      <c r="K21" s="5" t="str">
        <f>IF(F21&gt;0,"OFFEN","GESCHLOSSEN")</f>
        <v>OFFEN</v>
      </c>
      <c r="L21">
        <v>20.37</v>
      </c>
      <c r="M21">
        <v>15.207599999999999</v>
      </c>
      <c r="N21" s="21">
        <f>IF(K21="GESCHLOSSEN",
0,
IF(K21="OFFEN",
((M21*F21)-(L21*F21)),
""))</f>
        <v>-166.88984521680004</v>
      </c>
      <c r="O21" s="6">
        <f>IF(F21&gt;0,F21*M21,0)</f>
        <v>491.63063887319993</v>
      </c>
      <c r="P21" s="6">
        <f>IF(F21&gt;0,F21*L21,0)</f>
        <v>658.52048408999997</v>
      </c>
      <c r="Q21" s="7">
        <f>IF(K21="GESCHLOSSEN",
0,
IF(K21="OFFEN",
(N21/(L21*F21))))</f>
        <v>-0.25343151693667165</v>
      </c>
      <c r="R21" s="6">
        <f>IF(K21="GESCHLOSSEN",
H21-G21-I21 + SUMIFS(Daten!K:K,Daten!H:H,C21,Daten!E:E,"DIVIDEND"),
IF(K21="OFFEN",
IF(E21=0,
0,
H21+SUMIFS(Daten!K:K,Daten!H:H,C21,Daten!E:E,"DIVIDEND")-(G21-(F21*L21))-I21
),
""))</f>
        <v>228.73048408999966</v>
      </c>
      <c r="S21" s="6">
        <f>IF(E21=0,
0,
(G21-(F21*L21))+I21
)</f>
        <v>1889.83951591</v>
      </c>
      <c r="T21" s="26">
        <f>COUNTIFS(Daten!H:H,C21,Daten!E:E,"BUY",Daten!L:L,"&lt;0")</f>
        <v>20</v>
      </c>
      <c r="U21" s="26">
        <f>COUNTIFS(Daten!H:H,C21,Daten!E:E,"SELL",Daten!L:L,"&lt;0")</f>
        <v>7</v>
      </c>
      <c r="V21" s="7">
        <f>IF(S21&gt;0,R21/S21,0)</f>
        <v>0.12103169722316914</v>
      </c>
      <c r="W21" s="7">
        <f>IF(K21="GESCHLOSSEN",
J21/(G21+I21),
IF(K21="OFFEN",
((H21+M21*F21)-G21-I21)/G21,
""))</f>
        <v>2.4526699429355436E-2</v>
      </c>
    </row>
    <row r="22" spans="1:23" x14ac:dyDescent="0.25">
      <c r="A22" s="9" t="s">
        <v>604</v>
      </c>
      <c r="B22" s="5" t="s">
        <v>32</v>
      </c>
      <c r="C22" s="5" t="s">
        <v>605</v>
      </c>
      <c r="D22" s="5">
        <f>SUMIFS(Daten!I:I,Daten!H:H,C22,Daten!E:E,"BUY")</f>
        <v>531.45139600000005</v>
      </c>
      <c r="E22" s="5">
        <f>-SUMIFS(Daten!I:I,Daten!H:H,C22,Daten!E:E,"SELL")</f>
        <v>531.45139600000005</v>
      </c>
      <c r="F22" s="5">
        <f>D22-E22</f>
        <v>0</v>
      </c>
      <c r="G22" s="6">
        <f>-SUMIFS(Daten!K:K,Daten!H:H,C22,Daten!E:E,"BUY")</f>
        <v>349</v>
      </c>
      <c r="H22" s="6">
        <f>SUMIFS(Daten!K:K,Daten!H:H,C22,Daten!E:E,"SELL")</f>
        <v>371.71000000000004</v>
      </c>
      <c r="I22" s="6">
        <f>SUMIFS(Daten!L:L,Daten!H:H,C22)*-1</f>
        <v>5</v>
      </c>
      <c r="J22" s="6">
        <f>H22-G22-I22</f>
        <v>17.710000000000036</v>
      </c>
      <c r="K22" s="5" t="str">
        <f>IF(F22&gt;0,"OFFEN","GESCHLOSSEN")</f>
        <v>GESCHLOSSEN</v>
      </c>
      <c r="L22">
        <v>0</v>
      </c>
      <c r="M22">
        <v>0</v>
      </c>
      <c r="N22" s="21">
        <f>IF(K22="GESCHLOSSEN",
0,
IF(K22="OFFEN",
((M22*F22)-(L22*F22)),
""))</f>
        <v>0</v>
      </c>
      <c r="O22" s="6">
        <f>IF(F22&gt;0,F22*M22,0)</f>
        <v>0</v>
      </c>
      <c r="P22" s="6">
        <f>IF(F22&gt;0,F22*L22,0)</f>
        <v>0</v>
      </c>
      <c r="Q22" s="7">
        <f>IF(K22="GESCHLOSSEN",
0,
IF(K22="OFFEN",
(N22/(L22*F22))))</f>
        <v>0</v>
      </c>
      <c r="R22" s="6">
        <f>IF(K22="GESCHLOSSEN",
H22-G22-I22 + SUMIFS(Daten!K:K,Daten!H:H,C22,Daten!E:E,"DIVIDEND"),
IF(K22="OFFEN",
IF(E22=0,
0,
H22+SUMIFS(Daten!K:K,Daten!H:H,C22,Daten!E:E,"DIVIDEND")-(G22-(F22*L22))-I22
),
""))</f>
        <v>17.710000000000036</v>
      </c>
      <c r="S22" s="6">
        <f>IF(E22=0,
0,
(G22-(F22*L22))+I22
)</f>
        <v>354</v>
      </c>
      <c r="T22" s="26">
        <f>COUNTIFS(Daten!H:H,C22,Daten!E:E,"BUY",Daten!L:L,"&lt;0")</f>
        <v>3</v>
      </c>
      <c r="U22" s="26">
        <f>COUNTIFS(Daten!H:H,C22,Daten!E:E,"SELL",Daten!L:L,"&lt;0")</f>
        <v>2</v>
      </c>
      <c r="V22" s="7">
        <f>IF(S22&gt;0,R22/S22,0)</f>
        <v>5.0028248587570726E-2</v>
      </c>
      <c r="W22" s="7">
        <f>IF(K22="GESCHLOSSEN",
J22/(G22+I22),
IF(K22="OFFEN",
((H22+M22*F22)-G22-I22)/G22,
""))</f>
        <v>5.0028248587570726E-2</v>
      </c>
    </row>
    <row r="23" spans="1:23" x14ac:dyDescent="0.25">
      <c r="A23" s="9" t="s">
        <v>340</v>
      </c>
      <c r="B23" s="5" t="s">
        <v>32</v>
      </c>
      <c r="C23" s="5" t="s">
        <v>341</v>
      </c>
      <c r="D23" s="5">
        <f>SUMIFS(Daten!I:I,Daten!H:H,C23,Daten!E:E,"BUY")</f>
        <v>18.553222999999999</v>
      </c>
      <c r="E23" s="5">
        <f>-SUMIFS(Daten!I:I,Daten!H:H,C23,Daten!E:E,"SELL")</f>
        <v>18.553222999999999</v>
      </c>
      <c r="F23" s="5">
        <f>D23-E23</f>
        <v>0</v>
      </c>
      <c r="G23" s="6">
        <f>-SUMIFS(Daten!K:K,Daten!H:H,C23,Daten!E:E,"BUY")</f>
        <v>99</v>
      </c>
      <c r="H23" s="6">
        <f>SUMIFS(Daten!K:K,Daten!H:H,C23,Daten!E:E,"SELL")</f>
        <v>119.14999999999999</v>
      </c>
      <c r="I23" s="6">
        <f>SUMIFS(Daten!L:L,Daten!H:H,C23)*-1</f>
        <v>2</v>
      </c>
      <c r="J23" s="6">
        <f>H23-G23-I23</f>
        <v>18.149999999999991</v>
      </c>
      <c r="K23" s="5" t="str">
        <f>IF(F23&gt;0,"OFFEN","GESCHLOSSEN")</f>
        <v>GESCHLOSSEN</v>
      </c>
      <c r="L23">
        <v>0</v>
      </c>
      <c r="M23">
        <v>0</v>
      </c>
      <c r="N23" s="21">
        <f>IF(K23="GESCHLOSSEN",
0,
IF(K23="OFFEN",
((M23*F23)-(L23*F23)),
""))</f>
        <v>0</v>
      </c>
      <c r="O23" s="6">
        <f>IF(F23&gt;0,F23*M23,0)</f>
        <v>0</v>
      </c>
      <c r="P23" s="6">
        <f>IF(F23&gt;0,F23*L23,0)</f>
        <v>0</v>
      </c>
      <c r="Q23" s="7">
        <f>IF(K23="GESCHLOSSEN",
0,
IF(K23="OFFEN",
(N23/(L23*F23))))</f>
        <v>0</v>
      </c>
      <c r="R23" s="6">
        <f>IF(K23="GESCHLOSSEN",
H23-G23-I23 + SUMIFS(Daten!K:K,Daten!H:H,C23,Daten!E:E,"DIVIDEND"),
IF(K23="OFFEN",
IF(E23=0,
0,
H23+SUMIFS(Daten!K:K,Daten!H:H,C23,Daten!E:E,"DIVIDEND")-(G23-(F23*L23))-I23
),
""))</f>
        <v>18.149999999999991</v>
      </c>
      <c r="S23" s="6">
        <f>IF(E23=0,
0,
(G23-(F23*L23))+I23
)</f>
        <v>101</v>
      </c>
      <c r="T23" s="26">
        <f>COUNTIFS(Daten!H:H,C23,Daten!E:E,"BUY",Daten!L:L,"&lt;0")</f>
        <v>1</v>
      </c>
      <c r="U23" s="26">
        <f>COUNTIFS(Daten!H:H,C23,Daten!E:E,"SELL",Daten!L:L,"&lt;0")</f>
        <v>1</v>
      </c>
      <c r="V23" s="7">
        <f>IF(S23&gt;0,R23/S23,0)</f>
        <v>0.17970297029702961</v>
      </c>
      <c r="W23" s="7">
        <f>IF(K23="GESCHLOSSEN",
J23/(G23+I23),
IF(K23="OFFEN",
((H23+M23*F23)-G23-I23)/G23,
""))</f>
        <v>0.17970297029702961</v>
      </c>
    </row>
    <row r="24" spans="1:23" x14ac:dyDescent="0.25">
      <c r="A24" s="9" t="s">
        <v>33</v>
      </c>
      <c r="B24" s="5" t="s">
        <v>32</v>
      </c>
      <c r="C24" s="5" t="s">
        <v>34</v>
      </c>
      <c r="D24" s="5">
        <f>SUMIFS(Daten!I:I,Daten!H:H,C24,Daten!E:E,"BUY")</f>
        <v>1.009325</v>
      </c>
      <c r="E24" s="5">
        <f>-SUMIFS(Daten!I:I,Daten!H:H,C24,Daten!E:E,"SELL")</f>
        <v>1.009325</v>
      </c>
      <c r="F24" s="5">
        <f>D24-E24</f>
        <v>0</v>
      </c>
      <c r="G24" s="6">
        <f>-SUMIFS(Daten!K:K,Daten!H:H,C24,Daten!E:E,"BUY")</f>
        <v>92</v>
      </c>
      <c r="H24" s="6">
        <f>SUMIFS(Daten!K:K,Daten!H:H,C24,Daten!E:E,"SELL")</f>
        <v>103.7</v>
      </c>
      <c r="I24" s="6">
        <f>SUMIFS(Daten!L:L,Daten!H:H,C24)*-1</f>
        <v>3</v>
      </c>
      <c r="J24" s="6">
        <f>H24-G24-I24</f>
        <v>8.7000000000000028</v>
      </c>
      <c r="K24" s="5" t="str">
        <f>IF(F24&gt;0,"OFFEN","GESCHLOSSEN")</f>
        <v>GESCHLOSSEN</v>
      </c>
      <c r="L24">
        <v>0</v>
      </c>
      <c r="M24">
        <v>0</v>
      </c>
      <c r="N24" s="21">
        <f>IF(K24="GESCHLOSSEN",
0,
IF(K24="OFFEN",
((M24*F24)-(L24*F24)),
""))</f>
        <v>0</v>
      </c>
      <c r="O24" s="6">
        <f>IF(F24&gt;0,F24*M24,0)</f>
        <v>0</v>
      </c>
      <c r="P24" s="6">
        <f>IF(F24&gt;0,F24*L24,0)</f>
        <v>0</v>
      </c>
      <c r="Q24" s="7">
        <f>IF(K24="GESCHLOSSEN",
0,
IF(K24="OFFEN",
(N24/(L24*F24))))</f>
        <v>0</v>
      </c>
      <c r="R24" s="6">
        <f>IF(K24="GESCHLOSSEN",
H24-G24-I24 + SUMIFS(Daten!K:K,Daten!H:H,C24,Daten!E:E,"DIVIDEND"),
IF(K24="OFFEN",
IF(E24=0,
0,
H24+SUMIFS(Daten!K:K,Daten!H:H,C24,Daten!E:E,"DIVIDEND")-(G24-(F24*L24))-I24
),
""))</f>
        <v>8.7000000000000028</v>
      </c>
      <c r="S24" s="6">
        <f>IF(E24=0,
0,
(G24-(F24*L24))+I24
)</f>
        <v>95</v>
      </c>
      <c r="T24" s="26">
        <f>COUNTIFS(Daten!H:H,C24,Daten!E:E,"BUY",Daten!L:L,"&lt;0")</f>
        <v>1</v>
      </c>
      <c r="U24" s="26">
        <f>COUNTIFS(Daten!H:H,C24,Daten!E:E,"SELL",Daten!L:L,"&lt;0")</f>
        <v>2</v>
      </c>
      <c r="V24" s="7">
        <f>IF(S24&gt;0,R24/S24,0)</f>
        <v>9.1578947368421079E-2</v>
      </c>
      <c r="W24" s="7">
        <f>IF(K24="GESCHLOSSEN",
J24/(G24+I24),
IF(K24="OFFEN",
((H24+M24*F24)-G24-I24)/G24,
""))</f>
        <v>9.1578947368421079E-2</v>
      </c>
    </row>
    <row r="25" spans="1:23" x14ac:dyDescent="0.25">
      <c r="A25" s="9" t="s">
        <v>55</v>
      </c>
      <c r="B25" s="5" t="s">
        <v>32</v>
      </c>
      <c r="C25" s="5" t="s">
        <v>56</v>
      </c>
      <c r="D25" s="5">
        <f>SUMIFS(Daten!I:I,Daten!H:H,C25,Daten!E:E,"BUY")</f>
        <v>1.8711989999999998</v>
      </c>
      <c r="E25" s="5">
        <f>-SUMIFS(Daten!I:I,Daten!H:H,C25,Daten!E:E,"SELL")</f>
        <v>1.8711989999999998</v>
      </c>
      <c r="F25" s="5">
        <f>D25-E25</f>
        <v>0</v>
      </c>
      <c r="G25" s="6">
        <f>-SUMIFS(Daten!K:K,Daten!H:H,C25,Daten!E:E,"BUY")</f>
        <v>60</v>
      </c>
      <c r="H25" s="6">
        <f>SUMIFS(Daten!K:K,Daten!H:H,C25,Daten!E:E,"SELL")</f>
        <v>64.16</v>
      </c>
      <c r="I25" s="6">
        <f>SUMIFS(Daten!L:L,Daten!H:H,C25)*-1</f>
        <v>2</v>
      </c>
      <c r="J25" s="6">
        <f>H25-G25-I25</f>
        <v>2.1599999999999966</v>
      </c>
      <c r="K25" s="5" t="str">
        <f>IF(F25&gt;0,"OFFEN","GESCHLOSSEN")</f>
        <v>GESCHLOSSEN</v>
      </c>
      <c r="L25">
        <v>0</v>
      </c>
      <c r="M25">
        <v>0</v>
      </c>
      <c r="N25" s="21">
        <f>IF(K25="GESCHLOSSEN",
0,
IF(K25="OFFEN",
((M25*F25)-(L25*F25)),
""))</f>
        <v>0</v>
      </c>
      <c r="O25" s="6">
        <f>IF(F25&gt;0,F25*M25,0)</f>
        <v>0</v>
      </c>
      <c r="P25" s="6">
        <f>IF(F25&gt;0,F25*L25,0)</f>
        <v>0</v>
      </c>
      <c r="Q25" s="7">
        <f>IF(K25="GESCHLOSSEN",
0,
IF(K25="OFFEN",
(N25/(L25*F25))))</f>
        <v>0</v>
      </c>
      <c r="R25" s="6">
        <f>IF(K25="GESCHLOSSEN",
H25-G25-I25 + SUMIFS(Daten!K:K,Daten!H:H,C25,Daten!E:E,"DIVIDEND"),
IF(K25="OFFEN",
IF(E25=0,
0,
H25+SUMIFS(Daten!K:K,Daten!H:H,C25,Daten!E:E,"DIVIDEND")-(G25-(F25*L25))-I25
),
""))</f>
        <v>2.1599999999999966</v>
      </c>
      <c r="S25" s="6">
        <f>IF(E25=0,
0,
(G25-(F25*L25))+I25
)</f>
        <v>62</v>
      </c>
      <c r="T25" s="26">
        <f>COUNTIFS(Daten!H:H,C25,Daten!E:E,"BUY",Daten!L:L,"&lt;0")</f>
        <v>1</v>
      </c>
      <c r="U25" s="26">
        <f>COUNTIFS(Daten!H:H,C25,Daten!E:E,"SELL",Daten!L:L,"&lt;0")</f>
        <v>1</v>
      </c>
      <c r="V25" s="7">
        <f>IF(S25&gt;0,R25/S25,0)</f>
        <v>3.4838709677419297E-2</v>
      </c>
      <c r="W25" s="7">
        <f>IF(K25="GESCHLOSSEN",
J25/(G25+I25),
IF(K25="OFFEN",
((H25+M25*F25)-G25-I25)/G25,
""))</f>
        <v>3.4838709677419297E-2</v>
      </c>
    </row>
    <row r="26" spans="1:23" x14ac:dyDescent="0.25">
      <c r="A26" s="9" t="s">
        <v>664</v>
      </c>
      <c r="B26" s="5" t="s">
        <v>32</v>
      </c>
      <c r="C26" s="5" t="s">
        <v>665</v>
      </c>
      <c r="D26" s="5">
        <f>SUMIFS(Daten!I:I,Daten!H:H,C26,Daten!E:E,"BUY")</f>
        <v>56.051445000000001</v>
      </c>
      <c r="E26" s="5">
        <f>-SUMIFS(Daten!I:I,Daten!H:H,C26,Daten!E:E,"SELL")</f>
        <v>26.322716</v>
      </c>
      <c r="F26" s="5">
        <f>D26-E26</f>
        <v>29.728729000000001</v>
      </c>
      <c r="G26" s="6">
        <f>-SUMIFS(Daten!K:K,Daten!H:H,C26,Daten!E:E,"BUY")</f>
        <v>450</v>
      </c>
      <c r="H26" s="6">
        <f>SUMIFS(Daten!K:K,Daten!H:H,C26,Daten!E:E,"SELL")</f>
        <v>210.27</v>
      </c>
      <c r="I26" s="6">
        <f>SUMIFS(Daten!L:L,Daten!H:H,C26)*-1</f>
        <v>5</v>
      </c>
      <c r="J26" s="6">
        <f>H26-G26-I26</f>
        <v>-244.73</v>
      </c>
      <c r="K26" s="5" t="str">
        <f>IF(F26&gt;0,"OFFEN","GESCHLOSSEN")</f>
        <v>OFFEN</v>
      </c>
      <c r="L26">
        <v>8.51</v>
      </c>
      <c r="M26">
        <v>7.718</v>
      </c>
      <c r="N26" s="21">
        <f>IF(K26="GESCHLOSSEN",
0,
IF(K26="OFFEN",
((M26*F26)-(L26*F26)),
""))</f>
        <v>-23.545153368000001</v>
      </c>
      <c r="O26" s="6">
        <f>IF(F26&gt;0,F26*M26,0)</f>
        <v>229.44633042200002</v>
      </c>
      <c r="P26" s="6">
        <f>IF(F26&gt;0,F26*L26,0)</f>
        <v>252.99148379000002</v>
      </c>
      <c r="Q26" s="7">
        <f>IF(K26="GESCHLOSSEN",
0,
IF(K26="OFFEN",
(N26/(L26*F26))))</f>
        <v>-9.3066980023501764E-2</v>
      </c>
      <c r="R26" s="6">
        <f>IF(K26="GESCHLOSSEN",
H26-G26-I26 + SUMIFS(Daten!K:K,Daten!H:H,C26,Daten!E:E,"DIVIDEND"),
IF(K26="OFFEN",
IF(E26=0,
0,
H26+SUMIFS(Daten!K:K,Daten!H:H,C26,Daten!E:E,"DIVIDEND")-(G26-(F26*L26))-I26
),
""))</f>
        <v>8.2614837900000282</v>
      </c>
      <c r="S26" s="6">
        <f>IF(E26=0,
0,
(G26-(F26*L26))+I26
)</f>
        <v>202.00851620999998</v>
      </c>
      <c r="T26" s="26">
        <f>COUNTIFS(Daten!H:H,C26,Daten!E:E,"BUY",Daten!L:L,"&lt;0")</f>
        <v>4</v>
      </c>
      <c r="U26" s="26">
        <f>COUNTIFS(Daten!H:H,C26,Daten!E:E,"SELL",Daten!L:L,"&lt;0")</f>
        <v>1</v>
      </c>
      <c r="V26" s="7">
        <f>IF(S26&gt;0,R26/S26,0)</f>
        <v>4.0896710420919677E-2</v>
      </c>
      <c r="W26" s="7">
        <f>IF(K26="GESCHLOSSEN",
J26/(G26+I26),
IF(K26="OFFEN",
((H26+M26*F26)-G26-I26)/G26,
""))</f>
        <v>-3.396371017333321E-2</v>
      </c>
    </row>
    <row r="27" spans="1:23" x14ac:dyDescent="0.25">
      <c r="A27" s="9" t="s">
        <v>364</v>
      </c>
      <c r="B27" s="5" t="s">
        <v>32</v>
      </c>
      <c r="C27" s="5" t="s">
        <v>365</v>
      </c>
      <c r="D27" s="5">
        <f>SUMIFS(Daten!I:I,Daten!H:H,C27,Daten!E:E,"BUY")</f>
        <v>39.442231</v>
      </c>
      <c r="E27" s="5">
        <f>-SUMIFS(Daten!I:I,Daten!H:H,C27,Daten!E:E,"SELL")</f>
        <v>39.442231</v>
      </c>
      <c r="F27" s="5">
        <f>D27-E27</f>
        <v>0</v>
      </c>
      <c r="G27" s="6">
        <f>-SUMIFS(Daten!K:K,Daten!H:H,C27,Daten!E:E,"BUY")</f>
        <v>99</v>
      </c>
      <c r="H27" s="6">
        <f>SUMIFS(Daten!K:K,Daten!H:H,C27,Daten!E:E,"SELL")</f>
        <v>116.35</v>
      </c>
      <c r="I27" s="6">
        <f>SUMIFS(Daten!L:L,Daten!H:H,C27)*-1</f>
        <v>2</v>
      </c>
      <c r="J27" s="6">
        <f>H27-G27-I27</f>
        <v>15.349999999999994</v>
      </c>
      <c r="K27" s="5" t="str">
        <f>IF(F27&gt;0,"OFFEN","GESCHLOSSEN")</f>
        <v>GESCHLOSSEN</v>
      </c>
      <c r="L27">
        <v>0</v>
      </c>
      <c r="M27">
        <v>0</v>
      </c>
      <c r="N27" s="21">
        <f>IF(K27="GESCHLOSSEN",
0,
IF(K27="OFFEN",
((M27*F27)-(L27*F27)),
""))</f>
        <v>0</v>
      </c>
      <c r="O27" s="6">
        <f>IF(F27&gt;0,F27*M27,0)</f>
        <v>0</v>
      </c>
      <c r="P27" s="6">
        <f>IF(F27&gt;0,F27*L27,0)</f>
        <v>0</v>
      </c>
      <c r="Q27" s="7">
        <f>IF(K27="GESCHLOSSEN",
0,
IF(K27="OFFEN",
(N27/(L27*F27))))</f>
        <v>0</v>
      </c>
      <c r="R27" s="6">
        <f>IF(K27="GESCHLOSSEN",
H27-G27-I27 + SUMIFS(Daten!K:K,Daten!H:H,C27,Daten!E:E,"DIVIDEND"),
IF(K27="OFFEN",
IF(E27=0,
0,
H27+SUMIFS(Daten!K:K,Daten!H:H,C27,Daten!E:E,"DIVIDEND")-(G27-(F27*L27))-I27
),
""))</f>
        <v>15.349999999999994</v>
      </c>
      <c r="S27" s="6">
        <f>IF(E27=0,
0,
(G27-(F27*L27))+I27
)</f>
        <v>101</v>
      </c>
      <c r="T27" s="26">
        <f>COUNTIFS(Daten!H:H,C27,Daten!E:E,"BUY",Daten!L:L,"&lt;0")</f>
        <v>1</v>
      </c>
      <c r="U27" s="26">
        <f>COUNTIFS(Daten!H:H,C27,Daten!E:E,"SELL",Daten!L:L,"&lt;0")</f>
        <v>1</v>
      </c>
      <c r="V27" s="7">
        <f>IF(S27&gt;0,R27/S27,0)</f>
        <v>0.15198019801980192</v>
      </c>
      <c r="W27" s="7">
        <f>IF(K27="GESCHLOSSEN",
J27/(G27+I27),
IF(K27="OFFEN",
((H27+M27*F27)-G27-I27)/G27,
""))</f>
        <v>0.15198019801980192</v>
      </c>
    </row>
    <row r="28" spans="1:23" x14ac:dyDescent="0.25">
      <c r="A28" s="9" t="s">
        <v>799</v>
      </c>
      <c r="B28" s="5" t="s">
        <v>464</v>
      </c>
      <c r="C28" s="5" t="s">
        <v>800</v>
      </c>
      <c r="D28" s="5">
        <f>SUMIFS(Daten!I:I,Daten!H:H,C28,Daten!E:E,"BUY")</f>
        <v>6.0335359999999998</v>
      </c>
      <c r="E28" s="5">
        <f>-SUMIFS(Daten!I:I,Daten!H:H,C28,Daten!E:E,"SELL")</f>
        <v>0</v>
      </c>
      <c r="F28" s="5">
        <f>D28-E28</f>
        <v>6.0335359999999998</v>
      </c>
      <c r="G28" s="6">
        <f>-SUMIFS(Daten!K:K,Daten!H:H,C28,Daten!E:E,"BUY")</f>
        <v>766.99</v>
      </c>
      <c r="H28" s="6">
        <f>SUMIFS(Daten!K:K,Daten!H:H,C28,Daten!E:E,"SELL")</f>
        <v>0</v>
      </c>
      <c r="I28" s="6">
        <f>SUMIFS(Daten!L:L,Daten!H:H,C28)*-1</f>
        <v>3</v>
      </c>
      <c r="J28" s="6">
        <f>H28-G28-I28</f>
        <v>-769.99</v>
      </c>
      <c r="K28" s="5" t="str">
        <f>IF(F28&gt;0,"OFFEN","GESCHLOSSEN")</f>
        <v>OFFEN</v>
      </c>
      <c r="L28">
        <v>127.62</v>
      </c>
      <c r="M28">
        <v>152.08000000000001</v>
      </c>
      <c r="N28" s="21">
        <f>IF(K28="GESCHLOSSEN",
0,
IF(K28="OFFEN",
((M28*F28)-(L28*F28)),
""))</f>
        <v>147.58029055999998</v>
      </c>
      <c r="O28" s="6">
        <f>IF(F28&gt;0,F28*M28,0)</f>
        <v>917.58015488000001</v>
      </c>
      <c r="P28" s="6">
        <f>IF(F28&gt;0,F28*L28,0)</f>
        <v>769.99986432000003</v>
      </c>
      <c r="Q28" s="7">
        <f>IF(K28="GESCHLOSSEN",
0,
IF(K28="OFFEN",
(N28/(L28*F28))))</f>
        <v>0.1916627487854568</v>
      </c>
      <c r="R28" s="6">
        <f>IF(K28="GESCHLOSSEN",
H28-G28-I28 + SUMIFS(Daten!K:K,Daten!H:H,C28,Daten!E:E,"DIVIDEND"),
IF(K28="OFFEN",
IF(E28=0,
0,
H28+SUMIFS(Daten!K:K,Daten!H:H,C28,Daten!E:E,"DIVIDEND")-(G28-(F28*L28))-I28
),
""))</f>
        <v>0</v>
      </c>
      <c r="S28" s="6">
        <f>IF(E28=0,
0,
(G28-(F28*L28))+I28
)</f>
        <v>0</v>
      </c>
      <c r="T28" s="26">
        <f>COUNTIFS(Daten!H:H,C28,Daten!E:E,"BUY",Daten!L:L,"&lt;0")</f>
        <v>3</v>
      </c>
      <c r="U28" s="26">
        <f>COUNTIFS(Daten!H:H,C28,Daten!E:E,"SELL",Daten!L:L,"&lt;0")</f>
        <v>0</v>
      </c>
      <c r="V28" s="7">
        <f>IF(S28&gt;0,R28/S28,0)</f>
        <v>0</v>
      </c>
      <c r="W28" s="7">
        <f>IF(K28="GESCHLOSSEN",
J28/(G28+I28),
IF(K28="OFFEN",
((H28+M28*F28)-G28-I28)/G28,
""))</f>
        <v>0.19242774336040888</v>
      </c>
    </row>
    <row r="29" spans="1:23" x14ac:dyDescent="0.25">
      <c r="A29" s="9" t="s">
        <v>1237</v>
      </c>
      <c r="B29" s="5" t="s">
        <v>464</v>
      </c>
      <c r="C29" s="5" t="s">
        <v>1238</v>
      </c>
      <c r="D29" s="5">
        <f>SUMIFS(Daten!I:I,Daten!H:H,C29,Daten!E:E,"BUY")</f>
        <v>8.3333329999999997</v>
      </c>
      <c r="E29" s="5">
        <f>-SUMIFS(Daten!I:I,Daten!H:H,C29,Daten!E:E,"SELL")</f>
        <v>0</v>
      </c>
      <c r="F29" s="5">
        <f>D29-E29</f>
        <v>8.3333329999999997</v>
      </c>
      <c r="G29" s="6">
        <f>-SUMIFS(Daten!K:K,Daten!H:H,C29,Daten!E:E,"BUY")</f>
        <v>399.96</v>
      </c>
      <c r="H29" s="6">
        <f>SUMIFS(Daten!K:K,Daten!H:H,C29,Daten!E:E,"SELL")</f>
        <v>0</v>
      </c>
      <c r="I29" s="6">
        <f>SUMIFS(Daten!L:L,Daten!H:H,C29)*-1</f>
        <v>1</v>
      </c>
      <c r="J29" s="6">
        <f>H29-G29-I29</f>
        <v>-400.96</v>
      </c>
      <c r="K29" s="5" t="str">
        <f>IF(F29&gt;0,"OFFEN","GESCHLOSSEN")</f>
        <v>OFFEN</v>
      </c>
      <c r="L29">
        <v>48.12</v>
      </c>
      <c r="M29">
        <v>47.2</v>
      </c>
      <c r="N29" s="21">
        <f>IF(K29="GESCHLOSSEN",
0,
IF(K29="OFFEN",
((M29*F29)-(L29*F29)),
""))</f>
        <v>-7.6666663599999652</v>
      </c>
      <c r="O29" s="6">
        <f>IF(F29&gt;0,F29*M29,0)</f>
        <v>393.33331759999999</v>
      </c>
      <c r="P29" s="6">
        <f>IF(F29&gt;0,F29*L29,0)</f>
        <v>400.99998395999995</v>
      </c>
      <c r="Q29" s="7">
        <f>IF(K29="GESCHLOSSEN",
0,
IF(K29="OFFEN",
(N29/(L29*F29))))</f>
        <v>-1.9118869492934246E-2</v>
      </c>
      <c r="R29" s="6">
        <f>IF(K29="GESCHLOSSEN",
H29-G29-I29 + SUMIFS(Daten!K:K,Daten!H:H,C29,Daten!E:E,"DIVIDEND"),
IF(K29="OFFEN",
IF(E29=0,
0,
H29+SUMIFS(Daten!K:K,Daten!H:H,C29,Daten!E:E,"DIVIDEND")-(G29-(F29*L29))-I29
),
""))</f>
        <v>0</v>
      </c>
      <c r="S29" s="6">
        <f>IF(E29=0,
0,
(G29-(F29*L29))+I29
)</f>
        <v>0</v>
      </c>
      <c r="T29" s="26">
        <f>COUNTIFS(Daten!H:H,C29,Daten!E:E,"BUY",Daten!L:L,"&lt;0")</f>
        <v>1</v>
      </c>
      <c r="U29" s="26">
        <f>COUNTIFS(Daten!H:H,C29,Daten!E:E,"SELL",Daten!L:L,"&lt;0")</f>
        <v>0</v>
      </c>
      <c r="V29" s="7">
        <f>IF(S29&gt;0,R29/S29,0)</f>
        <v>0</v>
      </c>
      <c r="W29" s="7">
        <f>IF(K29="GESCHLOSSEN",
J29/(G29+I29),
IF(K29="OFFEN",
((H29+M29*F29)-G29-I29)/G29,
""))</f>
        <v>-1.9068612861286111E-2</v>
      </c>
    </row>
    <row r="30" spans="1:23" x14ac:dyDescent="0.25">
      <c r="A30" s="9" t="s">
        <v>1178</v>
      </c>
      <c r="B30" s="5" t="s">
        <v>464</v>
      </c>
      <c r="C30" s="5" t="s">
        <v>1179</v>
      </c>
      <c r="D30" s="5">
        <f>SUMIFS(Daten!I:I,Daten!H:H,C30,Daten!E:E,"BUY")</f>
        <v>9.423959</v>
      </c>
      <c r="E30" s="5">
        <f>-SUMIFS(Daten!I:I,Daten!H:H,C30,Daten!E:E,"SELL")</f>
        <v>0</v>
      </c>
      <c r="F30" s="5">
        <f>D30-E30</f>
        <v>9.423959</v>
      </c>
      <c r="G30" s="6">
        <f>-SUMIFS(Daten!K:K,Daten!H:H,C30,Daten!E:E,"BUY")</f>
        <v>500</v>
      </c>
      <c r="H30" s="6">
        <f>SUMIFS(Daten!K:K,Daten!H:H,C30,Daten!E:E,"SELL")</f>
        <v>0</v>
      </c>
      <c r="I30" s="6">
        <f>SUMIFS(Daten!L:L,Daten!H:H,C30)*-1</f>
        <v>1</v>
      </c>
      <c r="J30" s="6">
        <f>H30-G30-I30</f>
        <v>-501</v>
      </c>
      <c r="K30" s="5" t="str">
        <f>IF(F30&gt;0,"OFFEN","GESCHLOSSEN")</f>
        <v>OFFEN</v>
      </c>
      <c r="L30">
        <v>53.16</v>
      </c>
      <c r="M30">
        <v>54.55</v>
      </c>
      <c r="N30" s="21">
        <f>IF(K30="GESCHLOSSEN",
0,
IF(K30="OFFEN",
((M30*F30)-(L30*F30)),
""))</f>
        <v>13.099303010000028</v>
      </c>
      <c r="O30" s="6">
        <f>IF(F30&gt;0,F30*M30,0)</f>
        <v>514.07696344999999</v>
      </c>
      <c r="P30" s="6">
        <f>IF(F30&gt;0,F30*L30,0)</f>
        <v>500.97766043999997</v>
      </c>
      <c r="Q30" s="7">
        <f>IF(K30="GESCHLOSSEN",
0,
IF(K30="OFFEN",
(N30/(L30*F30))))</f>
        <v>2.6147479307750247E-2</v>
      </c>
      <c r="R30" s="6">
        <f>IF(K30="GESCHLOSSEN",
H30-G30-I30 + SUMIFS(Daten!K:K,Daten!H:H,C30,Daten!E:E,"DIVIDEND"),
IF(K30="OFFEN",
IF(E30=0,
0,
H30+SUMIFS(Daten!K:K,Daten!H:H,C30,Daten!E:E,"DIVIDEND")-(G30-(F30*L30))-I30
),
""))</f>
        <v>0</v>
      </c>
      <c r="S30" s="6">
        <f>IF(E30=0,
0,
(G30-(F30*L30))+I30
)</f>
        <v>0</v>
      </c>
      <c r="T30" s="26">
        <f>COUNTIFS(Daten!H:H,C30,Daten!E:E,"BUY",Daten!L:L,"&lt;0")</f>
        <v>1</v>
      </c>
      <c r="U30" s="26">
        <f>COUNTIFS(Daten!H:H,C30,Daten!E:E,"SELL",Daten!L:L,"&lt;0")</f>
        <v>0</v>
      </c>
      <c r="V30" s="7">
        <f>IF(S30&gt;0,R30/S30,0)</f>
        <v>0</v>
      </c>
      <c r="W30" s="7">
        <f>IF(K30="GESCHLOSSEN",
J30/(G30+I30),
IF(K30="OFFEN",
((H30+M30*F30)-G30-I30)/G30,
""))</f>
        <v>2.6153926899999989E-2</v>
      </c>
    </row>
    <row r="31" spans="1:23" x14ac:dyDescent="0.25">
      <c r="A31" s="9" t="s">
        <v>747</v>
      </c>
      <c r="B31" s="5" t="s">
        <v>32</v>
      </c>
      <c r="C31" s="5" t="s">
        <v>748</v>
      </c>
      <c r="D31" s="5">
        <f>SUMIFS(Daten!I:I,Daten!H:H,C31,Daten!E:E,"BUY")</f>
        <v>7.1999240000000002</v>
      </c>
      <c r="E31" s="5">
        <f>-SUMIFS(Daten!I:I,Daten!H:H,C31,Daten!E:E,"SELL")</f>
        <v>0</v>
      </c>
      <c r="F31" s="5">
        <f>D31-E31</f>
        <v>7.1999240000000002</v>
      </c>
      <c r="G31" s="6">
        <f>-SUMIFS(Daten!K:K,Daten!H:H,C31,Daten!E:E,"BUY")</f>
        <v>527.53</v>
      </c>
      <c r="H31" s="6">
        <f>SUMIFS(Daten!K:K,Daten!H:H,C31,Daten!E:E,"SELL")</f>
        <v>0</v>
      </c>
      <c r="I31" s="6">
        <f>SUMIFS(Daten!L:L,Daten!H:H,C31)*-1</f>
        <v>6</v>
      </c>
      <c r="J31" s="6">
        <f>H31-G31-I31</f>
        <v>-533.53</v>
      </c>
      <c r="K31" s="5" t="str">
        <f>IF(F31&gt;0,"OFFEN","GESCHLOSSEN")</f>
        <v>OFFEN</v>
      </c>
      <c r="L31">
        <v>74.099999999999994</v>
      </c>
      <c r="M31">
        <v>62.87</v>
      </c>
      <c r="N31" s="21">
        <f>IF(K31="GESCHLOSSEN",
0,
IF(K31="OFFEN",
((M31*F31)-(L31*F31)),
""))</f>
        <v>-80.855146519999948</v>
      </c>
      <c r="O31" s="6">
        <f>IF(F31&gt;0,F31*M31,0)</f>
        <v>452.65922188000002</v>
      </c>
      <c r="P31" s="6">
        <f>IF(F31&gt;0,F31*L31,0)</f>
        <v>533.51436839999997</v>
      </c>
      <c r="Q31" s="7">
        <f>IF(K31="GESCHLOSSEN",
0,
IF(K31="OFFEN",
(N31/(L31*F31))))</f>
        <v>-0.15155195681511463</v>
      </c>
      <c r="R31" s="6">
        <f>IF(K31="GESCHLOSSEN",
H31-G31-I31 + SUMIFS(Daten!K:K,Daten!H:H,C31,Daten!E:E,"DIVIDEND"),
IF(K31="OFFEN",
IF(E31=0,
0,
H31+SUMIFS(Daten!K:K,Daten!H:H,C31,Daten!E:E,"DIVIDEND")-(G31-(F31*L31))-I31
),
""))</f>
        <v>0</v>
      </c>
      <c r="S31" s="6">
        <f>IF(E31=0,
0,
(G31-(F31*L31))+I31
)</f>
        <v>0</v>
      </c>
      <c r="T31" s="26">
        <f>COUNTIFS(Daten!H:H,C31,Daten!E:E,"BUY",Daten!L:L,"&lt;0")</f>
        <v>6</v>
      </c>
      <c r="U31" s="26">
        <f>COUNTIFS(Daten!H:H,C31,Daten!E:E,"SELL",Daten!L:L,"&lt;0")</f>
        <v>0</v>
      </c>
      <c r="V31" s="7">
        <f>IF(S31&gt;0,R31/S31,0)</f>
        <v>0</v>
      </c>
      <c r="W31" s="7">
        <f>IF(K31="GESCHLOSSEN",
J31/(G31+I31),
IF(K31="OFFEN",
((H31+M31*F31)-G31-I31)/G31,
""))</f>
        <v>-0.15330081345136762</v>
      </c>
    </row>
    <row r="32" spans="1:23" x14ac:dyDescent="0.25">
      <c r="A32" s="9" t="s">
        <v>1011</v>
      </c>
      <c r="B32" s="5" t="s">
        <v>464</v>
      </c>
      <c r="C32" s="5" t="s">
        <v>1012</v>
      </c>
      <c r="D32" s="5">
        <f>SUMIFS(Daten!I:I,Daten!H:H,C32,Daten!E:E,"BUY")</f>
        <v>8.7359650000000002</v>
      </c>
      <c r="E32" s="5">
        <f>-SUMIFS(Daten!I:I,Daten!H:H,C32,Daten!E:E,"SELL")</f>
        <v>0</v>
      </c>
      <c r="F32" s="5">
        <f>D32-E32</f>
        <v>8.7359650000000002</v>
      </c>
      <c r="G32" s="6">
        <f>-SUMIFS(Daten!K:K,Daten!H:H,C32,Daten!E:E,"BUY")</f>
        <v>400.01</v>
      </c>
      <c r="H32" s="6">
        <f>SUMIFS(Daten!K:K,Daten!H:H,C32,Daten!E:E,"SELL")</f>
        <v>0</v>
      </c>
      <c r="I32" s="6">
        <f>SUMIFS(Daten!L:L,Daten!H:H,C32)*-1</f>
        <v>3</v>
      </c>
      <c r="J32" s="6">
        <f>H32-G32-I32</f>
        <v>-403.01</v>
      </c>
      <c r="K32" s="5" t="str">
        <f>IF(F32&gt;0,"OFFEN","GESCHLOSSEN")</f>
        <v>OFFEN</v>
      </c>
      <c r="L32">
        <v>46.13</v>
      </c>
      <c r="M32">
        <v>40.409999999999997</v>
      </c>
      <c r="N32" s="21">
        <f>IF(K32="GESCHLOSSEN",
0,
IF(K32="OFFEN",
((M32*F32)-(L32*F32)),
""))</f>
        <v>-49.969719800000064</v>
      </c>
      <c r="O32" s="6">
        <f>IF(F32&gt;0,F32*M32,0)</f>
        <v>353.02034564999997</v>
      </c>
      <c r="P32" s="6">
        <f>IF(F32&gt;0,F32*L32,0)</f>
        <v>402.99006545000003</v>
      </c>
      <c r="Q32" s="7">
        <f>IF(K32="GESCHLOSSEN",
0,
IF(K32="OFFEN",
(N32/(L32*F32))))</f>
        <v>-0.1239973986559724</v>
      </c>
      <c r="R32" s="6">
        <f>IF(K32="GESCHLOSSEN",
H32-G32-I32 + SUMIFS(Daten!K:K,Daten!H:H,C32,Daten!E:E,"DIVIDEND"),
IF(K32="OFFEN",
IF(E32=0,
0,
H32+SUMIFS(Daten!K:K,Daten!H:H,C32,Daten!E:E,"DIVIDEND")-(G32-(F32*L32))-I32
),
""))</f>
        <v>0</v>
      </c>
      <c r="S32" s="6">
        <f>IF(E32=0,
0,
(G32-(F32*L32))+I32
)</f>
        <v>0</v>
      </c>
      <c r="T32" s="26">
        <f>COUNTIFS(Daten!H:H,C32,Daten!E:E,"BUY",Daten!L:L,"&lt;0")</f>
        <v>3</v>
      </c>
      <c r="U32" s="26">
        <f>COUNTIFS(Daten!H:H,C32,Daten!E:E,"SELL",Daten!L:L,"&lt;0")</f>
        <v>0</v>
      </c>
      <c r="V32" s="7">
        <f>IF(S32&gt;0,R32/S32,0)</f>
        <v>0</v>
      </c>
      <c r="W32" s="7">
        <f>IF(K32="GESCHLOSSEN",
J32/(G32+I32),
IF(K32="OFFEN",
((H32+M32*F32)-G32-I32)/G32,
""))</f>
        <v>-0.12497101159971007</v>
      </c>
    </row>
    <row r="33" spans="1:23" x14ac:dyDescent="0.25">
      <c r="A33" s="9" t="s">
        <v>1182</v>
      </c>
      <c r="B33" s="5" t="s">
        <v>32</v>
      </c>
      <c r="C33" s="5" t="s">
        <v>1183</v>
      </c>
      <c r="D33" s="5">
        <f>SUMIFS(Daten!I:I,Daten!H:H,C33,Daten!E:E,"BUY")</f>
        <v>6.7689640000000004</v>
      </c>
      <c r="E33" s="5">
        <f>-SUMIFS(Daten!I:I,Daten!H:H,C33,Daten!E:E,"SELL")</f>
        <v>0</v>
      </c>
      <c r="F33" s="5">
        <f>D33-E33</f>
        <v>6.7689640000000004</v>
      </c>
      <c r="G33" s="6">
        <f>-SUMIFS(Daten!K:K,Daten!H:H,C33,Daten!E:E,"BUY")</f>
        <v>239.51</v>
      </c>
      <c r="H33" s="6">
        <f>SUMIFS(Daten!K:K,Daten!H:H,C33,Daten!E:E,"SELL")</f>
        <v>0</v>
      </c>
      <c r="I33" s="6">
        <f>SUMIFS(Daten!L:L,Daten!H:H,C33)*-1</f>
        <v>2</v>
      </c>
      <c r="J33" s="6">
        <f>H33-G33-I33</f>
        <v>-241.51</v>
      </c>
      <c r="K33" s="5" t="str">
        <f>IF(F33&gt;0,"OFFEN","GESCHLOSSEN")</f>
        <v>OFFEN</v>
      </c>
      <c r="L33">
        <v>35.68</v>
      </c>
      <c r="M33">
        <v>31.71</v>
      </c>
      <c r="N33" s="21">
        <f>IF(K33="GESCHLOSSEN",
0,
IF(K33="OFFEN",
((M33*F33)-(L33*F33)),
""))</f>
        <v>-26.872787079999995</v>
      </c>
      <c r="O33" s="6">
        <f>IF(F33&gt;0,F33*M33,0)</f>
        <v>214.64384844000003</v>
      </c>
      <c r="P33" s="6">
        <f>IF(F33&gt;0,F33*L33,0)</f>
        <v>241.51663552000002</v>
      </c>
      <c r="Q33" s="7">
        <f>IF(K33="GESCHLOSSEN",
0,
IF(K33="OFFEN",
(N33/(L33*F33))))</f>
        <v>-0.11126681614349773</v>
      </c>
      <c r="R33" s="6">
        <f>IF(K33="GESCHLOSSEN",
H33-G33-I33 + SUMIFS(Daten!K:K,Daten!H:H,C33,Daten!E:E,"DIVIDEND"),
IF(K33="OFFEN",
IF(E33=0,
0,
H33+SUMIFS(Daten!K:K,Daten!H:H,C33,Daten!E:E,"DIVIDEND")-(G33-(F33*L33))-I33
),
""))</f>
        <v>0</v>
      </c>
      <c r="S33" s="6">
        <f>IF(E33=0,
0,
(G33-(F33*L33))+I33
)</f>
        <v>0</v>
      </c>
      <c r="T33" s="26">
        <f>COUNTIFS(Daten!H:H,C33,Daten!E:E,"BUY",Daten!L:L,"&lt;0")</f>
        <v>2</v>
      </c>
      <c r="U33" s="26">
        <f>COUNTIFS(Daten!H:H,C33,Daten!E:E,"SELL",Daten!L:L,"&lt;0")</f>
        <v>0</v>
      </c>
      <c r="V33" s="7">
        <f>IF(S33&gt;0,R33/S33,0)</f>
        <v>0</v>
      </c>
      <c r="W33" s="7">
        <f>IF(K33="GESCHLOSSEN",
J33/(G33+I33),
IF(K33="OFFEN",
((H33+M33*F33)-G33-I33)/G33,
""))</f>
        <v>-0.11217131460064284</v>
      </c>
    </row>
    <row r="34" spans="1:23" x14ac:dyDescent="0.25">
      <c r="A34" s="9" t="s">
        <v>40</v>
      </c>
      <c r="B34" s="5" t="s">
        <v>32</v>
      </c>
      <c r="C34" s="5" t="s">
        <v>41</v>
      </c>
      <c r="D34" s="5">
        <f>SUMIFS(Daten!I:I,Daten!H:H,C34,Daten!E:E,"BUY")</f>
        <v>1.3543989999999999</v>
      </c>
      <c r="E34" s="5">
        <f>-SUMIFS(Daten!I:I,Daten!H:H,C34,Daten!E:E,"SELL")</f>
        <v>1.3543989999999999</v>
      </c>
      <c r="F34" s="5">
        <f>D34-E34</f>
        <v>0</v>
      </c>
      <c r="G34" s="6">
        <f>-SUMIFS(Daten!K:K,Daten!H:H,C34,Daten!E:E,"BUY")</f>
        <v>196</v>
      </c>
      <c r="H34" s="6">
        <f>SUMIFS(Daten!K:K,Daten!H:H,C34,Daten!E:E,"SELL")</f>
        <v>205.19</v>
      </c>
      <c r="I34" s="6">
        <f>SUMIFS(Daten!L:L,Daten!H:H,C34)*-1</f>
        <v>4</v>
      </c>
      <c r="J34" s="6">
        <f>H34-G34-I34</f>
        <v>5.1899999999999977</v>
      </c>
      <c r="K34" s="5" t="str">
        <f>IF(F34&gt;0,"OFFEN","GESCHLOSSEN")</f>
        <v>GESCHLOSSEN</v>
      </c>
      <c r="L34">
        <v>0</v>
      </c>
      <c r="M34">
        <v>0</v>
      </c>
      <c r="N34" s="21">
        <f>IF(K34="GESCHLOSSEN",
0,
IF(K34="OFFEN",
((M34*F34)-(L34*F34)),
""))</f>
        <v>0</v>
      </c>
      <c r="O34" s="6">
        <f>IF(F34&gt;0,F34*M34,0)</f>
        <v>0</v>
      </c>
      <c r="P34" s="6">
        <f>IF(F34&gt;0,F34*L34,0)</f>
        <v>0</v>
      </c>
      <c r="Q34" s="7">
        <f>IF(K34="GESCHLOSSEN",
0,
IF(K34="OFFEN",
(N34/(L34*F34))))</f>
        <v>0</v>
      </c>
      <c r="R34" s="6">
        <f>IF(K34="GESCHLOSSEN",
H34-G34-I34 + SUMIFS(Daten!K:K,Daten!H:H,C34,Daten!E:E,"DIVIDEND"),
IF(K34="OFFEN",
IF(E34=0,
0,
H34+SUMIFS(Daten!K:K,Daten!H:H,C34,Daten!E:E,"DIVIDEND")-(G34-(F34*L34))-I34
),
""))</f>
        <v>5.1999999999999975</v>
      </c>
      <c r="S34" s="6">
        <f>IF(E34=0,
0,
(G34-(F34*L34))+I34
)</f>
        <v>200</v>
      </c>
      <c r="T34" s="26">
        <f>COUNTIFS(Daten!H:H,C34,Daten!E:E,"BUY",Daten!L:L,"&lt;0")</f>
        <v>2</v>
      </c>
      <c r="U34" s="26">
        <f>COUNTIFS(Daten!H:H,C34,Daten!E:E,"SELL",Daten!L:L,"&lt;0")</f>
        <v>2</v>
      </c>
      <c r="V34" s="7">
        <f>IF(S34&gt;0,R34/S34,0)</f>
        <v>2.5999999999999988E-2</v>
      </c>
      <c r="W34" s="7">
        <f>IF(K34="GESCHLOSSEN",
J34/(G34+I34),
IF(K34="OFFEN",
((H34+M34*F34)-G34-I34)/G34,
""))</f>
        <v>2.5949999999999987E-2</v>
      </c>
    </row>
    <row r="35" spans="1:23" x14ac:dyDescent="0.25">
      <c r="A35" s="9" t="s">
        <v>95</v>
      </c>
      <c r="B35" s="5" t="s">
        <v>32</v>
      </c>
      <c r="C35" s="5" t="s">
        <v>96</v>
      </c>
      <c r="D35" s="5">
        <f>SUMIFS(Daten!I:I,Daten!H:H,C35,Daten!E:E,"BUY")</f>
        <v>1.052408</v>
      </c>
      <c r="E35" s="5">
        <f>-SUMIFS(Daten!I:I,Daten!H:H,C35,Daten!E:E,"SELL")</f>
        <v>1.052408</v>
      </c>
      <c r="F35" s="5">
        <f>D35-E35</f>
        <v>0</v>
      </c>
      <c r="G35" s="6">
        <f>-SUMIFS(Daten!K:K,Daten!H:H,C35,Daten!E:E,"BUY")</f>
        <v>149</v>
      </c>
      <c r="H35" s="6">
        <f>SUMIFS(Daten!K:K,Daten!H:H,C35,Daten!E:E,"SELL")</f>
        <v>161.5</v>
      </c>
      <c r="I35" s="6">
        <f>SUMIFS(Daten!L:L,Daten!H:H,C35)*-1</f>
        <v>2</v>
      </c>
      <c r="J35" s="6">
        <f>H35-G35-I35</f>
        <v>10.5</v>
      </c>
      <c r="K35" s="5" t="str">
        <f>IF(F35&gt;0,"OFFEN","GESCHLOSSEN")</f>
        <v>GESCHLOSSEN</v>
      </c>
      <c r="L35">
        <v>0</v>
      </c>
      <c r="M35">
        <v>0</v>
      </c>
      <c r="N35" s="21">
        <f>IF(K35="GESCHLOSSEN",
0,
IF(K35="OFFEN",
((M35*F35)-(L35*F35)),
""))</f>
        <v>0</v>
      </c>
      <c r="O35" s="6">
        <f>IF(F35&gt;0,F35*M35,0)</f>
        <v>0</v>
      </c>
      <c r="P35" s="6">
        <f>IF(F35&gt;0,F35*L35,0)</f>
        <v>0</v>
      </c>
      <c r="Q35" s="7">
        <f>IF(K35="GESCHLOSSEN",
0,
IF(K35="OFFEN",
(N35/(L35*F35))))</f>
        <v>0</v>
      </c>
      <c r="R35" s="6">
        <f>IF(K35="GESCHLOSSEN",
H35-G35-I35 + SUMIFS(Daten!K:K,Daten!H:H,C35,Daten!E:E,"DIVIDEND"),
IF(K35="OFFEN",
IF(E35=0,
0,
H35+SUMIFS(Daten!K:K,Daten!H:H,C35,Daten!E:E,"DIVIDEND")-(G35-(F35*L35))-I35
),
""))</f>
        <v>10.5</v>
      </c>
      <c r="S35" s="6">
        <f>IF(E35=0,
0,
(G35-(F35*L35))+I35
)</f>
        <v>151</v>
      </c>
      <c r="T35" s="26">
        <f>COUNTIFS(Daten!H:H,C35,Daten!E:E,"BUY",Daten!L:L,"&lt;0")</f>
        <v>1</v>
      </c>
      <c r="U35" s="26">
        <f>COUNTIFS(Daten!H:H,C35,Daten!E:E,"SELL",Daten!L:L,"&lt;0")</f>
        <v>1</v>
      </c>
      <c r="V35" s="7">
        <f>IF(S35&gt;0,R35/S35,0)</f>
        <v>6.9536423841059597E-2</v>
      </c>
      <c r="W35" s="7">
        <f>IF(K35="GESCHLOSSEN",
J35/(G35+I35),
IF(K35="OFFEN",
((H35+M35*F35)-G35-I35)/G35,
""))</f>
        <v>6.9536423841059597E-2</v>
      </c>
    </row>
    <row r="36" spans="1:23" x14ac:dyDescent="0.25">
      <c r="A36" s="9" t="s">
        <v>640</v>
      </c>
      <c r="B36" s="5" t="s">
        <v>32</v>
      </c>
      <c r="C36" s="5" t="s">
        <v>641</v>
      </c>
      <c r="D36" s="5">
        <f>SUMIFS(Daten!I:I,Daten!H:H,C36,Daten!E:E,"BUY")</f>
        <v>63.615581999999996</v>
      </c>
      <c r="E36" s="5">
        <f>-SUMIFS(Daten!I:I,Daten!H:H,C36,Daten!E:E,"SELL")</f>
        <v>63.615581999999996</v>
      </c>
      <c r="F36" s="5">
        <f>D36-E36</f>
        <v>0</v>
      </c>
      <c r="G36" s="6">
        <f>-SUMIFS(Daten!K:K,Daten!H:H,C36,Daten!E:E,"BUY")</f>
        <v>600</v>
      </c>
      <c r="H36" s="6">
        <f>SUMIFS(Daten!K:K,Daten!H:H,C36,Daten!E:E,"SELL")</f>
        <v>633.09999999999991</v>
      </c>
      <c r="I36" s="6">
        <f>SUMIFS(Daten!L:L,Daten!H:H,C36)*-1</f>
        <v>5</v>
      </c>
      <c r="J36" s="6">
        <f>H36-G36-I36</f>
        <v>28.099999999999909</v>
      </c>
      <c r="K36" s="5" t="str">
        <f>IF(F36&gt;0,"OFFEN","GESCHLOSSEN")</f>
        <v>GESCHLOSSEN</v>
      </c>
      <c r="L36">
        <v>0</v>
      </c>
      <c r="M36">
        <v>0</v>
      </c>
      <c r="N36" s="21">
        <f>IF(K36="GESCHLOSSEN",
0,
IF(K36="OFFEN",
((M36*F36)-(L36*F36)),
""))</f>
        <v>0</v>
      </c>
      <c r="O36" s="6">
        <f>IF(F36&gt;0,F36*M36,0)</f>
        <v>0</v>
      </c>
      <c r="P36" s="6">
        <f>IF(F36&gt;0,F36*L36,0)</f>
        <v>0</v>
      </c>
      <c r="Q36" s="7">
        <f>IF(K36="GESCHLOSSEN",
0,
IF(K36="OFFEN",
(N36/(L36*F36))))</f>
        <v>0</v>
      </c>
      <c r="R36" s="6">
        <f>IF(K36="GESCHLOSSEN",
H36-G36-I36 + SUMIFS(Daten!K:K,Daten!H:H,C36,Daten!E:E,"DIVIDEND"),
IF(K36="OFFEN",
IF(E36=0,
0,
H36+SUMIFS(Daten!K:K,Daten!H:H,C36,Daten!E:E,"DIVIDEND")-(G36-(F36*L36))-I36
),
""))</f>
        <v>28.099999999999909</v>
      </c>
      <c r="S36" s="6">
        <f>IF(E36=0,
0,
(G36-(F36*L36))+I36
)</f>
        <v>605</v>
      </c>
      <c r="T36" s="26">
        <f>COUNTIFS(Daten!H:H,C36,Daten!E:E,"BUY",Daten!L:L,"&lt;0")</f>
        <v>3</v>
      </c>
      <c r="U36" s="26">
        <f>COUNTIFS(Daten!H:H,C36,Daten!E:E,"SELL",Daten!L:L,"&lt;0")</f>
        <v>2</v>
      </c>
      <c r="V36" s="7">
        <f>IF(S36&gt;0,R36/S36,0)</f>
        <v>4.6446280991735388E-2</v>
      </c>
      <c r="W36" s="7">
        <f>IF(K36="GESCHLOSSEN",
J36/(G36+I36),
IF(K36="OFFEN",
((H36+M36*F36)-G36-I36)/G36,
""))</f>
        <v>4.6446280991735388E-2</v>
      </c>
    </row>
    <row r="37" spans="1:23" x14ac:dyDescent="0.25">
      <c r="A37" s="9" t="s">
        <v>864</v>
      </c>
      <c r="B37" s="5" t="s">
        <v>32</v>
      </c>
      <c r="C37" s="5" t="s">
        <v>865</v>
      </c>
      <c r="D37" s="5">
        <f>SUMIFS(Daten!I:I,Daten!H:H,C37,Daten!E:E,"BUY")</f>
        <v>9.0826519999999995</v>
      </c>
      <c r="E37" s="5">
        <f>-SUMIFS(Daten!I:I,Daten!H:H,C37,Daten!E:E,"SELL")</f>
        <v>9.0826519999999995</v>
      </c>
      <c r="F37" s="5">
        <f>D37-E37</f>
        <v>0</v>
      </c>
      <c r="G37" s="6">
        <f>-SUMIFS(Daten!K:K,Daten!H:H,C37,Daten!E:E,"BUY")</f>
        <v>200</v>
      </c>
      <c r="H37" s="6">
        <f>SUMIFS(Daten!K:K,Daten!H:H,C37,Daten!E:E,"SELL")</f>
        <v>202.27</v>
      </c>
      <c r="I37" s="6">
        <f>SUMIFS(Daten!L:L,Daten!H:H,C37)*-1</f>
        <v>2</v>
      </c>
      <c r="J37" s="6">
        <f>H37-G37-I37</f>
        <v>0.27000000000001023</v>
      </c>
      <c r="K37" s="5" t="str">
        <f>IF(F37&gt;0,"OFFEN","GESCHLOSSEN")</f>
        <v>GESCHLOSSEN</v>
      </c>
      <c r="L37">
        <v>0</v>
      </c>
      <c r="M37">
        <v>0</v>
      </c>
      <c r="N37" s="21">
        <f>IF(K37="GESCHLOSSEN",
0,
IF(K37="OFFEN",
((M37*F37)-(L37*F37)),
""))</f>
        <v>0</v>
      </c>
      <c r="O37" s="6">
        <f>IF(F37&gt;0,F37*M37,0)</f>
        <v>0</v>
      </c>
      <c r="P37" s="6">
        <f>IF(F37&gt;0,F37*L37,0)</f>
        <v>0</v>
      </c>
      <c r="Q37" s="7">
        <f>IF(K37="GESCHLOSSEN",
0,
IF(K37="OFFEN",
(N37/(L37*F37))))</f>
        <v>0</v>
      </c>
      <c r="R37" s="6">
        <f>IF(K37="GESCHLOSSEN",
H37-G37-I37 + SUMIFS(Daten!K:K,Daten!H:H,C37,Daten!E:E,"DIVIDEND"),
IF(K37="OFFEN",
IF(E37=0,
0,
H37+SUMIFS(Daten!K:K,Daten!H:H,C37,Daten!E:E,"DIVIDEND")-(G37-(F37*L37))-I37
),
""))</f>
        <v>0.27000000000001023</v>
      </c>
      <c r="S37" s="6">
        <f>IF(E37=0,
0,
(G37-(F37*L37))+I37
)</f>
        <v>202</v>
      </c>
      <c r="T37" s="26">
        <f>COUNTIFS(Daten!H:H,C37,Daten!E:E,"BUY",Daten!L:L,"&lt;0")</f>
        <v>1</v>
      </c>
      <c r="U37" s="26">
        <f>COUNTIFS(Daten!H:H,C37,Daten!E:E,"SELL",Daten!L:L,"&lt;0")</f>
        <v>1</v>
      </c>
      <c r="V37" s="7">
        <f>IF(S37&gt;0,R37/S37,0)</f>
        <v>1.3366336633663873E-3</v>
      </c>
      <c r="W37" s="7">
        <f>IF(K37="GESCHLOSSEN",
J37/(G37+I37),
IF(K37="OFFEN",
((H37+M37*F37)-G37-I37)/G37,
""))</f>
        <v>1.3366336633663873E-3</v>
      </c>
    </row>
    <row r="38" spans="1:23" x14ac:dyDescent="0.25">
      <c r="A38" s="9" t="s">
        <v>205</v>
      </c>
      <c r="B38" s="5" t="s">
        <v>32</v>
      </c>
      <c r="C38" s="5" t="s">
        <v>206</v>
      </c>
      <c r="D38" s="5">
        <f>SUMIFS(Daten!I:I,Daten!H:H,C38,Daten!E:E,"BUY")</f>
        <v>99.269513000000003</v>
      </c>
      <c r="E38" s="5">
        <f>-SUMIFS(Daten!I:I,Daten!H:H,C38,Daten!E:E,"SELL")</f>
        <v>99.269513000000003</v>
      </c>
      <c r="F38" s="5">
        <f>D38-E38</f>
        <v>0</v>
      </c>
      <c r="G38" s="6">
        <f>-SUMIFS(Daten!K:K,Daten!H:H,C38,Daten!E:E,"BUY")</f>
        <v>268</v>
      </c>
      <c r="H38" s="6">
        <f>SUMIFS(Daten!K:K,Daten!H:H,C38,Daten!E:E,"SELL")</f>
        <v>279.45</v>
      </c>
      <c r="I38" s="6">
        <f>SUMIFS(Daten!L:L,Daten!H:H,C38)*-1</f>
        <v>5</v>
      </c>
      <c r="J38" s="6">
        <f>H38-G38-I38</f>
        <v>6.4499999999999886</v>
      </c>
      <c r="K38" s="5" t="str">
        <f>IF(F38&gt;0,"OFFEN","GESCHLOSSEN")</f>
        <v>GESCHLOSSEN</v>
      </c>
      <c r="L38">
        <v>0</v>
      </c>
      <c r="M38">
        <v>0</v>
      </c>
      <c r="N38" s="21">
        <f>IF(K38="GESCHLOSSEN",
0,
IF(K38="OFFEN",
((M38*F38)-(L38*F38)),
""))</f>
        <v>0</v>
      </c>
      <c r="O38" s="6">
        <f>IF(F38&gt;0,F38*M38,0)</f>
        <v>0</v>
      </c>
      <c r="P38" s="6">
        <f>IF(F38&gt;0,F38*L38,0)</f>
        <v>0</v>
      </c>
      <c r="Q38" s="7">
        <f>IF(K38="GESCHLOSSEN",
0,
IF(K38="OFFEN",
(N38/(L38*F38))))</f>
        <v>0</v>
      </c>
      <c r="R38" s="6">
        <f>IF(K38="GESCHLOSSEN",
H38-G38-I38 + SUMIFS(Daten!K:K,Daten!H:H,C38,Daten!E:E,"DIVIDEND"),
IF(K38="OFFEN",
IF(E38=0,
0,
H38+SUMIFS(Daten!K:K,Daten!H:H,C38,Daten!E:E,"DIVIDEND")-(G38-(F38*L38))-I38
),
""))</f>
        <v>6.4499999999999886</v>
      </c>
      <c r="S38" s="6">
        <f>IF(E38=0,
0,
(G38-(F38*L38))+I38
)</f>
        <v>273</v>
      </c>
      <c r="T38" s="26">
        <f>COUNTIFS(Daten!H:H,C38,Daten!E:E,"BUY",Daten!L:L,"&lt;0")</f>
        <v>4</v>
      </c>
      <c r="U38" s="26">
        <f>COUNTIFS(Daten!H:H,C38,Daten!E:E,"SELL",Daten!L:L,"&lt;0")</f>
        <v>1</v>
      </c>
      <c r="V38" s="7">
        <f>IF(S38&gt;0,R38/S38,0)</f>
        <v>2.3626373626373584E-2</v>
      </c>
      <c r="W38" s="7">
        <f>IF(K38="GESCHLOSSEN",
J38/(G38+I38),
IF(K38="OFFEN",
((H38+M38*F38)-G38-I38)/G38,
""))</f>
        <v>2.3626373626373584E-2</v>
      </c>
    </row>
    <row r="39" spans="1:23" x14ac:dyDescent="0.25">
      <c r="A39" s="9" t="s">
        <v>118</v>
      </c>
      <c r="B39" s="5" t="s">
        <v>64</v>
      </c>
      <c r="C39" s="5" t="s">
        <v>119</v>
      </c>
      <c r="D39" s="5">
        <f>SUMIFS(Daten!I:I,Daten!H:H,C39,Daten!E:E,"BUY")</f>
        <v>80.193626999999992</v>
      </c>
      <c r="E39" s="5">
        <f>-SUMIFS(Daten!I:I,Daten!H:H,C39,Daten!E:E,"SELL")</f>
        <v>0</v>
      </c>
      <c r="F39" s="5">
        <f>D39-E39</f>
        <v>80.193626999999992</v>
      </c>
      <c r="G39" s="6">
        <f>-SUMIFS(Daten!K:K,Daten!H:H,C39,Daten!E:E,"BUY")</f>
        <v>112.99</v>
      </c>
      <c r="H39" s="6">
        <f>SUMIFS(Daten!K:K,Daten!H:H,C39,Daten!E:E,"SELL")</f>
        <v>0</v>
      </c>
      <c r="I39" s="6">
        <f>SUMIFS(Daten!L:L,Daten!H:H,C39)*-1</f>
        <v>5</v>
      </c>
      <c r="J39" s="6">
        <f>H39-G39-I39</f>
        <v>-117.99</v>
      </c>
      <c r="K39" s="5" t="str">
        <f>IF(F39&gt;0,"OFFEN","GESCHLOSSEN")</f>
        <v>OFFEN</v>
      </c>
      <c r="L39">
        <v>1.4710000000000001</v>
      </c>
      <c r="M39">
        <v>1.0169999999999999</v>
      </c>
      <c r="N39" s="21">
        <f>IF(K39="GESCHLOSSEN",
0,
IF(K39="OFFEN",
((M39*F39)-(L39*F39)),
""))</f>
        <v>-36.407906658000002</v>
      </c>
      <c r="O39" s="6">
        <f>IF(F39&gt;0,F39*M39,0)</f>
        <v>81.55691865899999</v>
      </c>
      <c r="P39" s="6">
        <f>IF(F39&gt;0,F39*L39,0)</f>
        <v>117.96482531699999</v>
      </c>
      <c r="Q39" s="7">
        <f>IF(K39="GESCHLOSSEN",
0,
IF(K39="OFFEN",
(N39/(L39*F39))))</f>
        <v>-0.3086335825968729</v>
      </c>
      <c r="R39" s="6">
        <f>IF(K39="GESCHLOSSEN",
H39-G39-I39 + SUMIFS(Daten!K:K,Daten!H:H,C39,Daten!E:E,"DIVIDEND"),
IF(K39="OFFEN",
IF(E39=0,
0,
H39+SUMIFS(Daten!K:K,Daten!H:H,C39,Daten!E:E,"DIVIDEND")-(G39-(F39*L39))-I39
),
""))</f>
        <v>0</v>
      </c>
      <c r="S39" s="6">
        <f>IF(E39=0,
0,
(G39-(F39*L39))+I39
)</f>
        <v>0</v>
      </c>
      <c r="T39" s="26">
        <f>COUNTIFS(Daten!H:H,C39,Daten!E:E,"BUY",Daten!L:L,"&lt;0")</f>
        <v>5</v>
      </c>
      <c r="U39" s="26">
        <f>COUNTIFS(Daten!H:H,C39,Daten!E:E,"SELL",Daten!L:L,"&lt;0")</f>
        <v>0</v>
      </c>
      <c r="V39" s="7">
        <f>IF(S39&gt;0,R39/S39,0)</f>
        <v>0</v>
      </c>
      <c r="W39" s="7">
        <f>IF(K39="GESCHLOSSEN",
J39/(G39+I39),
IF(K39="OFFEN",
((H39+M39*F39)-G39-I39)/G39,
""))</f>
        <v>-0.32244518400743433</v>
      </c>
    </row>
    <row r="40" spans="1:23" x14ac:dyDescent="0.25">
      <c r="A40" s="9" t="s">
        <v>355</v>
      </c>
      <c r="B40" s="5" t="s">
        <v>64</v>
      </c>
      <c r="C40" s="5" t="s">
        <v>356</v>
      </c>
      <c r="D40" s="5">
        <f>SUMIFS(Daten!I:I,Daten!H:H,C40,Daten!E:E,"BUY")</f>
        <v>223.93145699999999</v>
      </c>
      <c r="E40" s="5">
        <f>-SUMIFS(Daten!I:I,Daten!H:H,C40,Daten!E:E,"SELL")</f>
        <v>0</v>
      </c>
      <c r="F40" s="5">
        <f>D40-E40</f>
        <v>223.93145699999999</v>
      </c>
      <c r="G40" s="6">
        <f>-SUMIFS(Daten!K:K,Daten!H:H,C40,Daten!E:E,"BUY")</f>
        <v>23</v>
      </c>
      <c r="H40" s="6">
        <f>SUMIFS(Daten!K:K,Daten!H:H,C40,Daten!E:E,"SELL")</f>
        <v>0</v>
      </c>
      <c r="I40" s="6">
        <f>SUMIFS(Daten!L:L,Daten!H:H,C40)*-1</f>
        <v>1</v>
      </c>
      <c r="J40" s="6">
        <f>H40-G40-I40</f>
        <v>-24</v>
      </c>
      <c r="K40" s="5" t="str">
        <f>IF(F40&gt;0,"OFFEN","GESCHLOSSEN")</f>
        <v>OFFEN</v>
      </c>
      <c r="L40">
        <v>0.1072</v>
      </c>
      <c r="M40">
        <v>9.5924999999999996E-2</v>
      </c>
      <c r="N40" s="21">
        <f>IF(K40="GESCHLOSSEN",
0,
IF(K40="OFFEN",
((M40*F40)-(L40*F40)),
""))</f>
        <v>-2.5248271776750002</v>
      </c>
      <c r="O40" s="6">
        <f>IF(F40&gt;0,F40*M40,0)</f>
        <v>21.480625012725</v>
      </c>
      <c r="P40" s="6">
        <f>IF(F40&gt;0,F40*L40,0)</f>
        <v>24.0054521904</v>
      </c>
      <c r="Q40" s="7">
        <f>IF(K40="GESCHLOSSEN",
0,
IF(K40="OFFEN",
(N40/(L40*F40))))</f>
        <v>-0.10517723880597016</v>
      </c>
      <c r="R40" s="6">
        <f>IF(K40="GESCHLOSSEN",
H40-G40-I40 + SUMIFS(Daten!K:K,Daten!H:H,C40,Daten!E:E,"DIVIDEND"),
IF(K40="OFFEN",
IF(E40=0,
0,
H40+SUMIFS(Daten!K:K,Daten!H:H,C40,Daten!E:E,"DIVIDEND")-(G40-(F40*L40))-I40
),
""))</f>
        <v>0</v>
      </c>
      <c r="S40" s="6">
        <f>IF(E40=0,
0,
(G40-(F40*L40))+I40
)</f>
        <v>0</v>
      </c>
      <c r="T40" s="26">
        <f>COUNTIFS(Daten!H:H,C40,Daten!E:E,"BUY",Daten!L:L,"&lt;0")</f>
        <v>1</v>
      </c>
      <c r="U40" s="26">
        <f>COUNTIFS(Daten!H:H,C40,Daten!E:E,"SELL",Daten!L:L,"&lt;0")</f>
        <v>0</v>
      </c>
      <c r="V40" s="7">
        <f>IF(S40&gt;0,R40/S40,0)</f>
        <v>0</v>
      </c>
      <c r="W40" s="7">
        <f>IF(K40="GESCHLOSSEN",
J40/(G40+I40),
IF(K40="OFFEN",
((H40+M40*F40)-G40-I40)/G40,
""))</f>
        <v>-0.10953804292500002</v>
      </c>
    </row>
    <row r="41" spans="1:23" x14ac:dyDescent="0.25">
      <c r="A41" s="9" t="s">
        <v>955</v>
      </c>
      <c r="B41" s="5" t="s">
        <v>464</v>
      </c>
      <c r="C41" s="5" t="s">
        <v>956</v>
      </c>
      <c r="D41" s="5">
        <f>SUMIFS(Daten!I:I,Daten!H:H,C41,Daten!E:E,"BUY")</f>
        <v>14.728630000000001</v>
      </c>
      <c r="E41" s="5">
        <f>-SUMIFS(Daten!I:I,Daten!H:H,C41,Daten!E:E,"SELL")</f>
        <v>0</v>
      </c>
      <c r="F41" s="5">
        <f>D41-E41</f>
        <v>14.728630000000001</v>
      </c>
      <c r="G41" s="6">
        <f>-SUMIFS(Daten!K:K,Daten!H:H,C41,Daten!E:E,"BUY")</f>
        <v>399.95</v>
      </c>
      <c r="H41" s="6">
        <f>SUMIFS(Daten!K:K,Daten!H:H,C41,Daten!E:E,"SELL")</f>
        <v>0</v>
      </c>
      <c r="I41" s="6">
        <f>SUMIFS(Daten!L:L,Daten!H:H,C41)*-1</f>
        <v>3</v>
      </c>
      <c r="J41" s="6">
        <f>H41-G41-I41</f>
        <v>-402.95</v>
      </c>
      <c r="K41" s="5" t="str">
        <f>IF(F41&gt;0,"OFFEN","GESCHLOSSEN")</f>
        <v>OFFEN</v>
      </c>
      <c r="L41">
        <v>27.36</v>
      </c>
      <c r="M41">
        <v>26.33</v>
      </c>
      <c r="N41" s="21">
        <f>IF(K41="GESCHLOSSEN",
0,
IF(K41="OFFEN",
((M41*F41)-(L41*F41)),
""))</f>
        <v>-15.170488900000009</v>
      </c>
      <c r="O41" s="6">
        <f>IF(F41&gt;0,F41*M41,0)</f>
        <v>387.80482790000002</v>
      </c>
      <c r="P41" s="6">
        <f>IF(F41&gt;0,F41*L41,0)</f>
        <v>402.97531680000003</v>
      </c>
      <c r="Q41" s="7">
        <f>IF(K41="GESCHLOSSEN",
0,
IF(K41="OFFEN",
(N41/(L41*F41))))</f>
        <v>-3.7646198830409379E-2</v>
      </c>
      <c r="R41" s="6">
        <f>IF(K41="GESCHLOSSEN",
H41-G41-I41 + SUMIFS(Daten!K:K,Daten!H:H,C41,Daten!E:E,"DIVIDEND"),
IF(K41="OFFEN",
IF(E41=0,
0,
H41+SUMIFS(Daten!K:K,Daten!H:H,C41,Daten!E:E,"DIVIDEND")-(G41-(F41*L41))-I41
),
""))</f>
        <v>0</v>
      </c>
      <c r="S41" s="6">
        <f>IF(E41=0,
0,
(G41-(F41*L41))+I41
)</f>
        <v>0</v>
      </c>
      <c r="T41" s="26">
        <f>COUNTIFS(Daten!H:H,C41,Daten!E:E,"BUY",Daten!L:L,"&lt;0")</f>
        <v>3</v>
      </c>
      <c r="U41" s="26">
        <f>COUNTIFS(Daten!H:H,C41,Daten!E:E,"SELL",Daten!L:L,"&lt;0")</f>
        <v>0</v>
      </c>
      <c r="V41" s="7">
        <f>IF(S41&gt;0,R41/S41,0)</f>
        <v>0</v>
      </c>
      <c r="W41" s="7">
        <f>IF(K41="GESCHLOSSEN",
J41/(G41+I41),
IF(K41="OFFEN",
((H41+M41*F41)-G41-I41)/G41,
""))</f>
        <v>-3.7867663707963413E-2</v>
      </c>
    </row>
    <row r="42" spans="1:23" x14ac:dyDescent="0.25">
      <c r="A42" s="9" t="s">
        <v>348</v>
      </c>
      <c r="B42" s="5" t="s">
        <v>32</v>
      </c>
      <c r="C42" s="5" t="s">
        <v>349</v>
      </c>
      <c r="D42" s="5">
        <f>SUMIFS(Daten!I:I,Daten!H:H,C42,Daten!E:E,"BUY")</f>
        <v>28.343948999999999</v>
      </c>
      <c r="E42" s="5">
        <f>-SUMIFS(Daten!I:I,Daten!H:H,C42,Daten!E:E,"SELL")</f>
        <v>28.343948999999999</v>
      </c>
      <c r="F42" s="5">
        <f>D42-E42</f>
        <v>0</v>
      </c>
      <c r="G42" s="6">
        <f>-SUMIFS(Daten!K:K,Daten!H:H,C42,Daten!E:E,"BUY")</f>
        <v>89</v>
      </c>
      <c r="H42" s="6">
        <f>SUMIFS(Daten!K:K,Daten!H:H,C42,Daten!E:E,"SELL")</f>
        <v>108.83999999999999</v>
      </c>
      <c r="I42" s="6">
        <f>SUMIFS(Daten!L:L,Daten!H:H,C42)*-1</f>
        <v>2</v>
      </c>
      <c r="J42" s="6">
        <f>H42-G42-I42</f>
        <v>17.839999999999989</v>
      </c>
      <c r="K42" s="5" t="str">
        <f>IF(F42&gt;0,"OFFEN","GESCHLOSSEN")</f>
        <v>GESCHLOSSEN</v>
      </c>
      <c r="L42">
        <v>0</v>
      </c>
      <c r="M42">
        <v>0</v>
      </c>
      <c r="N42" s="21">
        <f>IF(K42="GESCHLOSSEN",
0,
IF(K42="OFFEN",
((M42*F42)-(L42*F42)),
""))</f>
        <v>0</v>
      </c>
      <c r="O42" s="6">
        <f>IF(F42&gt;0,F42*M42,0)</f>
        <v>0</v>
      </c>
      <c r="P42" s="6">
        <f>IF(F42&gt;0,F42*L42,0)</f>
        <v>0</v>
      </c>
      <c r="Q42" s="7">
        <f>IF(K42="GESCHLOSSEN",
0,
IF(K42="OFFEN",
(N42/(L42*F42))))</f>
        <v>0</v>
      </c>
      <c r="R42" s="6">
        <f>IF(K42="GESCHLOSSEN",
H42-G42-I42 + SUMIFS(Daten!K:K,Daten!H:H,C42,Daten!E:E,"DIVIDEND"),
IF(K42="OFFEN",
IF(E42=0,
0,
H42+SUMIFS(Daten!K:K,Daten!H:H,C42,Daten!E:E,"DIVIDEND")-(G42-(F42*L42))-I42
),
""))</f>
        <v>17.839999999999989</v>
      </c>
      <c r="S42" s="6">
        <f>IF(E42=0,
0,
(G42-(F42*L42))+I42
)</f>
        <v>91</v>
      </c>
      <c r="T42" s="26">
        <f>COUNTIFS(Daten!H:H,C42,Daten!E:E,"BUY",Daten!L:L,"&lt;0")</f>
        <v>1</v>
      </c>
      <c r="U42" s="26">
        <f>COUNTIFS(Daten!H:H,C42,Daten!E:E,"SELL",Daten!L:L,"&lt;0")</f>
        <v>1</v>
      </c>
      <c r="V42" s="7">
        <f>IF(S42&gt;0,R42/S42,0)</f>
        <v>0.19604395604395591</v>
      </c>
      <c r="W42" s="7">
        <f>IF(K42="GESCHLOSSEN",
J42/(G42+I42),
IF(K42="OFFEN",
((H42+M42*F42)-G42-I42)/G42,
""))</f>
        <v>0.19604395604395591</v>
      </c>
    </row>
    <row r="43" spans="1:23" x14ac:dyDescent="0.25">
      <c r="A43" s="9" t="s">
        <v>328</v>
      </c>
      <c r="B43" s="5" t="s">
        <v>32</v>
      </c>
      <c r="C43" s="5" t="s">
        <v>329</v>
      </c>
      <c r="D43" s="5">
        <f>SUMIFS(Daten!I:I,Daten!H:H,C43,Daten!E:E,"BUY")</f>
        <v>14.265129</v>
      </c>
      <c r="E43" s="5">
        <f>-SUMIFS(Daten!I:I,Daten!H:H,C43,Daten!E:E,"SELL")</f>
        <v>14.265129</v>
      </c>
      <c r="F43" s="5">
        <f>D43-E43</f>
        <v>0</v>
      </c>
      <c r="G43" s="6">
        <f>-SUMIFS(Daten!K:K,Daten!H:H,C43,Daten!E:E,"BUY")</f>
        <v>98.71</v>
      </c>
      <c r="H43" s="6">
        <f>SUMIFS(Daten!K:K,Daten!H:H,C43,Daten!E:E,"SELL")</f>
        <v>145.5</v>
      </c>
      <c r="I43" s="6">
        <f>SUMIFS(Daten!L:L,Daten!H:H,C43)*-1</f>
        <v>2</v>
      </c>
      <c r="J43" s="6">
        <f>H43-G43-I43</f>
        <v>44.790000000000006</v>
      </c>
      <c r="K43" s="5" t="str">
        <f>IF(F43&gt;0,"OFFEN","GESCHLOSSEN")</f>
        <v>GESCHLOSSEN</v>
      </c>
      <c r="L43">
        <v>0</v>
      </c>
      <c r="M43">
        <v>0</v>
      </c>
      <c r="N43" s="21">
        <f>IF(K43="GESCHLOSSEN",
0,
IF(K43="OFFEN",
((M43*F43)-(L43*F43)),
""))</f>
        <v>0</v>
      </c>
      <c r="O43" s="6">
        <f>IF(F43&gt;0,F43*M43,0)</f>
        <v>0</v>
      </c>
      <c r="P43" s="6">
        <f>IF(F43&gt;0,F43*L43,0)</f>
        <v>0</v>
      </c>
      <c r="Q43" s="7">
        <f>IF(K43="GESCHLOSSEN",
0,
IF(K43="OFFEN",
(N43/(L43*F43))))</f>
        <v>0</v>
      </c>
      <c r="R43" s="6">
        <f>IF(K43="GESCHLOSSEN",
H43-G43-I43 + SUMIFS(Daten!K:K,Daten!H:H,C43,Daten!E:E,"DIVIDEND"),
IF(K43="OFFEN",
IF(E43=0,
0,
H43+SUMIFS(Daten!K:K,Daten!H:H,C43,Daten!E:E,"DIVIDEND")-(G43-(F43*L43))-I43
),
""))</f>
        <v>44.790000000000006</v>
      </c>
      <c r="S43" s="6">
        <f>IF(E43=0,
0,
(G43-(F43*L43))+I43
)</f>
        <v>100.71</v>
      </c>
      <c r="T43" s="26">
        <f>COUNTIFS(Daten!H:H,C43,Daten!E:E,"BUY",Daten!L:L,"&lt;0")</f>
        <v>1</v>
      </c>
      <c r="U43" s="26">
        <f>COUNTIFS(Daten!H:H,C43,Daten!E:E,"SELL",Daten!L:L,"&lt;0")</f>
        <v>1</v>
      </c>
      <c r="V43" s="7">
        <f>IF(S43&gt;0,R43/S43,0)</f>
        <v>0.4447423294608282</v>
      </c>
      <c r="W43" s="7">
        <f>IF(K43="GESCHLOSSEN",
J43/(G43+I43),
IF(K43="OFFEN",
((H43+M43*F43)-G43-I43)/G43,
""))</f>
        <v>0.4447423294608282</v>
      </c>
    </row>
    <row r="44" spans="1:23" x14ac:dyDescent="0.25">
      <c r="A44" s="9" t="s">
        <v>114</v>
      </c>
      <c r="B44" s="5" t="s">
        <v>64</v>
      </c>
      <c r="C44" s="5" t="s">
        <v>115</v>
      </c>
      <c r="D44" s="5">
        <f>SUMIFS(Daten!I:I,Daten!H:H,C44,Daten!E:E,"BUY")</f>
        <v>24.9</v>
      </c>
      <c r="E44" s="5">
        <f>-SUMIFS(Daten!I:I,Daten!H:H,C44,Daten!E:E,"SELL")</f>
        <v>0</v>
      </c>
      <c r="F44" s="5">
        <f>D44-E44</f>
        <v>24.9</v>
      </c>
      <c r="G44" s="6">
        <f>-SUMIFS(Daten!K:K,Daten!H:H,C44,Daten!E:E,"BUY")</f>
        <v>55.97</v>
      </c>
      <c r="H44" s="6">
        <f>SUMIFS(Daten!K:K,Daten!H:H,C44,Daten!E:E,"SELL")</f>
        <v>0</v>
      </c>
      <c r="I44" s="6">
        <f>SUMIFS(Daten!L:L,Daten!H:H,C44)*-1</f>
        <v>3</v>
      </c>
      <c r="J44" s="6">
        <f>H44-G44-I44</f>
        <v>-58.97</v>
      </c>
      <c r="K44" s="5" t="str">
        <f>IF(F44&gt;0,"OFFEN","GESCHLOSSEN")</f>
        <v>OFFEN</v>
      </c>
      <c r="L44">
        <v>2.37</v>
      </c>
      <c r="M44">
        <v>1.63</v>
      </c>
      <c r="N44" s="21">
        <f>IF(K44="GESCHLOSSEN",
0,
IF(K44="OFFEN",
((M44*F44)-(L44*F44)),
""))</f>
        <v>-18.426000000000002</v>
      </c>
      <c r="O44" s="6">
        <f>IF(F44&gt;0,F44*M44,0)</f>
        <v>40.586999999999996</v>
      </c>
      <c r="P44" s="6">
        <f>IF(F44&gt;0,F44*L44,0)</f>
        <v>59.012999999999998</v>
      </c>
      <c r="Q44" s="7">
        <f>IF(K44="GESCHLOSSEN",
0,
IF(K44="OFFEN",
(N44/(L44*F44))))</f>
        <v>-0.31223628691983124</v>
      </c>
      <c r="R44" s="6">
        <f>IF(K44="GESCHLOSSEN",
H44-G44-I44 + SUMIFS(Daten!K:K,Daten!H:H,C44,Daten!E:E,"DIVIDEND"),
IF(K44="OFFEN",
IF(E44=0,
0,
H44+SUMIFS(Daten!K:K,Daten!H:H,C44,Daten!E:E,"DIVIDEND")-(G44-(F44*L44))-I44
),
""))</f>
        <v>0</v>
      </c>
      <c r="S44" s="6">
        <f>IF(E44=0,
0,
(G44-(F44*L44))+I44
)</f>
        <v>0</v>
      </c>
      <c r="T44" s="26">
        <f>COUNTIFS(Daten!H:H,C44,Daten!E:E,"BUY",Daten!L:L,"&lt;0")</f>
        <v>3</v>
      </c>
      <c r="U44" s="26">
        <f>COUNTIFS(Daten!H:H,C44,Daten!E:E,"SELL",Daten!L:L,"&lt;0")</f>
        <v>0</v>
      </c>
      <c r="V44" s="7">
        <f>IF(S44&gt;0,R44/S44,0)</f>
        <v>0</v>
      </c>
      <c r="W44" s="7">
        <f>IF(K44="GESCHLOSSEN",
J44/(G44+I44),
IF(K44="OFFEN",
((H44+M44*F44)-G44-I44)/G44,
""))</f>
        <v>-0.3284438091834912</v>
      </c>
    </row>
    <row r="45" spans="1:23" x14ac:dyDescent="0.25">
      <c r="A45" s="9" t="s">
        <v>89</v>
      </c>
      <c r="B45" s="5" t="s">
        <v>32</v>
      </c>
      <c r="C45" s="5" t="s">
        <v>90</v>
      </c>
      <c r="D45" s="5">
        <f>SUMIFS(Daten!I:I,Daten!H:H,C45,Daten!E:E,"BUY")</f>
        <v>1.1348940000000001</v>
      </c>
      <c r="E45" s="5">
        <f>-SUMIFS(Daten!I:I,Daten!H:H,C45,Daten!E:E,"SELL")</f>
        <v>1.1348940000000001</v>
      </c>
      <c r="F45" s="5">
        <f>D45-E45</f>
        <v>0</v>
      </c>
      <c r="G45" s="6">
        <f>-SUMIFS(Daten!K:K,Daten!H:H,C45,Daten!E:E,"BUY")</f>
        <v>79</v>
      </c>
      <c r="H45" s="6">
        <f>SUMIFS(Daten!K:K,Daten!H:H,C45,Daten!E:E,"SELL")</f>
        <v>88.28</v>
      </c>
      <c r="I45" s="6">
        <f>SUMIFS(Daten!L:L,Daten!H:H,C45)*-1</f>
        <v>2</v>
      </c>
      <c r="J45" s="6">
        <f>H45-G45-I45</f>
        <v>7.2800000000000011</v>
      </c>
      <c r="K45" s="5" t="str">
        <f>IF(F45&gt;0,"OFFEN","GESCHLOSSEN")</f>
        <v>GESCHLOSSEN</v>
      </c>
      <c r="L45">
        <v>0</v>
      </c>
      <c r="M45">
        <v>0</v>
      </c>
      <c r="N45" s="21">
        <f>IF(K45="GESCHLOSSEN",
0,
IF(K45="OFFEN",
((M45*F45)-(L45*F45)),
""))</f>
        <v>0</v>
      </c>
      <c r="O45" s="6">
        <f>IF(F45&gt;0,F45*M45,0)</f>
        <v>0</v>
      </c>
      <c r="P45" s="6">
        <f>IF(F45&gt;0,F45*L45,0)</f>
        <v>0</v>
      </c>
      <c r="Q45" s="7">
        <f>IF(K45="GESCHLOSSEN",
0,
IF(K45="OFFEN",
(N45/(L45*F45))))</f>
        <v>0</v>
      </c>
      <c r="R45" s="6">
        <f>IF(K45="GESCHLOSSEN",
H45-G45-I45 + SUMIFS(Daten!K:K,Daten!H:H,C45,Daten!E:E,"DIVIDEND"),
IF(K45="OFFEN",
IF(E45=0,
0,
H45+SUMIFS(Daten!K:K,Daten!H:H,C45,Daten!E:E,"DIVIDEND")-(G45-(F45*L45))-I45
),
""))</f>
        <v>7.2800000000000011</v>
      </c>
      <c r="S45" s="6">
        <f>IF(E45=0,
0,
(G45-(F45*L45))+I45
)</f>
        <v>81</v>
      </c>
      <c r="T45" s="26">
        <f>COUNTIFS(Daten!H:H,C45,Daten!E:E,"BUY",Daten!L:L,"&lt;0")</f>
        <v>1</v>
      </c>
      <c r="U45" s="26">
        <f>COUNTIFS(Daten!H:H,C45,Daten!E:E,"SELL",Daten!L:L,"&lt;0")</f>
        <v>1</v>
      </c>
      <c r="V45" s="7">
        <f>IF(S45&gt;0,R45/S45,0)</f>
        <v>8.9876543209876564E-2</v>
      </c>
      <c r="W45" s="7">
        <f>IF(K45="GESCHLOSSEN",
J45/(G45+I45),
IF(K45="OFFEN",
((H45+M45*F45)-G45-I45)/G45,
""))</f>
        <v>8.9876543209876564E-2</v>
      </c>
    </row>
    <row r="46" spans="1:23" x14ac:dyDescent="0.25">
      <c r="A46" s="9" t="s">
        <v>101</v>
      </c>
      <c r="B46" s="5" t="s">
        <v>32</v>
      </c>
      <c r="C46" s="5" t="s">
        <v>102</v>
      </c>
      <c r="D46" s="5">
        <f>SUMIFS(Daten!I:I,Daten!H:H,C46,Daten!E:E,"BUY")</f>
        <v>1.3683320000000001</v>
      </c>
      <c r="E46" s="5">
        <f>-SUMIFS(Daten!I:I,Daten!H:H,C46,Daten!E:E,"SELL")</f>
        <v>1.3683320000000001</v>
      </c>
      <c r="F46" s="5">
        <f>D46-E46</f>
        <v>0</v>
      </c>
      <c r="G46" s="6">
        <f>-SUMIFS(Daten!K:K,Daten!H:H,C46,Daten!E:E,"BUY")</f>
        <v>49</v>
      </c>
      <c r="H46" s="6">
        <f>SUMIFS(Daten!K:K,Daten!H:H,C46,Daten!E:E,"SELL")</f>
        <v>53.47</v>
      </c>
      <c r="I46" s="6">
        <f>SUMIFS(Daten!L:L,Daten!H:H,C46)*-1</f>
        <v>2</v>
      </c>
      <c r="J46" s="6">
        <f>H46-G46-I46</f>
        <v>2.4699999999999989</v>
      </c>
      <c r="K46" s="5" t="str">
        <f>IF(F46&gt;0,"OFFEN","GESCHLOSSEN")</f>
        <v>GESCHLOSSEN</v>
      </c>
      <c r="L46">
        <v>0</v>
      </c>
      <c r="M46">
        <v>0</v>
      </c>
      <c r="N46" s="21">
        <f>IF(K46="GESCHLOSSEN",
0,
IF(K46="OFFEN",
((M46*F46)-(L46*F46)),
""))</f>
        <v>0</v>
      </c>
      <c r="O46" s="6">
        <f>IF(F46&gt;0,F46*M46,0)</f>
        <v>0</v>
      </c>
      <c r="P46" s="6">
        <f>IF(F46&gt;0,F46*L46,0)</f>
        <v>0</v>
      </c>
      <c r="Q46" s="7">
        <f>IF(K46="GESCHLOSSEN",
0,
IF(K46="OFFEN",
(N46/(L46*F46))))</f>
        <v>0</v>
      </c>
      <c r="R46" s="6">
        <f>IF(K46="GESCHLOSSEN",
H46-G46-I46 + SUMIFS(Daten!K:K,Daten!H:H,C46,Daten!E:E,"DIVIDEND"),
IF(K46="OFFEN",
IF(E46=0,
0,
H46+SUMIFS(Daten!K:K,Daten!H:H,C46,Daten!E:E,"DIVIDEND")-(G46-(F46*L46))-I46
),
""))</f>
        <v>2.4699999999999989</v>
      </c>
      <c r="S46" s="6">
        <f>IF(E46=0,
0,
(G46-(F46*L46))+I46
)</f>
        <v>51</v>
      </c>
      <c r="T46" s="26">
        <f>COUNTIFS(Daten!H:H,C46,Daten!E:E,"BUY",Daten!L:L,"&lt;0")</f>
        <v>1</v>
      </c>
      <c r="U46" s="26">
        <f>COUNTIFS(Daten!H:H,C46,Daten!E:E,"SELL",Daten!L:L,"&lt;0")</f>
        <v>1</v>
      </c>
      <c r="V46" s="7">
        <f>IF(S46&gt;0,R46/S46,0)</f>
        <v>4.8431372549019587E-2</v>
      </c>
      <c r="W46" s="7">
        <f>IF(K46="GESCHLOSSEN",
J46/(G46+I46),
IF(K46="OFFEN",
((H46+M46*F46)-G46-I46)/G46,
""))</f>
        <v>4.8431372549019587E-2</v>
      </c>
    </row>
    <row r="47" spans="1:23" x14ac:dyDescent="0.25">
      <c r="A47" s="9" t="s">
        <v>994</v>
      </c>
      <c r="B47" s="5" t="s">
        <v>464</v>
      </c>
      <c r="C47" s="5" t="s">
        <v>995</v>
      </c>
      <c r="D47" s="5">
        <f>SUMIFS(Daten!I:I,Daten!H:H,C47,Daten!E:E,"BUY")</f>
        <v>7.237006</v>
      </c>
      <c r="E47" s="5">
        <f>-SUMIFS(Daten!I:I,Daten!H:H,C47,Daten!E:E,"SELL")</f>
        <v>0</v>
      </c>
      <c r="F47" s="5">
        <f>D47-E47</f>
        <v>7.237006</v>
      </c>
      <c r="G47" s="6">
        <f>-SUMIFS(Daten!K:K,Daten!H:H,C47,Daten!E:E,"BUY")</f>
        <v>693.54</v>
      </c>
      <c r="H47" s="6">
        <f>SUMIFS(Daten!K:K,Daten!H:H,C47,Daten!E:E,"SELL")</f>
        <v>0</v>
      </c>
      <c r="I47" s="6">
        <f>SUMIFS(Daten!L:L,Daten!H:H,C47)*-1</f>
        <v>2</v>
      </c>
      <c r="J47" s="6">
        <f>H47-G47-I47</f>
        <v>-695.54</v>
      </c>
      <c r="K47" s="5" t="str">
        <f>IF(F47&gt;0,"OFFEN","GESCHLOSSEN")</f>
        <v>OFFEN</v>
      </c>
      <c r="L47">
        <v>96.11</v>
      </c>
      <c r="M47">
        <v>101.02</v>
      </c>
      <c r="N47" s="21">
        <f>IF(K47="GESCHLOSSEN",
0,
IF(K47="OFFEN",
((M47*F47)-(L47*F47)),
""))</f>
        <v>35.53369945999998</v>
      </c>
      <c r="O47" s="6">
        <f>IF(F47&gt;0,F47*M47,0)</f>
        <v>731.08234612000001</v>
      </c>
      <c r="P47" s="6">
        <f>IF(F47&gt;0,F47*L47,0)</f>
        <v>695.54864666000003</v>
      </c>
      <c r="Q47" s="7">
        <f>IF(K47="GESCHLOSSEN",
0,
IF(K47="OFFEN",
(N47/(L47*F47))))</f>
        <v>5.1087295806887909E-2</v>
      </c>
      <c r="R47" s="6">
        <f>IF(K47="GESCHLOSSEN",
H47-G47-I47 + SUMIFS(Daten!K:K,Daten!H:H,C47,Daten!E:E,"DIVIDEND"),
IF(K47="OFFEN",
IF(E47=0,
0,
H47+SUMIFS(Daten!K:K,Daten!H:H,C47,Daten!E:E,"DIVIDEND")-(G47-(F47*L47))-I47
),
""))</f>
        <v>0</v>
      </c>
      <c r="S47" s="6">
        <f>IF(E47=0,
0,
(G47-(F47*L47))+I47
)</f>
        <v>0</v>
      </c>
      <c r="T47" s="26">
        <f>COUNTIFS(Daten!H:H,C47,Daten!E:E,"BUY",Daten!L:L,"&lt;0")</f>
        <v>2</v>
      </c>
      <c r="U47" s="26">
        <f>COUNTIFS(Daten!H:H,C47,Daten!E:E,"SELL",Daten!L:L,"&lt;0")</f>
        <v>0</v>
      </c>
      <c r="V47" s="7">
        <f>IF(S47&gt;0,R47/S47,0)</f>
        <v>0</v>
      </c>
      <c r="W47" s="7">
        <f>IF(K47="GESCHLOSSEN",
J47/(G47+I47),
IF(K47="OFFEN",
((H47+M47*F47)-G47-I47)/G47,
""))</f>
        <v>5.1247723447818506E-2</v>
      </c>
    </row>
    <row r="48" spans="1:23" x14ac:dyDescent="0.25">
      <c r="A48" s="9" t="s">
        <v>47</v>
      </c>
      <c r="B48" s="5" t="s">
        <v>32</v>
      </c>
      <c r="C48" s="5" t="s">
        <v>48</v>
      </c>
      <c r="D48" s="5">
        <f>SUMIFS(Daten!I:I,Daten!H:H,C48,Daten!E:E,"BUY")</f>
        <v>1.0174080000000001</v>
      </c>
      <c r="E48" s="5">
        <f>-SUMIFS(Daten!I:I,Daten!H:H,C48,Daten!E:E,"SELL")</f>
        <v>1.0174080000000001</v>
      </c>
      <c r="F48" s="5">
        <f>D48-E48</f>
        <v>0</v>
      </c>
      <c r="G48" s="6">
        <f>-SUMIFS(Daten!K:K,Daten!H:H,C48,Daten!E:E,"BUY")</f>
        <v>90</v>
      </c>
      <c r="H48" s="6">
        <f>SUMIFS(Daten!K:K,Daten!H:H,C48,Daten!E:E,"SELL")</f>
        <v>100.19</v>
      </c>
      <c r="I48" s="6">
        <f>SUMIFS(Daten!L:L,Daten!H:H,C48)*-1</f>
        <v>2</v>
      </c>
      <c r="J48" s="6">
        <f>H48-G48-I48</f>
        <v>8.1899999999999977</v>
      </c>
      <c r="K48" s="5" t="str">
        <f>IF(F48&gt;0,"OFFEN","GESCHLOSSEN")</f>
        <v>GESCHLOSSEN</v>
      </c>
      <c r="L48">
        <v>0</v>
      </c>
      <c r="M48">
        <v>0</v>
      </c>
      <c r="N48" s="21">
        <f>IF(K48="GESCHLOSSEN",
0,
IF(K48="OFFEN",
((M48*F48)-(L48*F48)),
""))</f>
        <v>0</v>
      </c>
      <c r="O48" s="6">
        <f>IF(F48&gt;0,F48*M48,0)</f>
        <v>0</v>
      </c>
      <c r="P48" s="6">
        <f>IF(F48&gt;0,F48*L48,0)</f>
        <v>0</v>
      </c>
      <c r="Q48" s="7">
        <f>IF(K48="GESCHLOSSEN",
0,
IF(K48="OFFEN",
(N48/(L48*F48))))</f>
        <v>0</v>
      </c>
      <c r="R48" s="6">
        <f>IF(K48="GESCHLOSSEN",
H48-G48-I48 + SUMIFS(Daten!K:K,Daten!H:H,C48,Daten!E:E,"DIVIDEND"),
IF(K48="OFFEN",
IF(E48=0,
0,
H48+SUMIFS(Daten!K:K,Daten!H:H,C48,Daten!E:E,"DIVIDEND")-(G48-(F48*L48))-I48
),
""))</f>
        <v>8.1899999999999977</v>
      </c>
      <c r="S48" s="6">
        <f>IF(E48=0,
0,
(G48-(F48*L48))+I48
)</f>
        <v>92</v>
      </c>
      <c r="T48" s="26">
        <f>COUNTIFS(Daten!H:H,C48,Daten!E:E,"BUY",Daten!L:L,"&lt;0")</f>
        <v>1</v>
      </c>
      <c r="U48" s="26">
        <f>COUNTIFS(Daten!H:H,C48,Daten!E:E,"SELL",Daten!L:L,"&lt;0")</f>
        <v>1</v>
      </c>
      <c r="V48" s="7">
        <f>IF(S48&gt;0,R48/S48,0)</f>
        <v>8.9021739130434763E-2</v>
      </c>
      <c r="W48" s="7">
        <f>IF(K48="GESCHLOSSEN",
J48/(G48+I48),
IF(K48="OFFEN",
((H48+M48*F48)-G48-I48)/G48,
""))</f>
        <v>8.9021739130434763E-2</v>
      </c>
    </row>
    <row r="49" spans="1:23" x14ac:dyDescent="0.25">
      <c r="A49" s="9" t="s">
        <v>123</v>
      </c>
      <c r="B49" s="5" t="s">
        <v>32</v>
      </c>
      <c r="C49" s="5" t="s">
        <v>124</v>
      </c>
      <c r="D49" s="5">
        <f>SUMIFS(Daten!I:I,Daten!H:H,C49,Daten!E:E,"BUY")</f>
        <v>2</v>
      </c>
      <c r="E49" s="5">
        <f>-SUMIFS(Daten!I:I,Daten!H:H,C49,Daten!E:E,"SELL")</f>
        <v>2</v>
      </c>
      <c r="F49" s="5">
        <f>D49-E49</f>
        <v>0</v>
      </c>
      <c r="G49" s="6">
        <f>-SUMIFS(Daten!K:K,Daten!H:H,C49,Daten!E:E,"BUY")</f>
        <v>80</v>
      </c>
      <c r="H49" s="6">
        <f>SUMIFS(Daten!K:K,Daten!H:H,C49,Daten!E:E,"SELL")</f>
        <v>92.300000000000011</v>
      </c>
      <c r="I49" s="6">
        <f>SUMIFS(Daten!L:L,Daten!H:H,C49)*-1</f>
        <v>3</v>
      </c>
      <c r="J49" s="6">
        <f>H49-G49-I49</f>
        <v>9.3000000000000114</v>
      </c>
      <c r="K49" s="5" t="str">
        <f>IF(F49&gt;0,"OFFEN","GESCHLOSSEN")</f>
        <v>GESCHLOSSEN</v>
      </c>
      <c r="L49">
        <v>0</v>
      </c>
      <c r="M49">
        <v>0</v>
      </c>
      <c r="N49" s="21">
        <f>IF(K49="GESCHLOSSEN",
0,
IF(K49="OFFEN",
((M49*F49)-(L49*F49)),
""))</f>
        <v>0</v>
      </c>
      <c r="O49" s="6">
        <f>IF(F49&gt;0,F49*M49,0)</f>
        <v>0</v>
      </c>
      <c r="P49" s="6">
        <f>IF(F49&gt;0,F49*L49,0)</f>
        <v>0</v>
      </c>
      <c r="Q49" s="7">
        <f>IF(K49="GESCHLOSSEN",
0,
IF(K49="OFFEN",
(N49/(L49*F49))))</f>
        <v>0</v>
      </c>
      <c r="R49" s="6">
        <f>IF(K49="GESCHLOSSEN",
H49-G49-I49 + SUMIFS(Daten!K:K,Daten!H:H,C49,Daten!E:E,"DIVIDEND"),
IF(K49="OFFEN",
IF(E49=0,
0,
H49+SUMIFS(Daten!K:K,Daten!H:H,C49,Daten!E:E,"DIVIDEND")-(G49-(F49*L49))-I49
),
""))</f>
        <v>9.3000000000000114</v>
      </c>
      <c r="S49" s="6">
        <f>IF(E49=0,
0,
(G49-(F49*L49))+I49
)</f>
        <v>83</v>
      </c>
      <c r="T49" s="26">
        <f>COUNTIFS(Daten!H:H,C49,Daten!E:E,"BUY",Daten!L:L,"&lt;0")</f>
        <v>1</v>
      </c>
      <c r="U49" s="26">
        <f>COUNTIFS(Daten!H:H,C49,Daten!E:E,"SELL",Daten!L:L,"&lt;0")</f>
        <v>2</v>
      </c>
      <c r="V49" s="7">
        <f>IF(S49&gt;0,R49/S49,0)</f>
        <v>0.11204819277108448</v>
      </c>
      <c r="W49" s="7">
        <f>IF(K49="GESCHLOSSEN",
J49/(G49+I49),
IF(K49="OFFEN",
((H49+M49*F49)-G49-I49)/G49,
""))</f>
        <v>0.11204819277108448</v>
      </c>
    </row>
    <row r="50" spans="1:23" x14ac:dyDescent="0.25">
      <c r="A50" s="9" t="s">
        <v>65</v>
      </c>
      <c r="B50" s="5" t="s">
        <v>64</v>
      </c>
      <c r="C50" s="5" t="s">
        <v>66</v>
      </c>
      <c r="D50" s="5">
        <f>SUMIFS(Daten!I:I,Daten!H:H,C50,Daten!E:E,"BUY")</f>
        <v>12.108418</v>
      </c>
      <c r="E50" s="5">
        <f>-SUMIFS(Daten!I:I,Daten!H:H,C50,Daten!E:E,"SELL")</f>
        <v>9.1084180000000003</v>
      </c>
      <c r="F50" s="5">
        <f>D50-E50</f>
        <v>3</v>
      </c>
      <c r="G50" s="6">
        <f>-SUMIFS(Daten!K:K,Daten!H:H,C50,Daten!E:E,"BUY")</f>
        <v>1062.25</v>
      </c>
      <c r="H50" s="6">
        <f>SUMIFS(Daten!K:K,Daten!H:H,C50,Daten!E:E,"SELL")</f>
        <v>860.56000000000006</v>
      </c>
      <c r="I50" s="6">
        <f>SUMIFS(Daten!L:L,Daten!H:H,C50)*-1</f>
        <v>11</v>
      </c>
      <c r="J50" s="6">
        <f>H50-G50-I50</f>
        <v>-212.68999999999994</v>
      </c>
      <c r="K50" s="5" t="str">
        <f>IF(F50&gt;0,"OFFEN","GESCHLOSSEN")</f>
        <v>OFFEN</v>
      </c>
      <c r="L50">
        <v>92.65</v>
      </c>
      <c r="M50">
        <v>102.33</v>
      </c>
      <c r="N50" s="21">
        <f>IF(K50="GESCHLOSSEN",
0,
IF(K50="OFFEN",
((M50*F50)-(L50*F50)),
""))</f>
        <v>29.039999999999964</v>
      </c>
      <c r="O50" s="6">
        <f>IF(F50&gt;0,F50*M50,0)</f>
        <v>306.99</v>
      </c>
      <c r="P50" s="6">
        <f>IF(F50&gt;0,F50*L50,0)</f>
        <v>277.95000000000005</v>
      </c>
      <c r="Q50" s="7">
        <f>IF(K50="GESCHLOSSEN",
0,
IF(K50="OFFEN",
(N50/(L50*F50))))</f>
        <v>0.10447922288181313</v>
      </c>
      <c r="R50" s="6">
        <f>IF(K50="GESCHLOSSEN",
H50-G50-I50 + SUMIFS(Daten!K:K,Daten!H:H,C50,Daten!E:E,"DIVIDEND"),
IF(K50="OFFEN",
IF(E50=0,
0,
H50+SUMIFS(Daten!K:K,Daten!H:H,C50,Daten!E:E,"DIVIDEND")-(G50-(F50*L50))-I50
),
""))</f>
        <v>65.260000000000105</v>
      </c>
      <c r="S50" s="6">
        <f>IF(E50=0,
0,
(G50-(F50*L50))+I50
)</f>
        <v>795.3</v>
      </c>
      <c r="T50" s="26">
        <f>COUNTIFS(Daten!H:H,C50,Daten!E:E,"BUY",Daten!L:L,"&lt;0")</f>
        <v>9</v>
      </c>
      <c r="U50" s="26">
        <f>COUNTIFS(Daten!H:H,C50,Daten!E:E,"SELL",Daten!L:L,"&lt;0")</f>
        <v>2</v>
      </c>
      <c r="V50" s="7">
        <f>IF(S50&gt;0,R50/S50,0)</f>
        <v>8.2057085376587582E-2</v>
      </c>
      <c r="W50" s="7">
        <f>IF(K50="GESCHLOSSEN",
J50/(G50+I50),
IF(K50="OFFEN",
((H50+M50*F50)-G50-I50)/G50,
""))</f>
        <v>8.8773829136267524E-2</v>
      </c>
    </row>
    <row r="51" spans="1:23" x14ac:dyDescent="0.25">
      <c r="A51" s="9" t="s">
        <v>948</v>
      </c>
      <c r="B51" s="5" t="s">
        <v>464</v>
      </c>
      <c r="C51" s="5" t="s">
        <v>949</v>
      </c>
      <c r="D51" s="5">
        <f>SUMIFS(Daten!I:I,Daten!H:H,C51,Daten!E:E,"BUY")</f>
        <v>5.9082619999999997</v>
      </c>
      <c r="E51" s="5">
        <f>-SUMIFS(Daten!I:I,Daten!H:H,C51,Daten!E:E,"SELL")</f>
        <v>0</v>
      </c>
      <c r="F51" s="5">
        <f>D51-E51</f>
        <v>5.9082619999999997</v>
      </c>
      <c r="G51" s="6">
        <f>-SUMIFS(Daten!K:K,Daten!H:H,C51,Daten!E:E,"BUY")</f>
        <v>600.06000000000006</v>
      </c>
      <c r="H51" s="6">
        <f>SUMIFS(Daten!K:K,Daten!H:H,C51,Daten!E:E,"SELL")</f>
        <v>0</v>
      </c>
      <c r="I51" s="6">
        <f>SUMIFS(Daten!L:L,Daten!H:H,C51)*-1</f>
        <v>7</v>
      </c>
      <c r="J51" s="6">
        <f>H51-G51-I51</f>
        <v>-607.06000000000006</v>
      </c>
      <c r="K51" s="5" t="str">
        <f>IF(F51&gt;0,"OFFEN","GESCHLOSSEN")</f>
        <v>OFFEN</v>
      </c>
      <c r="L51">
        <v>102.75</v>
      </c>
      <c r="M51">
        <v>72.12</v>
      </c>
      <c r="N51" s="21">
        <f>IF(K51="GESCHLOSSEN",
0,
IF(K51="OFFEN",
((M51*F51)-(L51*F51)),
""))</f>
        <v>-180.97006505999997</v>
      </c>
      <c r="O51" s="6">
        <f>IF(F51&gt;0,F51*M51,0)</f>
        <v>426.10385544000002</v>
      </c>
      <c r="P51" s="6">
        <f>IF(F51&gt;0,F51*L51,0)</f>
        <v>607.07392049999999</v>
      </c>
      <c r="Q51" s="7">
        <f>IF(K51="GESCHLOSSEN",
0,
IF(K51="OFFEN",
(N51/(L51*F51))))</f>
        <v>-0.29810218978102188</v>
      </c>
      <c r="R51" s="6">
        <f>IF(K51="GESCHLOSSEN",
H51-G51-I51 + SUMIFS(Daten!K:K,Daten!H:H,C51,Daten!E:E,"DIVIDEND"),
IF(K51="OFFEN",
IF(E51=0,
0,
H51+SUMIFS(Daten!K:K,Daten!H:H,C51,Daten!E:E,"DIVIDEND")-(G51-(F51*L51))-I51
),
""))</f>
        <v>0</v>
      </c>
      <c r="S51" s="6">
        <f>IF(E51=0,
0,
(G51-(F51*L51))+I51
)</f>
        <v>0</v>
      </c>
      <c r="T51" s="26">
        <f>COUNTIFS(Daten!H:H,C51,Daten!E:E,"BUY",Daten!L:L,"&lt;0")</f>
        <v>7</v>
      </c>
      <c r="U51" s="26">
        <f>COUNTIFS(Daten!H:H,C51,Daten!E:E,"SELL",Daten!L:L,"&lt;0")</f>
        <v>0</v>
      </c>
      <c r="V51" s="7">
        <f>IF(S51&gt;0,R51/S51,0)</f>
        <v>0</v>
      </c>
      <c r="W51" s="7">
        <f>IF(K51="GESCHLOSSEN",
J51/(G51+I51),
IF(K51="OFFEN",
((H51+M51*F51)-G51-I51)/G51,
""))</f>
        <v>-0.30156341792487423</v>
      </c>
    </row>
    <row r="52" spans="1:23" x14ac:dyDescent="0.25">
      <c r="A52" s="9" t="s">
        <v>334</v>
      </c>
      <c r="B52" s="5" t="s">
        <v>32</v>
      </c>
      <c r="C52" s="5" t="s">
        <v>335</v>
      </c>
      <c r="D52" s="5">
        <f>SUMIFS(Daten!I:I,Daten!H:H,C52,Daten!E:E,"BUY")</f>
        <v>16.737109</v>
      </c>
      <c r="E52" s="5">
        <f>-SUMIFS(Daten!I:I,Daten!H:H,C52,Daten!E:E,"SELL")</f>
        <v>16.737109</v>
      </c>
      <c r="F52" s="5">
        <f>D52-E52</f>
        <v>0</v>
      </c>
      <c r="G52" s="6">
        <f>-SUMIFS(Daten!K:K,Daten!H:H,C52,Daten!E:E,"BUY")</f>
        <v>99</v>
      </c>
      <c r="H52" s="6">
        <f>SUMIFS(Daten!K:K,Daten!H:H,C52,Daten!E:E,"SELL")</f>
        <v>108.5</v>
      </c>
      <c r="I52" s="6">
        <f>SUMIFS(Daten!L:L,Daten!H:H,C52)*-1</f>
        <v>3</v>
      </c>
      <c r="J52" s="6">
        <f>H52-G52-I52</f>
        <v>6.5</v>
      </c>
      <c r="K52" s="5" t="str">
        <f>IF(F52&gt;0,"OFFEN","GESCHLOSSEN")</f>
        <v>GESCHLOSSEN</v>
      </c>
      <c r="L52">
        <v>0</v>
      </c>
      <c r="M52">
        <v>0</v>
      </c>
      <c r="N52" s="21">
        <f>IF(K52="GESCHLOSSEN",
0,
IF(K52="OFFEN",
((M52*F52)-(L52*F52)),
""))</f>
        <v>0</v>
      </c>
      <c r="O52" s="6">
        <f>IF(F52&gt;0,F52*M52,0)</f>
        <v>0</v>
      </c>
      <c r="P52" s="6">
        <f>IF(F52&gt;0,F52*L52,0)</f>
        <v>0</v>
      </c>
      <c r="Q52" s="7">
        <f>IF(K52="GESCHLOSSEN",
0,
IF(K52="OFFEN",
(N52/(L52*F52))))</f>
        <v>0</v>
      </c>
      <c r="R52" s="6">
        <f>IF(K52="GESCHLOSSEN",
H52-G52-I52 + SUMIFS(Daten!K:K,Daten!H:H,C52,Daten!E:E,"DIVIDEND"),
IF(K52="OFFEN",
IF(E52=0,
0,
H52+SUMIFS(Daten!K:K,Daten!H:H,C52,Daten!E:E,"DIVIDEND")-(G52-(F52*L52))-I52
),
""))</f>
        <v>6.5</v>
      </c>
      <c r="S52" s="6">
        <f>IF(E52=0,
0,
(G52-(F52*L52))+I52
)</f>
        <v>102</v>
      </c>
      <c r="T52" s="26">
        <f>COUNTIFS(Daten!H:H,C52,Daten!E:E,"BUY",Daten!L:L,"&lt;0")</f>
        <v>1</v>
      </c>
      <c r="U52" s="26">
        <f>COUNTIFS(Daten!H:H,C52,Daten!E:E,"SELL",Daten!L:L,"&lt;0")</f>
        <v>2</v>
      </c>
      <c r="V52" s="7">
        <f>IF(S52&gt;0,R52/S52,0)</f>
        <v>6.3725490196078427E-2</v>
      </c>
      <c r="W52" s="7">
        <f>IF(K52="GESCHLOSSEN",
J52/(G52+I52),
IF(K52="OFFEN",
((H52+M52*F52)-G52-I52)/G52,
""))</f>
        <v>6.3725490196078427E-2</v>
      </c>
    </row>
    <row r="53" spans="1:23" x14ac:dyDescent="0.25">
      <c r="A53" s="9" t="s">
        <v>76</v>
      </c>
      <c r="B53" s="5" t="s">
        <v>32</v>
      </c>
      <c r="C53" s="5" t="s">
        <v>77</v>
      </c>
      <c r="D53" s="5">
        <f>SUMIFS(Daten!I:I,Daten!H:H,C53,Daten!E:E,"BUY")</f>
        <v>2.1868780000000001</v>
      </c>
      <c r="E53" s="5">
        <f>-SUMIFS(Daten!I:I,Daten!H:H,C53,Daten!E:E,"SELL")</f>
        <v>2.1868780000000001</v>
      </c>
      <c r="F53" s="5">
        <f>D53-E53</f>
        <v>0</v>
      </c>
      <c r="G53" s="6">
        <f>-SUMIFS(Daten!K:K,Daten!H:H,C53,Daten!E:E,"BUY")</f>
        <v>21.99</v>
      </c>
      <c r="H53" s="6">
        <f>SUMIFS(Daten!K:K,Daten!H:H,C53,Daten!E:E,"SELL")</f>
        <v>25.43</v>
      </c>
      <c r="I53" s="6">
        <f>SUMIFS(Daten!L:L,Daten!H:H,C53)*-1</f>
        <v>2</v>
      </c>
      <c r="J53" s="6">
        <f>H53-G53-I53</f>
        <v>1.4400000000000013</v>
      </c>
      <c r="K53" s="5" t="str">
        <f>IF(F53&gt;0,"OFFEN","GESCHLOSSEN")</f>
        <v>GESCHLOSSEN</v>
      </c>
      <c r="L53">
        <v>0</v>
      </c>
      <c r="M53">
        <v>0</v>
      </c>
      <c r="N53" s="21">
        <f>IF(K53="GESCHLOSSEN",
0,
IF(K53="OFFEN",
((M53*F53)-(L53*F53)),
""))</f>
        <v>0</v>
      </c>
      <c r="O53" s="6">
        <f>IF(F53&gt;0,F53*M53,0)</f>
        <v>0</v>
      </c>
      <c r="P53" s="6">
        <f>IF(F53&gt;0,F53*L53,0)</f>
        <v>0</v>
      </c>
      <c r="Q53" s="7">
        <f>IF(K53="GESCHLOSSEN",
0,
IF(K53="OFFEN",
(N53/(L53*F53))))</f>
        <v>0</v>
      </c>
      <c r="R53" s="6">
        <f>IF(K53="GESCHLOSSEN",
H53-G53-I53 + SUMIFS(Daten!K:K,Daten!H:H,C53,Daten!E:E,"DIVIDEND"),
IF(K53="OFFEN",
IF(E53=0,
0,
H53+SUMIFS(Daten!K:K,Daten!H:H,C53,Daten!E:E,"DIVIDEND")-(G53-(F53*L53))-I53
),
""))</f>
        <v>1.4400000000000013</v>
      </c>
      <c r="S53" s="6">
        <f>IF(E53=0,
0,
(G53-(F53*L53))+I53
)</f>
        <v>23.99</v>
      </c>
      <c r="T53" s="26">
        <f>COUNTIFS(Daten!H:H,C53,Daten!E:E,"BUY",Daten!L:L,"&lt;0")</f>
        <v>1</v>
      </c>
      <c r="U53" s="26">
        <f>COUNTIFS(Daten!H:H,C53,Daten!E:E,"SELL",Daten!L:L,"&lt;0")</f>
        <v>1</v>
      </c>
      <c r="V53" s="7">
        <f>IF(S53&gt;0,R53/S53,0)</f>
        <v>6.0025010421008808E-2</v>
      </c>
      <c r="W53" s="7">
        <f>IF(K53="GESCHLOSSEN",
J53/(G53+I53),
IF(K53="OFFEN",
((H53+M53*F53)-G53-I53)/G53,
""))</f>
        <v>6.0025010421008808E-2</v>
      </c>
    </row>
    <row r="54" spans="1:23" x14ac:dyDescent="0.25">
      <c r="A54" s="9" t="s">
        <v>226</v>
      </c>
      <c r="B54" s="5" t="s">
        <v>32</v>
      </c>
      <c r="C54" s="5" t="s">
        <v>227</v>
      </c>
      <c r="D54" s="5">
        <f>SUMIFS(Daten!I:I,Daten!H:H,C54,Daten!E:E,"BUY")</f>
        <v>7.211239</v>
      </c>
      <c r="E54" s="5">
        <f>-SUMIFS(Daten!I:I,Daten!H:H,C54,Daten!E:E,"SELL")</f>
        <v>7.211239</v>
      </c>
      <c r="F54" s="5">
        <f>D54-E54</f>
        <v>0</v>
      </c>
      <c r="G54" s="6">
        <f>-SUMIFS(Daten!K:K,Daten!H:H,C54,Daten!E:E,"BUY")</f>
        <v>115.99000000000001</v>
      </c>
      <c r="H54" s="6">
        <f>SUMIFS(Daten!K:K,Daten!H:H,C54,Daten!E:E,"SELL")</f>
        <v>101.14</v>
      </c>
      <c r="I54" s="6">
        <f>SUMIFS(Daten!L:L,Daten!H:H,C54)*-1</f>
        <v>3</v>
      </c>
      <c r="J54" s="6">
        <f>H54-G54-I54</f>
        <v>-17.850000000000009</v>
      </c>
      <c r="K54" s="5" t="str">
        <f>IF(F54&gt;0,"OFFEN","GESCHLOSSEN")</f>
        <v>GESCHLOSSEN</v>
      </c>
      <c r="L54">
        <v>0</v>
      </c>
      <c r="M54">
        <v>0</v>
      </c>
      <c r="N54" s="21">
        <f>IF(K54="GESCHLOSSEN",
0,
IF(K54="OFFEN",
((M54*F54)-(L54*F54)),
""))</f>
        <v>0</v>
      </c>
      <c r="O54" s="6">
        <f>IF(F54&gt;0,F54*M54,0)</f>
        <v>0</v>
      </c>
      <c r="P54" s="6">
        <f>IF(F54&gt;0,F54*L54,0)</f>
        <v>0</v>
      </c>
      <c r="Q54" s="7">
        <f>IF(K54="GESCHLOSSEN",
0,
IF(K54="OFFEN",
(N54/(L54*F54))))</f>
        <v>0</v>
      </c>
      <c r="R54" s="6">
        <f>IF(K54="GESCHLOSSEN",
H54-G54-I54 + SUMIFS(Daten!K:K,Daten!H:H,C54,Daten!E:E,"DIVIDEND"),
IF(K54="OFFEN",
IF(E54=0,
0,
H54+SUMIFS(Daten!K:K,Daten!H:H,C54,Daten!E:E,"DIVIDEND")-(G54-(F54*L54))-I54
),
""))</f>
        <v>-17.850000000000009</v>
      </c>
      <c r="S54" s="6">
        <f>IF(E54=0,
0,
(G54-(F54*L54))+I54
)</f>
        <v>118.99000000000001</v>
      </c>
      <c r="T54" s="26">
        <f>COUNTIFS(Daten!H:H,C54,Daten!E:E,"BUY",Daten!L:L,"&lt;0")</f>
        <v>1</v>
      </c>
      <c r="U54" s="26">
        <f>COUNTIFS(Daten!H:H,C54,Daten!E:E,"SELL",Daten!L:L,"&lt;0")</f>
        <v>2</v>
      </c>
      <c r="V54" s="7">
        <f>IF(S54&gt;0,R54/S54,0)</f>
        <v>-0.15001260610135311</v>
      </c>
      <c r="W54" s="7">
        <f>IF(K54="GESCHLOSSEN",
J54/(G54+I54),
IF(K54="OFFEN",
((H54+M54*F54)-G54-I54)/G54,
""))</f>
        <v>-0.15001260610135311</v>
      </c>
    </row>
    <row r="55" spans="1:23" x14ac:dyDescent="0.25">
      <c r="A55" s="9" t="s">
        <v>515</v>
      </c>
      <c r="B55" s="5" t="s">
        <v>32</v>
      </c>
      <c r="C55" s="5" t="s">
        <v>516</v>
      </c>
      <c r="D55" s="5">
        <f>SUMIFS(Daten!I:I,Daten!H:H,C55,Daten!E:E,"BUY")</f>
        <v>62.851702000000003</v>
      </c>
      <c r="E55" s="5">
        <f>-SUMIFS(Daten!I:I,Daten!H:H,C55,Daten!E:E,"SELL")</f>
        <v>0</v>
      </c>
      <c r="F55" s="5">
        <f>D55-E55</f>
        <v>62.851702000000003</v>
      </c>
      <c r="G55" s="6">
        <f>-SUMIFS(Daten!K:K,Daten!H:H,C55,Daten!E:E,"BUY")</f>
        <v>725.98000000000013</v>
      </c>
      <c r="H55" s="6">
        <f>SUMIFS(Daten!K:K,Daten!H:H,C55,Daten!E:E,"SELL")</f>
        <v>0</v>
      </c>
      <c r="I55" s="6">
        <f>SUMIFS(Daten!L:L,Daten!H:H,C55)*-1</f>
        <v>7</v>
      </c>
      <c r="J55" s="6">
        <f>H55-G55-I55</f>
        <v>-732.98000000000013</v>
      </c>
      <c r="K55" s="5" t="str">
        <f>IF(F55&gt;0,"OFFEN","GESCHLOSSEN")</f>
        <v>OFFEN</v>
      </c>
      <c r="L55">
        <v>11.66</v>
      </c>
      <c r="M55">
        <v>8.2388999999999992</v>
      </c>
      <c r="N55" s="21">
        <f>IF(K55="GESCHLOSSEN",
0,
IF(K55="OFFEN",
((M55*F55)-(L55*F55)),
""))</f>
        <v>-215.02195771220011</v>
      </c>
      <c r="O55" s="6">
        <f>IF(F55&gt;0,F55*M55,0)</f>
        <v>517.82888760779997</v>
      </c>
      <c r="P55" s="6">
        <f>IF(F55&gt;0,F55*L55,0)</f>
        <v>732.85084532000008</v>
      </c>
      <c r="Q55" s="7">
        <f>IF(K55="GESCHLOSSEN",
0,
IF(K55="OFFEN",
(N55/(L55*F55))))</f>
        <v>-0.29340480274442549</v>
      </c>
      <c r="R55" s="6">
        <f>IF(K55="GESCHLOSSEN",
H55-G55-I55 + SUMIFS(Daten!K:K,Daten!H:H,C55,Daten!E:E,"DIVIDEND"),
IF(K55="OFFEN",
IF(E55=0,
0,
H55+SUMIFS(Daten!K:K,Daten!H:H,C55,Daten!E:E,"DIVIDEND")-(G55-(F55*L55))-I55
),
""))</f>
        <v>0</v>
      </c>
      <c r="S55" s="6">
        <f>IF(E55=0,
0,
(G55-(F55*L55))+I55
)</f>
        <v>0</v>
      </c>
      <c r="T55" s="26">
        <f>COUNTIFS(Daten!H:H,C55,Daten!E:E,"BUY",Daten!L:L,"&lt;0")</f>
        <v>7</v>
      </c>
      <c r="U55" s="26">
        <f>COUNTIFS(Daten!H:H,C55,Daten!E:E,"SELL",Daten!L:L,"&lt;0")</f>
        <v>0</v>
      </c>
      <c r="V55" s="7">
        <f>IF(S55&gt;0,R55/S55,0)</f>
        <v>0</v>
      </c>
      <c r="W55" s="7">
        <f>IF(K55="GESCHLOSSEN",
J55/(G55+I55),
IF(K55="OFFEN",
((H55+M55*F55)-G55-I55)/G55,
""))</f>
        <v>-0.29635955865478403</v>
      </c>
    </row>
    <row r="56" spans="1:23" x14ac:dyDescent="0.25">
      <c r="A56" s="9" t="s">
        <v>937</v>
      </c>
      <c r="B56" s="5" t="s">
        <v>32</v>
      </c>
      <c r="C56" s="5" t="s">
        <v>938</v>
      </c>
      <c r="D56" s="5">
        <f>SUMIFS(Daten!I:I,Daten!H:H,C56,Daten!E:E,"BUY")</f>
        <v>63.734862</v>
      </c>
      <c r="E56" s="5">
        <f>-SUMIFS(Daten!I:I,Daten!H:H,C56,Daten!E:E,"SELL")</f>
        <v>63.734862</v>
      </c>
      <c r="F56" s="5">
        <f>D56-E56</f>
        <v>0</v>
      </c>
      <c r="G56" s="6">
        <f>-SUMIFS(Daten!K:K,Daten!H:H,C56,Daten!E:E,"BUY")</f>
        <v>200</v>
      </c>
      <c r="H56" s="6">
        <f>SUMIFS(Daten!K:K,Daten!H:H,C56,Daten!E:E,"SELL")</f>
        <v>281.63</v>
      </c>
      <c r="I56" s="6">
        <f>SUMIFS(Daten!L:L,Daten!H:H,C56)*-1</f>
        <v>3</v>
      </c>
      <c r="J56" s="6">
        <f>H56-G56-I56</f>
        <v>78.63</v>
      </c>
      <c r="K56" s="5" t="str">
        <f>IF(F56&gt;0,"OFFEN","GESCHLOSSEN")</f>
        <v>GESCHLOSSEN</v>
      </c>
      <c r="L56">
        <v>0</v>
      </c>
      <c r="M56">
        <v>0</v>
      </c>
      <c r="N56" s="21">
        <f>IF(K56="GESCHLOSSEN",
0,
IF(K56="OFFEN",
((M56*F56)-(L56*F56)),
""))</f>
        <v>0</v>
      </c>
      <c r="O56" s="6">
        <f>IF(F56&gt;0,F56*M56,0)</f>
        <v>0</v>
      </c>
      <c r="P56" s="6">
        <f>IF(F56&gt;0,F56*L56,0)</f>
        <v>0</v>
      </c>
      <c r="Q56" s="7">
        <f>IF(K56="GESCHLOSSEN",
0,
IF(K56="OFFEN",
(N56/(L56*F56))))</f>
        <v>0</v>
      </c>
      <c r="R56" s="6">
        <f>IF(K56="GESCHLOSSEN",
H56-G56-I56 + SUMIFS(Daten!K:K,Daten!H:H,C56,Daten!E:E,"DIVIDEND"),
IF(K56="OFFEN",
IF(E56=0,
0,
H56+SUMIFS(Daten!K:K,Daten!H:H,C56,Daten!E:E,"DIVIDEND")-(G56-(F56*L56))-I56
),
""))</f>
        <v>78.63</v>
      </c>
      <c r="S56" s="6">
        <f>IF(E56=0,
0,
(G56-(F56*L56))+I56
)</f>
        <v>203</v>
      </c>
      <c r="T56" s="26">
        <f>COUNTIFS(Daten!H:H,C56,Daten!E:E,"BUY",Daten!L:L,"&lt;0")</f>
        <v>1</v>
      </c>
      <c r="U56" s="26">
        <f>COUNTIFS(Daten!H:H,C56,Daten!E:E,"SELL",Daten!L:L,"&lt;0")</f>
        <v>2</v>
      </c>
      <c r="V56" s="7">
        <f>IF(S56&gt;0,R56/S56,0)</f>
        <v>0.38733990147783248</v>
      </c>
      <c r="W56" s="7">
        <f>IF(K56="GESCHLOSSEN",
J56/(G56+I56),
IF(K56="OFFEN",
((H56+M56*F56)-G56-I56)/G56,
""))</f>
        <v>0.38733990147783248</v>
      </c>
    </row>
    <row r="57" spans="1:23" x14ac:dyDescent="0.25">
      <c r="A57" s="9" t="s">
        <v>304</v>
      </c>
      <c r="B57" s="5" t="s">
        <v>32</v>
      </c>
      <c r="C57" s="5" t="s">
        <v>305</v>
      </c>
      <c r="D57" s="5">
        <f>SUMIFS(Daten!I:I,Daten!H:H,C57,Daten!E:E,"BUY")</f>
        <v>50</v>
      </c>
      <c r="E57" s="5">
        <f>-SUMIFS(Daten!I:I,Daten!H:H,C57,Daten!E:E,"SELL")</f>
        <v>50</v>
      </c>
      <c r="F57" s="5">
        <f>D57-E57</f>
        <v>0</v>
      </c>
      <c r="G57" s="6">
        <f>-SUMIFS(Daten!K:K,Daten!H:H,C57,Daten!E:E,"BUY")</f>
        <v>17.8</v>
      </c>
      <c r="H57" s="6">
        <f>SUMIFS(Daten!K:K,Daten!H:H,C57,Daten!E:E,"SELL")</f>
        <v>21.1</v>
      </c>
      <c r="I57" s="6">
        <f>SUMIFS(Daten!L:L,Daten!H:H,C57)*-1</f>
        <v>2</v>
      </c>
      <c r="J57" s="6">
        <f>H57-G57-I57</f>
        <v>1.3000000000000007</v>
      </c>
      <c r="K57" s="5" t="str">
        <f>IF(F57&gt;0,"OFFEN","GESCHLOSSEN")</f>
        <v>GESCHLOSSEN</v>
      </c>
      <c r="L57">
        <v>0</v>
      </c>
      <c r="M57">
        <v>0</v>
      </c>
      <c r="N57" s="21">
        <f>IF(K57="GESCHLOSSEN",
0,
IF(K57="OFFEN",
((M57*F57)-(L57*F57)),
""))</f>
        <v>0</v>
      </c>
      <c r="O57" s="6">
        <f>IF(F57&gt;0,F57*M57,0)</f>
        <v>0</v>
      </c>
      <c r="P57" s="6">
        <f>IF(F57&gt;0,F57*L57,0)</f>
        <v>0</v>
      </c>
      <c r="Q57" s="7">
        <f>IF(K57="GESCHLOSSEN",
0,
IF(K57="OFFEN",
(N57/(L57*F57))))</f>
        <v>0</v>
      </c>
      <c r="R57" s="6">
        <f>IF(K57="GESCHLOSSEN",
H57-G57-I57 + SUMIFS(Daten!K:K,Daten!H:H,C57,Daten!E:E,"DIVIDEND"),
IF(K57="OFFEN",
IF(E57=0,
0,
H57+SUMIFS(Daten!K:K,Daten!H:H,C57,Daten!E:E,"DIVIDEND")-(G57-(F57*L57))-I57
),
""))</f>
        <v>1.3000000000000007</v>
      </c>
      <c r="S57" s="6">
        <f>IF(E57=0,
0,
(G57-(F57*L57))+I57
)</f>
        <v>19.8</v>
      </c>
      <c r="T57" s="26">
        <f>COUNTIFS(Daten!H:H,C57,Daten!E:E,"BUY",Daten!L:L,"&lt;0")</f>
        <v>1</v>
      </c>
      <c r="U57" s="26">
        <f>COUNTIFS(Daten!H:H,C57,Daten!E:E,"SELL",Daten!L:L,"&lt;0")</f>
        <v>1</v>
      </c>
      <c r="V57" s="7">
        <f>IF(S57&gt;0,R57/S57,0)</f>
        <v>6.5656565656565691E-2</v>
      </c>
      <c r="W57" s="7">
        <f>IF(K57="GESCHLOSSEN",
J57/(G57+I57),
IF(K57="OFFEN",
((H57+M57*F57)-G57-I57)/G57,
""))</f>
        <v>6.5656565656565691E-2</v>
      </c>
    </row>
    <row r="58" spans="1:23" x14ac:dyDescent="0.25">
      <c r="A58" s="9" t="s">
        <v>321</v>
      </c>
      <c r="B58" s="5" t="s">
        <v>32</v>
      </c>
      <c r="C58" s="5" t="s">
        <v>322</v>
      </c>
      <c r="D58" s="5">
        <f>SUMIFS(Daten!I:I,Daten!H:H,C58,Daten!E:E,"BUY")</f>
        <v>15.401785</v>
      </c>
      <c r="E58" s="5">
        <f>-SUMIFS(Daten!I:I,Daten!H:H,C58,Daten!E:E,"SELL")</f>
        <v>15.401785</v>
      </c>
      <c r="F58" s="5">
        <f>D58-E58</f>
        <v>0</v>
      </c>
      <c r="G58" s="6">
        <f>-SUMIFS(Daten!K:K,Daten!H:H,C58,Daten!E:E,"BUY")</f>
        <v>69</v>
      </c>
      <c r="H58" s="6">
        <f>SUMIFS(Daten!K:K,Daten!H:H,C58,Daten!E:E,"SELL")</f>
        <v>81.63</v>
      </c>
      <c r="I58" s="6">
        <f>SUMIFS(Daten!L:L,Daten!H:H,C58)*-1</f>
        <v>2</v>
      </c>
      <c r="J58" s="6">
        <f>H58-G58-I58</f>
        <v>10.629999999999995</v>
      </c>
      <c r="K58" s="5" t="str">
        <f>IF(F58&gt;0,"OFFEN","GESCHLOSSEN")</f>
        <v>GESCHLOSSEN</v>
      </c>
      <c r="L58">
        <v>0</v>
      </c>
      <c r="M58">
        <v>0</v>
      </c>
      <c r="N58" s="21">
        <f>IF(K58="GESCHLOSSEN",
0,
IF(K58="OFFEN",
((M58*F58)-(L58*F58)),
""))</f>
        <v>0</v>
      </c>
      <c r="O58" s="6">
        <f>IF(F58&gt;0,F58*M58,0)</f>
        <v>0</v>
      </c>
      <c r="P58" s="6">
        <f>IF(F58&gt;0,F58*L58,0)</f>
        <v>0</v>
      </c>
      <c r="Q58" s="7">
        <f>IF(K58="GESCHLOSSEN",
0,
IF(K58="OFFEN",
(N58/(L58*F58))))</f>
        <v>0</v>
      </c>
      <c r="R58" s="6">
        <f>IF(K58="GESCHLOSSEN",
H58-G58-I58 + SUMIFS(Daten!K:K,Daten!H:H,C58,Daten!E:E,"DIVIDEND"),
IF(K58="OFFEN",
IF(E58=0,
0,
H58+SUMIFS(Daten!K:K,Daten!H:H,C58,Daten!E:E,"DIVIDEND")-(G58-(F58*L58))-I58
),
""))</f>
        <v>10.629999999999995</v>
      </c>
      <c r="S58" s="6">
        <f>IF(E58=0,
0,
(G58-(F58*L58))+I58
)</f>
        <v>71</v>
      </c>
      <c r="T58" s="26">
        <f>COUNTIFS(Daten!H:H,C58,Daten!E:E,"BUY",Daten!L:L,"&lt;0")</f>
        <v>1</v>
      </c>
      <c r="U58" s="26">
        <f>COUNTIFS(Daten!H:H,C58,Daten!E:E,"SELL",Daten!L:L,"&lt;0")</f>
        <v>1</v>
      </c>
      <c r="V58" s="7">
        <f>IF(S58&gt;0,R58/S58,0)</f>
        <v>0.14971830985915485</v>
      </c>
      <c r="W58" s="7">
        <f>IF(K58="GESCHLOSSEN",
J58/(G58+I58),
IF(K58="OFFEN",
((H58+M58*F58)-G58-I58)/G58,
""))</f>
        <v>0.14971830985915485</v>
      </c>
    </row>
    <row r="59" spans="1:23" x14ac:dyDescent="0.25">
      <c r="A59" s="9" t="s">
        <v>308</v>
      </c>
      <c r="B59" s="5" t="s">
        <v>32</v>
      </c>
      <c r="C59" s="5" t="s">
        <v>309</v>
      </c>
      <c r="D59" s="5">
        <f>SUMIFS(Daten!I:I,Daten!H:H,C59,Daten!E:E,"BUY")</f>
        <v>12.345679000000001</v>
      </c>
      <c r="E59" s="5">
        <f>-SUMIFS(Daten!I:I,Daten!H:H,C59,Daten!E:E,"SELL")</f>
        <v>12.345679000000001</v>
      </c>
      <c r="F59" s="5">
        <f>D59-E59</f>
        <v>0</v>
      </c>
      <c r="G59" s="6">
        <f>-SUMIFS(Daten!K:K,Daten!H:H,C59,Daten!E:E,"BUY")</f>
        <v>28</v>
      </c>
      <c r="H59" s="6">
        <f>SUMIFS(Daten!K:K,Daten!H:H,C59,Daten!E:E,"SELL")</f>
        <v>33.159999999999997</v>
      </c>
      <c r="I59" s="6">
        <f>SUMIFS(Daten!L:L,Daten!H:H,C59)*-1</f>
        <v>2</v>
      </c>
      <c r="J59" s="6">
        <f>H59-G59-I59</f>
        <v>3.1599999999999966</v>
      </c>
      <c r="K59" s="5" t="str">
        <f>IF(F59&gt;0,"OFFEN","GESCHLOSSEN")</f>
        <v>GESCHLOSSEN</v>
      </c>
      <c r="L59">
        <v>0</v>
      </c>
      <c r="M59">
        <v>0</v>
      </c>
      <c r="N59" s="21">
        <f>IF(K59="GESCHLOSSEN",
0,
IF(K59="OFFEN",
((M59*F59)-(L59*F59)),
""))</f>
        <v>0</v>
      </c>
      <c r="O59" s="6">
        <f>IF(F59&gt;0,F59*M59,0)</f>
        <v>0</v>
      </c>
      <c r="P59" s="6">
        <f>IF(F59&gt;0,F59*L59,0)</f>
        <v>0</v>
      </c>
      <c r="Q59" s="7">
        <f>IF(K59="GESCHLOSSEN",
0,
IF(K59="OFFEN",
(N59/(L59*F59))))</f>
        <v>0</v>
      </c>
      <c r="R59" s="6">
        <f>IF(K59="GESCHLOSSEN",
H59-G59-I59 + SUMIFS(Daten!K:K,Daten!H:H,C59,Daten!E:E,"DIVIDEND"),
IF(K59="OFFEN",
IF(E59=0,
0,
H59+SUMIFS(Daten!K:K,Daten!H:H,C59,Daten!E:E,"DIVIDEND")-(G59-(F59*L59))-I59
),
""))</f>
        <v>3.1599999999999966</v>
      </c>
      <c r="S59" s="6">
        <f>IF(E59=0,
0,
(G59-(F59*L59))+I59
)</f>
        <v>30</v>
      </c>
      <c r="T59" s="26">
        <f>COUNTIFS(Daten!H:H,C59,Daten!E:E,"BUY",Daten!L:L,"&lt;0")</f>
        <v>1</v>
      </c>
      <c r="U59" s="26">
        <f>COUNTIFS(Daten!H:H,C59,Daten!E:E,"SELL",Daten!L:L,"&lt;0")</f>
        <v>1</v>
      </c>
      <c r="V59" s="7">
        <f>IF(S59&gt;0,R59/S59,0)</f>
        <v>0.10533333333333322</v>
      </c>
      <c r="W59" s="7">
        <f>IF(K59="GESCHLOSSEN",
J59/(G59+I59),
IF(K59="OFFEN",
((H59+M59*F59)-G59-I59)/G59,
""))</f>
        <v>0.10533333333333322</v>
      </c>
    </row>
    <row r="60" spans="1:23" x14ac:dyDescent="0.25">
      <c r="A60" s="9" t="s">
        <v>691</v>
      </c>
      <c r="B60" s="5" t="s">
        <v>32</v>
      </c>
      <c r="C60" s="5" t="s">
        <v>692</v>
      </c>
      <c r="D60" s="5">
        <f>SUMIFS(Daten!I:I,Daten!H:H,C60,Daten!E:E,"BUY")</f>
        <v>19.212295000000001</v>
      </c>
      <c r="E60" s="5">
        <f>-SUMIFS(Daten!I:I,Daten!H:H,C60,Daten!E:E,"SELL")</f>
        <v>19.212295000000001</v>
      </c>
      <c r="F60" s="5">
        <f>D60-E60</f>
        <v>0</v>
      </c>
      <c r="G60" s="6">
        <f>-SUMIFS(Daten!K:K,Daten!H:H,C60,Daten!E:E,"BUY")</f>
        <v>200</v>
      </c>
      <c r="H60" s="6">
        <f>SUMIFS(Daten!K:K,Daten!H:H,C60,Daten!E:E,"SELL")</f>
        <v>221.32999999999998</v>
      </c>
      <c r="I60" s="6">
        <f>SUMIFS(Daten!L:L,Daten!H:H,C60)*-1</f>
        <v>2</v>
      </c>
      <c r="J60" s="6">
        <f>H60-G60-I60</f>
        <v>19.329999999999984</v>
      </c>
      <c r="K60" s="5" t="str">
        <f>IF(F60&gt;0,"OFFEN","GESCHLOSSEN")</f>
        <v>GESCHLOSSEN</v>
      </c>
      <c r="L60">
        <v>0</v>
      </c>
      <c r="M60">
        <v>0</v>
      </c>
      <c r="N60" s="21">
        <f>IF(K60="GESCHLOSSEN",
0,
IF(K60="OFFEN",
((M60*F60)-(L60*F60)),
""))</f>
        <v>0</v>
      </c>
      <c r="O60" s="6">
        <f>IF(F60&gt;0,F60*M60,0)</f>
        <v>0</v>
      </c>
      <c r="P60" s="6">
        <f>IF(F60&gt;0,F60*L60,0)</f>
        <v>0</v>
      </c>
      <c r="Q60" s="7">
        <f>IF(K60="GESCHLOSSEN",
0,
IF(K60="OFFEN",
(N60/(L60*F60))))</f>
        <v>0</v>
      </c>
      <c r="R60" s="6">
        <f>IF(K60="GESCHLOSSEN",
H60-G60-I60 + SUMIFS(Daten!K:K,Daten!H:H,C60,Daten!E:E,"DIVIDEND"),
IF(K60="OFFEN",
IF(E60=0,
0,
H60+SUMIFS(Daten!K:K,Daten!H:H,C60,Daten!E:E,"DIVIDEND")-(G60-(F60*L60))-I60
),
""))</f>
        <v>19.329999999999984</v>
      </c>
      <c r="S60" s="6">
        <f>IF(E60=0,
0,
(G60-(F60*L60))+I60
)</f>
        <v>202</v>
      </c>
      <c r="T60" s="26">
        <f>COUNTIFS(Daten!H:H,C60,Daten!E:E,"BUY",Daten!L:L,"&lt;0")</f>
        <v>1</v>
      </c>
      <c r="U60" s="26">
        <f>COUNTIFS(Daten!H:H,C60,Daten!E:E,"SELL",Daten!L:L,"&lt;0")</f>
        <v>1</v>
      </c>
      <c r="V60" s="7">
        <f>IF(S60&gt;0,R60/S60,0)</f>
        <v>9.5693069306930612E-2</v>
      </c>
      <c r="W60" s="7">
        <f>IF(K60="GESCHLOSSEN",
J60/(G60+I60),
IF(K60="OFFEN",
((H60+M60*F60)-G60-I60)/G60,
""))</f>
        <v>9.5693069306930612E-2</v>
      </c>
    </row>
    <row r="61" spans="1:23" x14ac:dyDescent="0.25">
      <c r="A61" s="9" t="s">
        <v>380</v>
      </c>
      <c r="B61" s="5" t="s">
        <v>32</v>
      </c>
      <c r="C61" s="5" t="s">
        <v>381</v>
      </c>
      <c r="D61" s="5">
        <f>SUMIFS(Daten!I:I,Daten!H:H,C61,Daten!E:E,"BUY")</f>
        <v>7.0017500000000004</v>
      </c>
      <c r="E61" s="5">
        <f>-SUMIFS(Daten!I:I,Daten!H:H,C61,Daten!E:E,"SELL")</f>
        <v>7.0017500000000004</v>
      </c>
      <c r="F61" s="5">
        <f>D61-E61</f>
        <v>0</v>
      </c>
      <c r="G61" s="6">
        <f>-SUMIFS(Daten!K:K,Daten!H:H,C61,Daten!E:E,"BUY")</f>
        <v>28</v>
      </c>
      <c r="H61" s="6">
        <f>SUMIFS(Daten!K:K,Daten!H:H,C61,Daten!E:E,"SELL")</f>
        <v>30.310000000000002</v>
      </c>
      <c r="I61" s="6">
        <f>SUMIFS(Daten!L:L,Daten!H:H,C61)*-1</f>
        <v>2</v>
      </c>
      <c r="J61" s="6">
        <f>H61-G61-I61</f>
        <v>0.31000000000000227</v>
      </c>
      <c r="K61" s="5" t="str">
        <f>IF(F61&gt;0,"OFFEN","GESCHLOSSEN")</f>
        <v>GESCHLOSSEN</v>
      </c>
      <c r="L61">
        <v>0</v>
      </c>
      <c r="M61">
        <v>0</v>
      </c>
      <c r="N61" s="21">
        <f>IF(K61="GESCHLOSSEN",
0,
IF(K61="OFFEN",
((M61*F61)-(L61*F61)),
""))</f>
        <v>0</v>
      </c>
      <c r="O61" s="6">
        <f>IF(F61&gt;0,F61*M61,0)</f>
        <v>0</v>
      </c>
      <c r="P61" s="6">
        <f>IF(F61&gt;0,F61*L61,0)</f>
        <v>0</v>
      </c>
      <c r="Q61" s="7">
        <f>IF(K61="GESCHLOSSEN",
0,
IF(K61="OFFEN",
(N61/(L61*F61))))</f>
        <v>0</v>
      </c>
      <c r="R61" s="6">
        <f>IF(K61="GESCHLOSSEN",
H61-G61-I61 + SUMIFS(Daten!K:K,Daten!H:H,C61,Daten!E:E,"DIVIDEND"),
IF(K61="OFFEN",
IF(E61=0,
0,
H61+SUMIFS(Daten!K:K,Daten!H:H,C61,Daten!E:E,"DIVIDEND")-(G61-(F61*L61))-I61
),
""))</f>
        <v>0.31000000000000227</v>
      </c>
      <c r="S61" s="6">
        <f>IF(E61=0,
0,
(G61-(F61*L61))+I61
)</f>
        <v>30</v>
      </c>
      <c r="T61" s="26">
        <f>COUNTIFS(Daten!H:H,C61,Daten!E:E,"BUY",Daten!L:L,"&lt;0")</f>
        <v>1</v>
      </c>
      <c r="U61" s="26">
        <f>COUNTIFS(Daten!H:H,C61,Daten!E:E,"SELL",Daten!L:L,"&lt;0")</f>
        <v>1</v>
      </c>
      <c r="V61" s="7">
        <f>IF(S61&gt;0,R61/S61,0)</f>
        <v>1.033333333333341E-2</v>
      </c>
      <c r="W61" s="7">
        <f>IF(K61="GESCHLOSSEN",
J61/(G61+I61),
IF(K61="OFFEN",
((H61+M61*F61)-G61-I61)/G61,
""))</f>
        <v>1.033333333333341E-2</v>
      </c>
    </row>
    <row r="62" spans="1:23" x14ac:dyDescent="0.25">
      <c r="A62" s="9" t="s">
        <v>69</v>
      </c>
      <c r="B62" s="5" t="s">
        <v>64</v>
      </c>
      <c r="C62" s="5" t="s">
        <v>69</v>
      </c>
      <c r="D62" s="5">
        <f>SUMIFS(Daten!I:I,Daten!H:H,C62,Daten!E:E,"BUY")</f>
        <v>194.73171099999999</v>
      </c>
      <c r="E62" s="5">
        <f>-SUMIFS(Daten!I:I,Daten!H:H,C62,Daten!E:E,"SELL")</f>
        <v>0</v>
      </c>
      <c r="F62" s="5">
        <f>D62-E62</f>
        <v>194.73171099999999</v>
      </c>
      <c r="G62" s="6">
        <f>-SUMIFS(Daten!K:K,Daten!H:H,C62,Daten!E:E,"BUY")</f>
        <v>247.45</v>
      </c>
      <c r="H62" s="6">
        <f>SUMIFS(Daten!K:K,Daten!H:H,C62,Daten!E:E,"SELL")</f>
        <v>0</v>
      </c>
      <c r="I62" s="6">
        <f>SUMIFS(Daten!L:L,Daten!H:H,C62)*-1</f>
        <v>9</v>
      </c>
      <c r="J62" s="6">
        <f>H62-G62-I62</f>
        <v>-256.45</v>
      </c>
      <c r="K62" s="5" t="str">
        <f>IF(F62&gt;0,"OFFEN","GESCHLOSSEN")</f>
        <v>OFFEN</v>
      </c>
      <c r="L62">
        <v>1.3169999999999999</v>
      </c>
      <c r="M62">
        <v>1.35</v>
      </c>
      <c r="N62" s="21">
        <f>IF(K62="GESCHLOSSEN",
0,
IF(K62="OFFEN",
((M62*F62)-(L62*F62)),
""))</f>
        <v>6.4261464630000091</v>
      </c>
      <c r="O62" s="6">
        <f>IF(F62&gt;0,F62*M62,0)</f>
        <v>262.88780985</v>
      </c>
      <c r="P62" s="6">
        <f>IF(F62&gt;0,F62*L62,0)</f>
        <v>256.46166338699999</v>
      </c>
      <c r="Q62" s="7">
        <f>IF(K62="GESCHLOSSEN",
0,
IF(K62="OFFEN",
(N62/(L62*F62))))</f>
        <v>2.5056947608200493E-2</v>
      </c>
      <c r="R62" s="6">
        <f>IF(K62="GESCHLOSSEN",
H62-G62-I62 + SUMIFS(Daten!K:K,Daten!H:H,C62,Daten!E:E,"DIVIDEND"),
IF(K62="OFFEN",
IF(E62=0,
0,
H62+SUMIFS(Daten!K:K,Daten!H:H,C62,Daten!E:E,"DIVIDEND")-(G62-(F62*L62))-I62
),
""))</f>
        <v>0</v>
      </c>
      <c r="S62" s="6">
        <f>IF(E62=0,
0,
(G62-(F62*L62))+I62
)</f>
        <v>0</v>
      </c>
      <c r="T62" s="26">
        <f>COUNTIFS(Daten!H:H,C62,Daten!E:E,"BUY",Daten!L:L,"&lt;0")</f>
        <v>9</v>
      </c>
      <c r="U62" s="26">
        <f>COUNTIFS(Daten!H:H,C62,Daten!E:E,"SELL",Daten!L:L,"&lt;0")</f>
        <v>0</v>
      </c>
      <c r="V62" s="7">
        <f>IF(S62&gt;0,R62/S62,0)</f>
        <v>0</v>
      </c>
      <c r="W62" s="7">
        <f>IF(K62="GESCHLOSSEN",
J62/(G62+I62),
IF(K62="OFFEN",
((H62+M62*F62)-G62-I62)/G62,
""))</f>
        <v>2.6016608809860609E-2</v>
      </c>
    </row>
    <row r="76" spans="28:29" x14ac:dyDescent="0.25">
      <c r="AB76">
        <f>IF(K9="GESCHLOSSEN",
0,
IF(K9="OFFEN",
IF(E2=0,
G9+I9,
H2+SUMIFS(Daten!K:K,Daten!G:G,A2,Daten!E:E,"DIVIDEND")-(G2-(F2*L2))-I2
),
""))</f>
        <v>248</v>
      </c>
      <c r="AC76">
        <f>IF(K6="GESCHLOSSEN",
H6-G6-I6 + SUMIFS(Daten!K:K,Daten!G:G,A6,Daten!E:E,"DIVIDEND"),
IF(K6="OFFEN",
IF(E6=0,
-I6,
H6+SUMIFS(Daten!K:K,Daten!G:G,A6,Daten!E:E,"DIVIDEND")-(G6-(F6*L6))-I6
),
""))</f>
        <v>-6.5400000000000205</v>
      </c>
    </row>
    <row r="77" spans="28:29" x14ac:dyDescent="0.25">
      <c r="AC77" s="19">
        <f>H2
-(G2-(F2*L2))
-I2</f>
        <v>3.3846999999909144E-4</v>
      </c>
    </row>
    <row r="78" spans="28:29" x14ac:dyDescent="0.25">
      <c r="AC78" s="19">
        <f>H4-G4-I4 + SUMIFS(Daten!K:K,Daten!G:G,A4,Daten!E:E,"DIVIDEND")</f>
        <v>31.260000000000012</v>
      </c>
    </row>
    <row r="83" spans="29:30" x14ac:dyDescent="0.25">
      <c r="AC83" s="1">
        <f>_xlfn.MAXIFS(Daten!B:B,Daten!G:G,A14,Daten!E:E,"SELL")</f>
        <v>46147</v>
      </c>
      <c r="AD83" s="6">
        <f>SUMIFS(Daten!L:L,Daten!G:G,A14,Daten!E:E,"BUY",Daten!B:B,"&lt;"&amp;_xlfn.MAXIFS(Daten!B:B,Daten!G:G,A14,Daten!E:E,"SELL"))*-1</f>
        <v>2</v>
      </c>
    </row>
    <row r="84" spans="29:30" x14ac:dyDescent="0.25">
      <c r="AC84" s="6">
        <f>SUMIFS(Daten!L:L,Daten!G:G,A14,Daten!E:E,"BUY")*-1</f>
        <v>2</v>
      </c>
      <c r="AD84" s="6">
        <f>SUMIFS(Daten!L:L,Daten!G:G,A14,Daten!E:E,"BUY",Daten!B:B,"&lt;"&amp;AC83)*-1</f>
        <v>2</v>
      </c>
    </row>
    <row r="85" spans="29:30" x14ac:dyDescent="0.25">
      <c r="AC85" s="6">
        <f>SUMIFS(Daten!L:L,Daten!G:G,A14,Daten!E:E,"SELL")*-1</f>
        <v>1</v>
      </c>
      <c r="AD85" s="6"/>
    </row>
    <row r="86" spans="29:30" x14ac:dyDescent="0.25">
      <c r="AC86" s="6">
        <f>H14-(G14-(F14*L14))-SUMIFS(Daten!L:L,Daten!G:G,A14,Daten!E:E,"SELL")*-1</f>
        <v>5.6100000000000136</v>
      </c>
      <c r="AD86" s="6">
        <f>H14-(G14-(F14*L14))-SUMIFS(Daten!L:L,Daten!G:G,A14,Daten!E:E,"SELL")*-1 - SUMIFS(Daten!L:L,Daten!G:G,A14,Daten!E:E,"BUY",Daten!B:B,"&lt;"&amp;_xlfn.MAXIFS(Daten!B:B,Daten!G:G,A14,Daten!E:E,"SELL"))*-1</f>
        <v>3.6100000000000136</v>
      </c>
    </row>
  </sheetData>
  <autoFilter ref="A1:W62" xr:uid="{00000000-0001-0000-0100-000000000000}"/>
  <sortState xmlns:xlrd2="http://schemas.microsoft.com/office/spreadsheetml/2017/richdata2" ref="A2:AD86">
    <sortCondition ref="A2:A86"/>
  </sortState>
  <conditionalFormatting sqref="N2:N1048576">
    <cfRule type="cellIs" dxfId="134" priority="8" operator="lessThan">
      <formula>0</formula>
    </cfRule>
    <cfRule type="cellIs" dxfId="133" priority="9" operator="greaterThan">
      <formula>0</formula>
    </cfRule>
    <cfRule type="cellIs" dxfId="132" priority="11" operator="greaterThan">
      <formula>0</formula>
    </cfRule>
  </conditionalFormatting>
  <conditionalFormatting sqref="Q2:R1048576">
    <cfRule type="cellIs" dxfId="131" priority="3" operator="lessThan">
      <formula>0</formula>
    </cfRule>
    <cfRule type="cellIs" dxfId="130" priority="4" operator="greaterThan">
      <formula>0</formula>
    </cfRule>
  </conditionalFormatting>
  <conditionalFormatting sqref="V2:W1048576">
    <cfRule type="cellIs" dxfId="129" priority="1" operator="lessThan">
      <formula>0</formula>
    </cfRule>
    <cfRule type="cellIs" dxfId="128"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18" zoomScale="115" zoomScaleNormal="115" workbookViewId="0">
      <selection activeCell="B138" sqref="B138"/>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1254</v>
      </c>
      <c r="B1" s="11"/>
    </row>
    <row r="2" spans="1:3" s="12" customFormat="1" ht="15.75" x14ac:dyDescent="0.25">
      <c r="A2" s="10"/>
      <c r="B2" s="11"/>
    </row>
    <row r="3" spans="1:3" s="12" customFormat="1" ht="15.75" x14ac:dyDescent="0.25">
      <c r="A3" s="13" t="s">
        <v>1255</v>
      </c>
      <c r="B3" s="11">
        <f>COUNTA(Auswertung!A:A) - 1</f>
        <v>61</v>
      </c>
      <c r="C3" s="23">
        <f>B3/B3</f>
        <v>1</v>
      </c>
    </row>
    <row r="4" spans="1:3" s="12" customFormat="1" ht="15.75" x14ac:dyDescent="0.25">
      <c r="A4" s="13" t="s">
        <v>1287</v>
      </c>
      <c r="B4" s="11">
        <f>COUNTIFS(Auswertung!B:B,"STOCK")</f>
        <v>38</v>
      </c>
      <c r="C4" s="23">
        <f>B4/B3</f>
        <v>0.62295081967213117</v>
      </c>
    </row>
    <row r="5" spans="1:3" s="12" customFormat="1" ht="15.75" x14ac:dyDescent="0.25">
      <c r="A5" s="13" t="s">
        <v>1288</v>
      </c>
      <c r="B5" s="11">
        <f>COUNTIFS(Auswertung!B:B,"FUND")</f>
        <v>14</v>
      </c>
      <c r="C5" s="23">
        <f>B5/B3</f>
        <v>0.22950819672131148</v>
      </c>
    </row>
    <row r="6" spans="1:3" s="12" customFormat="1" ht="15.75" x14ac:dyDescent="0.25">
      <c r="A6" s="13" t="s">
        <v>1289</v>
      </c>
      <c r="B6" s="11">
        <f>COUNTIFS(Auswertung!B:B,"CRYPTO")</f>
        <v>9</v>
      </c>
      <c r="C6" s="23">
        <f>B6/B3</f>
        <v>0.14754098360655737</v>
      </c>
    </row>
    <row r="7" spans="1:3" s="12" customFormat="1" ht="15.75" x14ac:dyDescent="0.25">
      <c r="A7" s="13"/>
      <c r="B7" s="11"/>
    </row>
    <row r="8" spans="1:3" s="12" customFormat="1" ht="15.75" x14ac:dyDescent="0.25">
      <c r="A8" s="13" t="s">
        <v>1293</v>
      </c>
      <c r="B8" s="11">
        <f>COUNTIFS(Auswertung!K:K,"OFFEN")</f>
        <v>30</v>
      </c>
      <c r="C8" s="23">
        <f>B8/B8</f>
        <v>1</v>
      </c>
    </row>
    <row r="9" spans="1:3" s="12" customFormat="1" ht="15.75" x14ac:dyDescent="0.25">
      <c r="A9" s="13" t="s">
        <v>1290</v>
      </c>
      <c r="B9" s="11">
        <f>COUNTIFS(Auswertung!B:B,"STOCK",Auswertung!K:K,"OFFEN")</f>
        <v>8</v>
      </c>
      <c r="C9" s="23">
        <f>B9/B8</f>
        <v>0.26666666666666666</v>
      </c>
    </row>
    <row r="10" spans="1:3" s="12" customFormat="1" ht="15.75" x14ac:dyDescent="0.25">
      <c r="A10" s="13" t="s">
        <v>1291</v>
      </c>
      <c r="B10" s="11">
        <f>COUNTIFS(Auswertung!B:B,"FUND",Auswertung!K:K,"OFFEN")</f>
        <v>13</v>
      </c>
      <c r="C10" s="23">
        <f>B10/B8</f>
        <v>0.43333333333333335</v>
      </c>
    </row>
    <row r="11" spans="1:3" s="12" customFormat="1" ht="15.75" x14ac:dyDescent="0.25">
      <c r="A11" s="13" t="s">
        <v>1292</v>
      </c>
      <c r="B11" s="11">
        <f>COUNTIFS(Auswertung!B:B,"CRYPTO",Auswertung!K:K,"OFFEN")</f>
        <v>9</v>
      </c>
      <c r="C11" s="23">
        <f>B11/B8</f>
        <v>0.3</v>
      </c>
    </row>
    <row r="12" spans="1:3" s="12" customFormat="1" ht="15.75" x14ac:dyDescent="0.25">
      <c r="A12" s="13"/>
      <c r="B12" s="11"/>
    </row>
    <row r="13" spans="1:3" s="12" customFormat="1" ht="15.75" x14ac:dyDescent="0.25">
      <c r="A13" s="13" t="s">
        <v>1294</v>
      </c>
      <c r="B13" s="11">
        <f>COUNTIFS(Auswertung!K:K,"GESCHLOSSEN")</f>
        <v>31</v>
      </c>
    </row>
    <row r="14" spans="1:3" s="12" customFormat="1" ht="15.75" x14ac:dyDescent="0.25">
      <c r="A14" s="13" t="s">
        <v>1295</v>
      </c>
      <c r="B14" s="11">
        <f>COUNTIFS(Auswertung!B:B,"STOCK",Auswertung!K:K,"GESCHLOSSEN")</f>
        <v>30</v>
      </c>
    </row>
    <row r="15" spans="1:3" s="12" customFormat="1" ht="15.75" x14ac:dyDescent="0.25">
      <c r="A15" s="13" t="s">
        <v>1296</v>
      </c>
      <c r="B15" s="11">
        <f>COUNTIFS(Auswertung!B:B,"FUND",Auswertung!K:K,"GESCHLOSSEN")</f>
        <v>1</v>
      </c>
    </row>
    <row r="16" spans="1:3" s="12" customFormat="1" ht="15.75" x14ac:dyDescent="0.25">
      <c r="A16" s="13" t="s">
        <v>1297</v>
      </c>
      <c r="B16" s="11">
        <f>COUNTIFS(Auswertung!B:B,"CRYPTO",Auswertung!K:K,"GESCHLOSSEN")</f>
        <v>0</v>
      </c>
    </row>
    <row r="17" spans="1:5" s="12" customFormat="1" ht="15.75" x14ac:dyDescent="0.25">
      <c r="A17" s="13"/>
      <c r="B17" s="11"/>
    </row>
    <row r="18" spans="1:5" s="12" customFormat="1" ht="15.75" x14ac:dyDescent="0.25">
      <c r="A18" s="13" t="s">
        <v>1372</v>
      </c>
      <c r="B18" s="14">
        <f>SUM(Auswertung!G:G)-SUMIFS(Daten!L:L,Daten!E:E,"BUY")</f>
        <v>24703.460000000003</v>
      </c>
      <c r="D18" s="22">
        <f>-SUMIFS(Daten!K:K,Daten!E:E,"BUY")-SUMIFS(Daten!L:L,Daten!E:E,"BUY")</f>
        <v>24703.460000000003</v>
      </c>
    </row>
    <row r="19" spans="1:5" s="12" customFormat="1" ht="15.75" x14ac:dyDescent="0.25">
      <c r="A19" s="13" t="s">
        <v>1373</v>
      </c>
      <c r="B19" s="14">
        <f>SUMIFS(Auswertung!G:G,Auswertung!B:B,"STOCK")+SUMIFS(Auswertung!G:G,Auswertung!B:B,"FUND")-SUMIFS(Daten!L:L,Daten!E:E,"BUY",Daten!F:F,"STOCK")-SUMIFS(Daten!L:L,Daten!E:E,"BUY",Daten!F:F,"FUND")</f>
        <v>22621.809999999998</v>
      </c>
      <c r="C19" s="23">
        <f>B19/B18</f>
        <v>0.91573447606124792</v>
      </c>
      <c r="D19" s="22">
        <f>-SUMIFS(Daten!K:K,Daten!F:F,"STOCK",Daten!E:E,"BUY")-SUMIFS(Daten!K:K,Daten!F:F,"FUND",Daten!E:E,"BUY")-SUMIFS(Daten!L:L,Daten!E:E,"BUY",Daten!F:F,"STOCK")-SUMIFS(Daten!L:L,Daten!E:E,"BUY",Daten!F:F,"FUND")</f>
        <v>22621.809999999998</v>
      </c>
    </row>
    <row r="20" spans="1:5" s="12" customFormat="1" ht="15.75" x14ac:dyDescent="0.25">
      <c r="A20" s="13" t="s">
        <v>1374</v>
      </c>
      <c r="B20" s="14">
        <f>SUMIFS(Auswertung!G:G,Auswertung!B:B,"STOCK")-SUMIFS(Daten!L:L,Daten!E:E,"BUY",Daten!F:F,"STOCK")</f>
        <v>12969.64</v>
      </c>
      <c r="C20" s="23">
        <f>B20/B18</f>
        <v>0.52501309533158502</v>
      </c>
      <c r="D20" s="22">
        <f>-SUMIFS(Daten!K:K,Daten!F:F,"STOCK",Daten!E:E,"BUY")-SUMIFS(Daten!L:L,Daten!E:E,"BUY",Daten!F:F,"STOCK")</f>
        <v>12969.64</v>
      </c>
    </row>
    <row r="21" spans="1:5" s="12" customFormat="1" ht="15.75" x14ac:dyDescent="0.25">
      <c r="A21" s="13" t="s">
        <v>1375</v>
      </c>
      <c r="B21" s="14">
        <f>SUMIFS(Auswertung!G:G,Auswertung!B:B,"FUND")-SUMIFS(Daten!L:L,Daten!E:E,"BUY",Daten!F:F,"FUND")</f>
        <v>9652.17</v>
      </c>
      <c r="C21" s="23">
        <f>B21/B18</f>
        <v>0.39072138072966295</v>
      </c>
      <c r="D21" s="22">
        <f>-SUMIFS(Daten!K:K,Daten!F:F,"FUND",Daten!E:E,"BUY")-SUMIFS(Daten!L:L,Daten!E:E,"BUY",Daten!F:F,"FUND")</f>
        <v>9652.1699999999983</v>
      </c>
    </row>
    <row r="22" spans="1:5" s="12" customFormat="1" ht="15.75" x14ac:dyDescent="0.25">
      <c r="A22" s="13" t="s">
        <v>1376</v>
      </c>
      <c r="B22" s="14">
        <f>SUMIFS(Auswertung!G:G,Auswertung!B:B,"CRYPTO")-SUMIFS(Daten!L:L,Daten!E:E,"BUY",Daten!F:F,"CRYPTO")</f>
        <v>2081.65</v>
      </c>
      <c r="C22" s="23">
        <f>B22/B18</f>
        <v>8.4265523938751891E-2</v>
      </c>
      <c r="D22" s="22">
        <f>-SUMIFS(Daten!K:K,Daten!F:F,"CRYPTO",Daten!E:E,"BUY")-SUMIFS(Daten!L:L,Daten!E:E,"BUY",Daten!F:F,"CRYPTO")</f>
        <v>2081.65</v>
      </c>
    </row>
    <row r="23" spans="1:5" s="12" customFormat="1" ht="15.75" x14ac:dyDescent="0.25">
      <c r="A23" s="13"/>
      <c r="B23" s="14"/>
      <c r="C23" s="23"/>
      <c r="D23" s="22"/>
    </row>
    <row r="24" spans="1:5" s="12" customFormat="1" ht="15.75" x14ac:dyDescent="0.25">
      <c r="A24" s="13" t="s">
        <v>1377</v>
      </c>
      <c r="B24" s="14">
        <f>SUM(Auswertung!G:G)</f>
        <v>24485.460000000003</v>
      </c>
      <c r="C24" s="23"/>
      <c r="D24" s="22">
        <f>-SUMIFS(Daten!K:K,Daten!E:E,"BUY")</f>
        <v>24485.460000000003</v>
      </c>
    </row>
    <row r="25" spans="1:5" s="12" customFormat="1" ht="15.75" x14ac:dyDescent="0.25">
      <c r="A25" s="13" t="s">
        <v>1378</v>
      </c>
      <c r="B25" s="14">
        <f>SUMIFS(Auswertung!G:G,Auswertung!B:B,"STOCK")+SUMIFS(Auswertung!G:G,Auswertung!B:B,"FUND")</f>
        <v>22442.809999999998</v>
      </c>
      <c r="C25" s="23">
        <f>B25/B24</f>
        <v>0.91657702162834576</v>
      </c>
      <c r="D25" s="22">
        <f>-SUMIFS(Daten!K:K,Daten!F:F,"STOCK",Daten!E:E,"BUY")-SUMIFS(Daten!K:K,Daten!F:F,"FUND",Daten!E:E,"BUY")</f>
        <v>22442.809999999998</v>
      </c>
    </row>
    <row r="26" spans="1:5" s="12" customFormat="1" ht="15.75" x14ac:dyDescent="0.25">
      <c r="A26" s="13" t="s">
        <v>1379</v>
      </c>
      <c r="B26" s="14">
        <f>SUMIFS(Auswertung!G:G,Auswertung!B:B,"STOCK")</f>
        <v>12842.64</v>
      </c>
      <c r="C26" s="23">
        <f>B26/B24</f>
        <v>0.52450066284235619</v>
      </c>
      <c r="D26" s="22">
        <f>-SUMIFS(Daten!K:K,Daten!F:F,"STOCK",Daten!E:E,"BUY")</f>
        <v>12842.64</v>
      </c>
    </row>
    <row r="27" spans="1:5" s="12" customFormat="1" ht="15.75" x14ac:dyDescent="0.25">
      <c r="A27" s="13" t="s">
        <v>1380</v>
      </c>
      <c r="B27" s="14">
        <f>SUMIFS(Auswertung!G:G,Auswertung!B:B,"FUND")</f>
        <v>9600.17</v>
      </c>
      <c r="C27" s="23">
        <f>B27/B24</f>
        <v>0.39207635878598968</v>
      </c>
      <c r="D27" s="22">
        <f>-SUMIFS(Daten!K:K,Daten!F:F,"FUND",Daten!E:E,"BUY")</f>
        <v>9600.1699999999983</v>
      </c>
    </row>
    <row r="28" spans="1:5" s="12" customFormat="1" ht="15.75" x14ac:dyDescent="0.25">
      <c r="A28" s="13" t="s">
        <v>1381</v>
      </c>
      <c r="B28" s="14">
        <f>SUMIFS(Auswertung!G:G,Auswertung!B:B,"CRYPTO")</f>
        <v>2042.65</v>
      </c>
      <c r="C28" s="23">
        <f>B28/B24</f>
        <v>8.3422978371654036E-2</v>
      </c>
      <c r="D28" s="22">
        <f>-SUMIFS(Daten!K:K,Daten!F:F,"CRYPTO",Daten!E:E,"BUY")</f>
        <v>2042.65</v>
      </c>
    </row>
    <row r="29" spans="1:5" s="12" customFormat="1" ht="15.75" x14ac:dyDescent="0.25">
      <c r="A29" s="13"/>
      <c r="B29" s="14"/>
    </row>
    <row r="30" spans="1:5" s="12" customFormat="1" ht="15.75" x14ac:dyDescent="0.25">
      <c r="A30" s="13" t="s">
        <v>1386</v>
      </c>
      <c r="B30" s="14">
        <f>SUM(Auswertung!H:H)-SUMIFS(Daten!L:L,Daten!E:E,"SELL")</f>
        <v>11914.88</v>
      </c>
      <c r="D30" s="22">
        <f>SUMIFS(Daten!K:K,Daten!E:E,"SELL")-SUMIFS(Daten!L:L,Daten!E:E,"SELL")</f>
        <v>11914.880000000001</v>
      </c>
      <c r="E30" s="22"/>
    </row>
    <row r="31" spans="1:5" s="12" customFormat="1" ht="15.75" x14ac:dyDescent="0.25">
      <c r="A31" s="13" t="s">
        <v>1382</v>
      </c>
      <c r="B31" s="14">
        <f>SUMIFS(Auswertung!H:H,Auswertung!B:B,"STOCK")+SUMIFS(Auswertung!H:H,Auswertung!B:B,"FUND")-SUMIFS(Daten!L:L,Daten!E:E,"SELL",Daten!F:F,"STOCK")-SUMIFS(Daten!L:L,Daten!E:E,"SELL",Daten!F:F,"FUND")</f>
        <v>11052.319999999998</v>
      </c>
      <c r="C31" s="23">
        <f>B31/B30</f>
        <v>0.92760648869312978</v>
      </c>
      <c r="D31" s="22">
        <f>SUMIFS(Daten!K:K,Daten!F:F,"STOCK",Daten!E:E,"SELL")+SUMIFS(Daten!K:K,Daten!F:F,"FUND",Daten!E:E,"SELL")-SUMIFS(Daten!L:L,Daten!E:E,"SELL",Daten!F:F,"STOCK")-SUMIFS(Daten!L:L,Daten!E:E,"SELL",Daten!F:F,"FUND")</f>
        <v>11052.32</v>
      </c>
      <c r="E31" s="22"/>
    </row>
    <row r="32" spans="1:5" s="12" customFormat="1" ht="15.75" x14ac:dyDescent="0.25">
      <c r="A32" s="13" t="s">
        <v>1383</v>
      </c>
      <c r="B32" s="14">
        <f>SUMIFS(Auswertung!H:H,Auswertung!B:B,"STOCK")-SUMIFS(Daten!L:L,Daten!E:E,"SELL",Daten!F:F,"STOCK")</f>
        <v>10544.709999999997</v>
      </c>
      <c r="C32" s="23">
        <f>B32/B30</f>
        <v>0.88500345786109458</v>
      </c>
      <c r="D32" s="22">
        <f>SUMIFS(Daten!K:K,Daten!F:F,"STOCK",Daten!E:E,"SELL")-SUMIFS(Daten!L:L,Daten!E:E,"SELL",Daten!F:F,"STOCK")</f>
        <v>10544.71</v>
      </c>
    </row>
    <row r="33" spans="1:4" s="12" customFormat="1" ht="15.75" x14ac:dyDescent="0.25">
      <c r="A33" s="13" t="s">
        <v>1384</v>
      </c>
      <c r="B33" s="14">
        <f>SUMIFS(Auswertung!H:H,Auswertung!B:B,"FUND")-SUMIFS(Daten!L:L,Daten!E:E,"SELL",Daten!F:F,"FUND")</f>
        <v>507.61</v>
      </c>
      <c r="C33" s="23">
        <f>B33/B30</f>
        <v>4.2603030832035239E-2</v>
      </c>
      <c r="D33" s="22">
        <f>SUMIFS(Daten!K:K,Daten!F:F,"FUND",Daten!E:E,"SELL")-SUMIFS(Daten!L:L,Daten!E:E,"SELL",Daten!F:F,"FUND")</f>
        <v>507.61</v>
      </c>
    </row>
    <row r="34" spans="1:4" s="12" customFormat="1" ht="15.75" x14ac:dyDescent="0.25">
      <c r="A34" s="13" t="s">
        <v>1385</v>
      </c>
      <c r="B34" s="14">
        <f>SUMIFS(Auswertung!H:H,Auswertung!B:B,"CRYPTO")-SUMIFS(Daten!L:L,Daten!E:E,"SELL",Daten!F:F,"CRYPTO")</f>
        <v>862.56000000000006</v>
      </c>
      <c r="C34" s="23">
        <f>B33/B30</f>
        <v>4.2603030832035239E-2</v>
      </c>
      <c r="D34" s="22">
        <f>SUMIFS(Daten!K:K,Daten!F:F,"CRYPTO",Daten!E:E,"SELL")-SUMIFS(Daten!L:L,Daten!E:E,"SELL",Daten!F:F,"CRYPTO")</f>
        <v>862.56000000000006</v>
      </c>
    </row>
    <row r="35" spans="1:4" s="12" customFormat="1" ht="15.75" x14ac:dyDescent="0.25">
      <c r="A35" s="13"/>
      <c r="B35" s="14"/>
      <c r="C35" s="23"/>
      <c r="D35" s="22"/>
    </row>
    <row r="36" spans="1:4" s="12" customFormat="1" ht="15.75" x14ac:dyDescent="0.25">
      <c r="A36" s="13" t="s">
        <v>1387</v>
      </c>
      <c r="B36" s="14">
        <f>SUM(Auswertung!H:H)</f>
        <v>11852.88</v>
      </c>
      <c r="C36" s="23"/>
      <c r="D36" s="22">
        <f>SUMIFS(Daten!K:K,Daten!E:E,"SELL")</f>
        <v>11852.880000000001</v>
      </c>
    </row>
    <row r="37" spans="1:4" s="12" customFormat="1" ht="15.75" x14ac:dyDescent="0.25">
      <c r="A37" s="13" t="s">
        <v>1388</v>
      </c>
      <c r="B37" s="14">
        <f>SUMIFS(Auswertung!H:H,Auswertung!B:B,"STOCK")+SUMIFS(Auswertung!H:H,Auswertung!B:B,"FUND")</f>
        <v>10992.319999999998</v>
      </c>
      <c r="C37" s="23">
        <f>B37/B36</f>
        <v>0.92739654834943053</v>
      </c>
      <c r="D37" s="22">
        <f>SUMIFS(Daten!K:K,Daten!F:F,"STOCK",Daten!E:E,"SELL")+SUMIFS(Daten!K:K,Daten!F:F,"FUND",Daten!E:E,"SELL")</f>
        <v>10992.32</v>
      </c>
    </row>
    <row r="38" spans="1:4" s="12" customFormat="1" ht="15.75" x14ac:dyDescent="0.25">
      <c r="A38" s="13" t="s">
        <v>1389</v>
      </c>
      <c r="B38" s="14">
        <f>SUMIFS(Auswertung!H:H,Auswertung!B:B,"STOCK")</f>
        <v>10485.709999999997</v>
      </c>
      <c r="C38" s="23">
        <f>B38/B36</f>
        <v>0.88465503742550322</v>
      </c>
      <c r="D38" s="22">
        <f>SUMIFS(Daten!K:K,Daten!F:F,"STOCK",Daten!E:E,"SELL")</f>
        <v>10485.709999999999</v>
      </c>
    </row>
    <row r="39" spans="1:4" s="12" customFormat="1" ht="15.75" x14ac:dyDescent="0.25">
      <c r="A39" s="13" t="s">
        <v>1390</v>
      </c>
      <c r="B39" s="14">
        <f>SUMIFS(Auswertung!H:H,Auswertung!B:B,"FUND")</f>
        <v>506.61</v>
      </c>
      <c r="C39" s="23">
        <f>B39/B36</f>
        <v>4.2741510923927355E-2</v>
      </c>
      <c r="D39" s="22">
        <f>SUMIFS(Daten!K:K,Daten!F:F,"FUND",Daten!E:E,"SELL")</f>
        <v>506.61</v>
      </c>
    </row>
    <row r="40" spans="1:4" s="12" customFormat="1" ht="15.75" x14ac:dyDescent="0.25">
      <c r="A40" s="13" t="s">
        <v>1391</v>
      </c>
      <c r="B40" s="14">
        <f>SUMIFS(Auswertung!H:H,Auswertung!B:B,"CRYPTO")</f>
        <v>860.56000000000006</v>
      </c>
      <c r="C40" s="23">
        <f>B40/B36</f>
        <v>7.260345165056932E-2</v>
      </c>
      <c r="D40" s="22">
        <f>SUMIFS(Daten!K:K,Daten!F:F,"CRYPTO",Daten!E:E,"SELL")</f>
        <v>860.56000000000006</v>
      </c>
    </row>
    <row r="41" spans="1:4" s="12" customFormat="1" ht="15.75" x14ac:dyDescent="0.25">
      <c r="A41" s="13"/>
      <c r="B41" s="14"/>
    </row>
    <row r="42" spans="1:4" s="12" customFormat="1" ht="15.75" x14ac:dyDescent="0.25">
      <c r="A42" s="13" t="s">
        <v>1256</v>
      </c>
      <c r="B42" s="14">
        <f>SUM(Auswertung!I:I)</f>
        <v>280</v>
      </c>
      <c r="C42" s="22">
        <f>-SUM(Daten!L:L)</f>
        <v>280</v>
      </c>
      <c r="D42" s="23"/>
    </row>
    <row r="43" spans="1:4" s="12" customFormat="1" ht="15.75" x14ac:dyDescent="0.25">
      <c r="A43" s="13" t="s">
        <v>1366</v>
      </c>
      <c r="B43" s="14">
        <f>SUMIFS(Auswertung!I:I,Auswertung!B:B,"STOCK")+SUMIFS(Auswertung!I:I,Auswertung!B:B,"FUND")</f>
        <v>239</v>
      </c>
      <c r="C43" s="22">
        <f xml:space="preserve"> -SUMIFS(Daten!L:L,Daten!F:F,"STOCK")-SUMIFS(Daten!L:L,Daten!F:F,"FUND")</f>
        <v>239</v>
      </c>
      <c r="D43" s="23">
        <f>C43/C42</f>
        <v>0.85357142857142854</v>
      </c>
    </row>
    <row r="44" spans="1:4" s="12" customFormat="1" ht="15.75" x14ac:dyDescent="0.25">
      <c r="A44" s="13" t="s">
        <v>1301</v>
      </c>
      <c r="B44" s="14">
        <f>SUMIFS(Auswertung!I:I,Auswertung!B:B,"STOCK")</f>
        <v>186</v>
      </c>
      <c r="C44" s="22">
        <f xml:space="preserve"> -SUMIFS(Daten!L:L,Daten!F:F,"STOCK")</f>
        <v>186</v>
      </c>
      <c r="D44" s="23">
        <f>C44/C42</f>
        <v>0.66428571428571426</v>
      </c>
    </row>
    <row r="45" spans="1:4" s="12" customFormat="1" ht="15.75" x14ac:dyDescent="0.25">
      <c r="A45" s="13" t="s">
        <v>1302</v>
      </c>
      <c r="B45" s="14">
        <f>SUMIFS(Auswertung!I:I,Auswertung!B:B,"FUND")</f>
        <v>53</v>
      </c>
      <c r="C45" s="22">
        <f xml:space="preserve"> -SUMIFS(Daten!L:L,Daten!F:F,"FUND")</f>
        <v>53</v>
      </c>
      <c r="D45" s="23">
        <f>C45/C42</f>
        <v>0.18928571428571428</v>
      </c>
    </row>
    <row r="46" spans="1:4" s="12" customFormat="1" ht="15.75" x14ac:dyDescent="0.25">
      <c r="A46" s="13" t="s">
        <v>1303</v>
      </c>
      <c r="B46" s="14">
        <f>SUMIFS(Auswertung!I:I,Auswertung!B:B,"CRYPTO")</f>
        <v>41</v>
      </c>
      <c r="C46" s="22">
        <f xml:space="preserve"> -SUMIFS(Daten!L:L,Daten!F:F,"CRYPTO")</f>
        <v>41</v>
      </c>
      <c r="D46" s="23">
        <f>C46/C42</f>
        <v>0.14642857142857144</v>
      </c>
    </row>
    <row r="47" spans="1:4" s="12" customFormat="1" ht="15.75" x14ac:dyDescent="0.25">
      <c r="A47" s="13"/>
      <c r="B47" s="14"/>
    </row>
    <row r="48" spans="1:4" s="12" customFormat="1" ht="15.75" x14ac:dyDescent="0.25">
      <c r="A48" s="13" t="s">
        <v>1350</v>
      </c>
      <c r="B48" s="14">
        <f xml:space="preserve"> -SUMIFS(Daten!L:L,Daten!E:E,"BUY")</f>
        <v>218</v>
      </c>
    </row>
    <row r="49" spans="1:3" s="12" customFormat="1" ht="15.75" x14ac:dyDescent="0.25">
      <c r="A49" s="13" t="s">
        <v>1367</v>
      </c>
      <c r="B49" s="14">
        <f xml:space="preserve"> -SUMIFS(Daten!L:L,Daten!E:E,"BUY",Daten!F:F,"STOCK")-SUMIFS(Daten!L:L,Daten!E:E,"BUY",Daten!F:F,"FUND")</f>
        <v>179</v>
      </c>
      <c r="C49" s="23">
        <f>B49/B48</f>
        <v>0.82110091743119262</v>
      </c>
    </row>
    <row r="50" spans="1:3" s="12" customFormat="1" ht="15.75" x14ac:dyDescent="0.25">
      <c r="A50" s="13" t="s">
        <v>1351</v>
      </c>
      <c r="B50" s="14">
        <f xml:space="preserve"> -SUMIFS(Daten!L:L,Daten!E:E,"BUY",Daten!F:F,"STOCK")</f>
        <v>127</v>
      </c>
      <c r="C50" s="23">
        <f>B50/B48</f>
        <v>0.58256880733944949</v>
      </c>
    </row>
    <row r="51" spans="1:3" s="12" customFormat="1" ht="15.75" x14ac:dyDescent="0.25">
      <c r="A51" s="13" t="s">
        <v>1352</v>
      </c>
      <c r="B51" s="14">
        <f xml:space="preserve"> -SUMIFS(Daten!L:L,Daten!E:E,"BUY",Daten!F:F,"FUND")</f>
        <v>52</v>
      </c>
      <c r="C51" s="23">
        <f>B51/B48</f>
        <v>0.23853211009174313</v>
      </c>
    </row>
    <row r="52" spans="1:3" s="12" customFormat="1" ht="15.75" x14ac:dyDescent="0.25">
      <c r="A52" s="13" t="s">
        <v>1353</v>
      </c>
      <c r="B52" s="14">
        <f xml:space="preserve"> -SUMIFS(Daten!L:L,Daten!E:E,"BUY",Daten!F:F,"CRYPTO")</f>
        <v>39</v>
      </c>
      <c r="C52" s="23">
        <f>B52/B48</f>
        <v>0.17889908256880735</v>
      </c>
    </row>
    <row r="53" spans="1:3" s="12" customFormat="1" ht="15.75" x14ac:dyDescent="0.25">
      <c r="A53" s="13"/>
      <c r="B53" s="14"/>
    </row>
    <row r="54" spans="1:3" s="12" customFormat="1" ht="15.75" x14ac:dyDescent="0.25">
      <c r="A54" s="13" t="s">
        <v>1355</v>
      </c>
      <c r="B54" s="14">
        <f xml:space="preserve"> -SUMIFS(Daten!L:L,Daten!E:E,"SELL")</f>
        <v>62</v>
      </c>
      <c r="C54" s="23"/>
    </row>
    <row r="55" spans="1:3" s="12" customFormat="1" ht="15.75" x14ac:dyDescent="0.25">
      <c r="A55" s="13" t="s">
        <v>1368</v>
      </c>
      <c r="B55" s="14">
        <f xml:space="preserve"> -SUMIFS(Daten!L:L,Daten!E:E,"SELL",Daten!F:F,"STOCK")-SUMIFS(Daten!L:L,Daten!E:E,"SELL",Daten!F:F,"FUND")</f>
        <v>60</v>
      </c>
      <c r="C55" s="23">
        <f>B55/B54</f>
        <v>0.967741935483871</v>
      </c>
    </row>
    <row r="56" spans="1:3" s="12" customFormat="1" ht="15.75" x14ac:dyDescent="0.25">
      <c r="A56" s="13" t="s">
        <v>1354</v>
      </c>
      <c r="B56" s="14">
        <f xml:space="preserve"> -SUMIFS(Daten!L:L,Daten!E:E,"SELL",Daten!F:F,"STOCK")</f>
        <v>59</v>
      </c>
      <c r="C56" s="23">
        <f>B56/B54</f>
        <v>0.95161290322580649</v>
      </c>
    </row>
    <row r="57" spans="1:3" s="12" customFormat="1" ht="15.75" x14ac:dyDescent="0.25">
      <c r="A57" s="13" t="s">
        <v>1356</v>
      </c>
      <c r="B57" s="14">
        <f xml:space="preserve"> -SUMIFS(Daten!L:L,Daten!E:E,"SELL",Daten!F:F,"FUND")</f>
        <v>1</v>
      </c>
      <c r="C57" s="23">
        <f>B57/B54</f>
        <v>1.6129032258064516E-2</v>
      </c>
    </row>
    <row r="58" spans="1:3" s="12" customFormat="1" ht="15.75" x14ac:dyDescent="0.25">
      <c r="A58" s="13" t="s">
        <v>1357</v>
      </c>
      <c r="B58" s="14">
        <f xml:space="preserve"> -SUMIFS(Daten!L:L,Daten!E:E,"SELL",Daten!F:F,"CRYPTO")</f>
        <v>2</v>
      </c>
      <c r="C58" s="23">
        <f>B58/B54</f>
        <v>3.2258064516129031E-2</v>
      </c>
    </row>
    <row r="59" spans="1:3" s="12" customFormat="1" ht="15.75" x14ac:dyDescent="0.25">
      <c r="A59" s="13"/>
      <c r="B59" s="14"/>
      <c r="C59" s="23"/>
    </row>
    <row r="60" spans="1:3" s="12" customFormat="1" ht="15.75" x14ac:dyDescent="0.25">
      <c r="A60" s="13" t="s">
        <v>1397</v>
      </c>
      <c r="B60" s="29">
        <f xml:space="preserve"> SUM(Auswertung!T:T)</f>
        <v>218</v>
      </c>
      <c r="C60" s="23"/>
    </row>
    <row r="61" spans="1:3" s="12" customFormat="1" ht="15.75" x14ac:dyDescent="0.25">
      <c r="A61" s="13" t="s">
        <v>1398</v>
      </c>
      <c r="B61" s="29">
        <f xml:space="preserve"> SUMIFS(Auswertung!T:T,Auswertung!B:B,"STOCK")+SUMIFS(Auswertung!T:T,Auswertung!B:B,"FUND")</f>
        <v>179</v>
      </c>
      <c r="C61" s="23">
        <f>B61/B60</f>
        <v>0.82110091743119262</v>
      </c>
    </row>
    <row r="62" spans="1:3" s="12" customFormat="1" ht="15.75" x14ac:dyDescent="0.25">
      <c r="A62" s="13" t="s">
        <v>1399</v>
      </c>
      <c r="B62" s="29">
        <f>SUMIFS(Auswertung!T:T,Auswertung!B:B,"STOCK")</f>
        <v>127</v>
      </c>
      <c r="C62" s="23">
        <f>B62/B60</f>
        <v>0.58256880733944949</v>
      </c>
    </row>
    <row r="63" spans="1:3" s="12" customFormat="1" ht="15.75" x14ac:dyDescent="0.25">
      <c r="A63" s="13" t="s">
        <v>1400</v>
      </c>
      <c r="B63" s="29">
        <f>SUMIFS(Auswertung!T:T,Auswertung!B:B,"FUND")</f>
        <v>52</v>
      </c>
      <c r="C63" s="23">
        <f>B63/B60</f>
        <v>0.23853211009174313</v>
      </c>
    </row>
    <row r="64" spans="1:3" s="12" customFormat="1" ht="15.75" x14ac:dyDescent="0.25">
      <c r="A64" s="13" t="s">
        <v>1401</v>
      </c>
      <c r="B64" s="29">
        <f>SUMIFS(Auswertung!T:T,Auswertung!B:B,"CRYPTO")</f>
        <v>39</v>
      </c>
      <c r="C64" s="23">
        <f>B64/B60</f>
        <v>0.17889908256880735</v>
      </c>
    </row>
    <row r="65" spans="1:3" s="12" customFormat="1" ht="15.75" x14ac:dyDescent="0.25">
      <c r="A65" s="13"/>
      <c r="B65" s="29"/>
      <c r="C65" s="23"/>
    </row>
    <row r="66" spans="1:3" s="12" customFormat="1" ht="15.75" x14ac:dyDescent="0.25">
      <c r="A66" s="13" t="s">
        <v>1402</v>
      </c>
      <c r="B66" s="29">
        <f xml:space="preserve"> SUM(Auswertung!U:U)</f>
        <v>62</v>
      </c>
      <c r="C66" s="23"/>
    </row>
    <row r="67" spans="1:3" s="12" customFormat="1" ht="15.75" x14ac:dyDescent="0.25">
      <c r="A67" s="13" t="s">
        <v>1403</v>
      </c>
      <c r="B67" s="29">
        <f xml:space="preserve"> SUMIFS(Auswertung!U:U,Auswertung!B:B,"STOCK")+SUMIFS(Auswertung!U:U,Auswertung!B:B,"FUND")</f>
        <v>60</v>
      </c>
      <c r="C67" s="23">
        <f>B67/B66</f>
        <v>0.967741935483871</v>
      </c>
    </row>
    <row r="68" spans="1:3" s="12" customFormat="1" ht="15.75" x14ac:dyDescent="0.25">
      <c r="A68" s="13" t="s">
        <v>1404</v>
      </c>
      <c r="B68" s="29">
        <f>SUMIFS(Auswertung!U:U,Auswertung!B:B,"STOCK")</f>
        <v>59</v>
      </c>
      <c r="C68" s="23">
        <f>B68/B66</f>
        <v>0.95161290322580649</v>
      </c>
    </row>
    <row r="69" spans="1:3" s="12" customFormat="1" ht="15.75" x14ac:dyDescent="0.25">
      <c r="A69" s="13" t="s">
        <v>1405</v>
      </c>
      <c r="B69" s="29">
        <f>SUMIFS(Auswertung!U:U,Auswertung!B:B,"FUND")</f>
        <v>1</v>
      </c>
      <c r="C69" s="23">
        <f>B69/B66</f>
        <v>1.6129032258064516E-2</v>
      </c>
    </row>
    <row r="70" spans="1:3" s="12" customFormat="1" ht="15.75" x14ac:dyDescent="0.25">
      <c r="A70" s="13" t="s">
        <v>1406</v>
      </c>
      <c r="B70" s="29">
        <f>SUMIFS(Auswertung!U:U,Auswertung!B:B,"CRYPTO")</f>
        <v>2</v>
      </c>
      <c r="C70" s="23">
        <f>B70/B66</f>
        <v>3.2258064516129031E-2</v>
      </c>
    </row>
    <row r="71" spans="1:3" s="12" customFormat="1" ht="15.75" x14ac:dyDescent="0.25">
      <c r="A71" s="13"/>
      <c r="B71" s="29"/>
    </row>
    <row r="72" spans="1:3" s="12" customFormat="1" ht="15.75" x14ac:dyDescent="0.25">
      <c r="A72" s="13" t="s">
        <v>1298</v>
      </c>
      <c r="B72" s="14">
        <f>SUM(Auswertung!J:J)</f>
        <v>-12912.58</v>
      </c>
    </row>
    <row r="73" spans="1:3" s="12" customFormat="1" ht="15.75" x14ac:dyDescent="0.25">
      <c r="A73" s="13" t="s">
        <v>1299</v>
      </c>
      <c r="B73" s="14">
        <f>SUMIFS(Auswertung!J:J,Auswertung!B:B,"STOCK") + SUMIFS(Auswertung!J:J,Auswertung!B:B,"FUND")</f>
        <v>-11689.49</v>
      </c>
      <c r="C73" s="23">
        <f>B73/B72</f>
        <v>0.90527919284914404</v>
      </c>
    </row>
    <row r="74" spans="1:3" s="12" customFormat="1" ht="15.75" x14ac:dyDescent="0.25">
      <c r="A74" s="13" t="s">
        <v>1319</v>
      </c>
      <c r="B74" s="14">
        <f>SUMIFS(Auswertung!J:J,Auswertung!B:B,"STOCK")</f>
        <v>-2542.9299999999998</v>
      </c>
      <c r="C74" s="23">
        <f>B74/B72</f>
        <v>0.19693430747379687</v>
      </c>
    </row>
    <row r="75" spans="1:3" s="12" customFormat="1" ht="15.75" x14ac:dyDescent="0.25">
      <c r="A75" s="13" t="s">
        <v>1320</v>
      </c>
      <c r="B75" s="14">
        <f>SUMIFS(Auswertung!J:J,Auswertung!B:B,"FUND")</f>
        <v>-9146.56</v>
      </c>
      <c r="C75" s="23">
        <f>B75/B72</f>
        <v>0.70834488537534712</v>
      </c>
    </row>
    <row r="76" spans="1:3" s="12" customFormat="1" ht="15.75" x14ac:dyDescent="0.25">
      <c r="A76" s="13" t="s">
        <v>1300</v>
      </c>
      <c r="B76" s="14">
        <f>SUMIFS(Auswertung!J:J,Auswertung!B:B,"CRYPTO")</f>
        <v>-1223.0899999999999</v>
      </c>
      <c r="C76" s="23">
        <f>B76/B72</f>
        <v>9.4720807150855985E-2</v>
      </c>
    </row>
    <row r="77" spans="1:3" s="12" customFormat="1" ht="15.75" x14ac:dyDescent="0.25">
      <c r="A77" s="13"/>
      <c r="B77" s="14"/>
    </row>
    <row r="78" spans="1:3" s="12" customFormat="1" ht="15.75" x14ac:dyDescent="0.25">
      <c r="A78" s="13" t="s">
        <v>1333</v>
      </c>
      <c r="B78" s="14">
        <f>SUM(Auswertung!R:R)</f>
        <v>1163.7736081299997</v>
      </c>
    </row>
    <row r="79" spans="1:3" s="12" customFormat="1" ht="15.75" x14ac:dyDescent="0.25">
      <c r="A79" s="13" t="s">
        <v>1334</v>
      </c>
      <c r="B79" s="14">
        <f>SUMIFS(Auswertung!R:R,Auswertung!B:B,"STOCK") + SUMIFS(Auswertung!R:R,Auswertung!B:B,"FUND")</f>
        <v>1098.5136081299997</v>
      </c>
      <c r="C79" s="23">
        <f>B79/B78</f>
        <v>0.94392380137846355</v>
      </c>
    </row>
    <row r="80" spans="1:3" s="12" customFormat="1" ht="15.75" x14ac:dyDescent="0.25">
      <c r="A80" s="13" t="s">
        <v>1335</v>
      </c>
      <c r="B80" s="14">
        <f>SUMIFS(Auswertung!R:R,Auswertung!B:B,"STOCK")</f>
        <v>1094.9036081299998</v>
      </c>
      <c r="C80" s="23">
        <f>B80/B78</f>
        <v>0.9408218234896536</v>
      </c>
    </row>
    <row r="81" spans="1:3" s="12" customFormat="1" ht="15.75" x14ac:dyDescent="0.25">
      <c r="A81" s="13" t="s">
        <v>1336</v>
      </c>
      <c r="B81" s="14">
        <f>SUMIFS(Auswertung!R:R,Auswertung!B:B,"FUND")</f>
        <v>3.6100000000000136</v>
      </c>
      <c r="C81" s="23">
        <f>B81/B78</f>
        <v>3.1019778888101038E-3</v>
      </c>
    </row>
    <row r="82" spans="1:3" s="12" customFormat="1" ht="15.75" x14ac:dyDescent="0.25">
      <c r="A82" s="13" t="s">
        <v>1337</v>
      </c>
      <c r="B82" s="14">
        <f>SUMIFS(Auswertung!R:R,Auswertung!B:B,"CRYPTO")</f>
        <v>65.260000000000105</v>
      </c>
      <c r="C82" s="23">
        <f>B82/B78</f>
        <v>5.6076198621536545E-2</v>
      </c>
    </row>
    <row r="83" spans="1:3" s="12" customFormat="1" ht="15.75" x14ac:dyDescent="0.25">
      <c r="A83" s="13"/>
      <c r="B83" s="14"/>
    </row>
    <row r="84" spans="1:3" s="12" customFormat="1" ht="15.75" x14ac:dyDescent="0.25">
      <c r="A84" s="13" t="s">
        <v>1278</v>
      </c>
      <c r="B84" s="14">
        <f xml:space="preserve"> SUM(Daten!M:M)</f>
        <v>-53.69</v>
      </c>
    </row>
    <row r="85" spans="1:3" s="12" customFormat="1" ht="15.75" x14ac:dyDescent="0.25">
      <c r="A85" s="13" t="s">
        <v>1392</v>
      </c>
      <c r="B85" s="14">
        <f xml:space="preserve"> SUMIFS(Daten!M:M,Daten!F:F,"STOCK")+SUMIFS(Daten!M:M,Daten!F:F,"FUND")</f>
        <v>-70.16</v>
      </c>
    </row>
    <row r="86" spans="1:3" s="12" customFormat="1" ht="15.75" x14ac:dyDescent="0.25">
      <c r="A86" s="13" t="s">
        <v>1304</v>
      </c>
      <c r="B86" s="14">
        <f xml:space="preserve"> SUMIFS(Daten!M:M,Daten!F:F,"STOCK")</f>
        <v>-70.16</v>
      </c>
    </row>
    <row r="87" spans="1:3" s="12" customFormat="1" ht="15.75" x14ac:dyDescent="0.25">
      <c r="A87" s="13" t="s">
        <v>1305</v>
      </c>
      <c r="B87" s="14">
        <f xml:space="preserve"> SUMIFS(Daten!M:M,Daten!F:F,"FUND")</f>
        <v>0</v>
      </c>
    </row>
    <row r="88" spans="1:3" s="12" customFormat="1" ht="15.75" x14ac:dyDescent="0.25">
      <c r="A88" s="13" t="s">
        <v>1306</v>
      </c>
      <c r="B88" s="14">
        <f xml:space="preserve"> SUMIFS(Daten!M:M,Daten!F:F,"CRYPTO")</f>
        <v>0</v>
      </c>
    </row>
    <row r="89" spans="1:3" s="12" customFormat="1" ht="15.75" x14ac:dyDescent="0.25">
      <c r="A89" s="13" t="s">
        <v>1307</v>
      </c>
      <c r="B89" s="14">
        <f xml:space="preserve"> SUMIFS(Daten!M:M,Daten!E:E,"TAX_OPTIMIZATION")</f>
        <v>16.47</v>
      </c>
    </row>
    <row r="90" spans="1:3" s="12" customFormat="1" ht="15.75" x14ac:dyDescent="0.25">
      <c r="A90" s="13"/>
      <c r="B90" s="14"/>
    </row>
    <row r="91" spans="1:3" s="12" customFormat="1" ht="15.75" x14ac:dyDescent="0.25">
      <c r="A91" s="13" t="s">
        <v>1279</v>
      </c>
      <c r="B91" s="14">
        <f>SUMIFS(Auswertung!O:O,Auswertung!K:K,"OFFEN")</f>
        <v>13309.81922097733</v>
      </c>
    </row>
    <row r="92" spans="1:3" s="12" customFormat="1" ht="15.75" x14ac:dyDescent="0.25">
      <c r="A92" s="13" t="s">
        <v>1285</v>
      </c>
      <c r="B92" s="14">
        <f>SUMIFS(Auswertung!O:O,Auswertung!K:K,"OFFEN",Auswertung!B:B,"STOCK")
+SUMIFS(Auswertung!O:O,Auswertung!K:K,"OFFEN",Auswertung!B:B,"FUND")</f>
        <v>12024.893399740402</v>
      </c>
      <c r="C92" s="23">
        <f>B92/B91</f>
        <v>0.90346031002346128</v>
      </c>
    </row>
    <row r="93" spans="1:3" s="12" customFormat="1" ht="15.75" x14ac:dyDescent="0.25">
      <c r="A93" s="13" t="s">
        <v>1317</v>
      </c>
      <c r="B93" s="14">
        <f>SUMIFS(Auswertung!O:O,Auswertung!K:K,"OFFEN",Auswertung!B:B,"STOCK")</f>
        <v>2706.8124861553997</v>
      </c>
      <c r="C93" s="23">
        <f>B93/B91</f>
        <v>0.20336959061692203</v>
      </c>
    </row>
    <row r="94" spans="1:3" s="12" customFormat="1" ht="15.75" x14ac:dyDescent="0.25">
      <c r="A94" s="13" t="s">
        <v>1318</v>
      </c>
      <c r="B94" s="14">
        <f>SUMIFS(Auswertung!O:O,Auswertung!K:K,"OFFEN",Auswertung!B:B,"FUND")</f>
        <v>9318.0809135850013</v>
      </c>
      <c r="C94" s="23">
        <f>B94/B91</f>
        <v>0.70009071940653911</v>
      </c>
    </row>
    <row r="95" spans="1:3" s="12" customFormat="1" ht="15.75" x14ac:dyDescent="0.25">
      <c r="A95" s="13" t="s">
        <v>1286</v>
      </c>
      <c r="B95" s="14">
        <f>SUMIFS(Auswertung!O:O,Auswertung!K:K,"OFFEN",Auswertung!B:B,"CRYPTO")</f>
        <v>1284.9258212369289</v>
      </c>
      <c r="C95" s="23">
        <f>B95/B91</f>
        <v>9.653968997653882E-2</v>
      </c>
    </row>
    <row r="96" spans="1:3" s="12" customFormat="1" ht="15.75" x14ac:dyDescent="0.25">
      <c r="A96" s="13"/>
      <c r="B96" s="14"/>
    </row>
    <row r="97" spans="1:3" s="12" customFormat="1" ht="15.75" x14ac:dyDescent="0.25">
      <c r="A97" s="13" t="s">
        <v>1281</v>
      </c>
      <c r="B97" s="14">
        <f xml:space="preserve"> SUMIFS(Daten!K:K,Daten!E:E,"TRANSFER_INSTANT_INBOUND")
+ SUMIFS(Daten!K:K,Daten!E:E,"TRANSFER_IN")
+ SUMIFS(Daten!K:K,Daten!E:E,"GIFT")
+ SUMIFS(Daten!K:K,Daten!E:E,"DIVIDEND")
+ SUMIFS(Daten!K:K,Daten!E:E,"CUSTOMER_INPAYMENT")</f>
        <v>22468.14</v>
      </c>
    </row>
    <row r="98" spans="1:3" s="12" customFormat="1" ht="15.75" x14ac:dyDescent="0.25">
      <c r="A98" s="13" t="s">
        <v>1282</v>
      </c>
      <c r="B98" s="14">
        <f xml:space="preserve"> SUMIFS(Daten!K:K,Daten!E:E,"TRANSFER_INSTANT_OUTBOUND") + SUMIFS(Daten!K:K,Daten!E:E,"TRANSFER_OUT") + SUMIFS(Daten!K:K,Daten!E:E,"TRANSFER_OUTBOUND")</f>
        <v>-9501.33</v>
      </c>
    </row>
    <row r="99" spans="1:3" s="12" customFormat="1" ht="15.75" x14ac:dyDescent="0.25">
      <c r="A99" s="13"/>
      <c r="B99" s="14"/>
    </row>
    <row r="100" spans="1:3" s="12" customFormat="1" ht="15.75" x14ac:dyDescent="0.25">
      <c r="A100" s="13" t="s">
        <v>1283</v>
      </c>
      <c r="B100" s="14">
        <f>SUMIFS(Daten!K:K,Daten!E:E,"BUY")+SUMIFS(Daten!L:L,Daten!E:E,"BUY")</f>
        <v>-24703.460000000003</v>
      </c>
    </row>
    <row r="101" spans="1:3" s="12" customFormat="1" ht="15.75" x14ac:dyDescent="0.25">
      <c r="A101" s="13" t="s">
        <v>1308</v>
      </c>
      <c r="B101" s="14">
        <f>SUMIFS(Daten!K:K,Daten!E:E,"BUY",Daten!F:F,"STOCK")+SUMIFS(Daten!L:L,Daten!E:E,"BUY",Daten!F:F,"STOCK")</f>
        <v>-12969.64</v>
      </c>
      <c r="C101" s="23">
        <f>B101/B100</f>
        <v>0.52501309533158502</v>
      </c>
    </row>
    <row r="102" spans="1:3" s="12" customFormat="1" ht="15.75" x14ac:dyDescent="0.25">
      <c r="A102" s="13" t="s">
        <v>1309</v>
      </c>
      <c r="B102" s="14">
        <f>SUMIFS(Daten!K:K,Daten!E:E,"BUY",Daten!F:F,"FUND")+SUMIFS(Daten!L:L,Daten!E:E,"BUY",Daten!F:F,"FUND")</f>
        <v>-9652.1699999999983</v>
      </c>
      <c r="C102" s="23">
        <f>B102/B100</f>
        <v>0.39072138072966284</v>
      </c>
    </row>
    <row r="103" spans="1:3" s="12" customFormat="1" ht="15.75" x14ac:dyDescent="0.25">
      <c r="A103" s="13" t="s">
        <v>1310</v>
      </c>
      <c r="B103" s="14">
        <f>SUMIFS(Daten!K:K,Daten!E:E,"BUY",Daten!F:F,"CRYPTO")+SUMIFS(Daten!L:L,Daten!E:E,"BUY",Daten!F:F,"CRYPTO")</f>
        <v>-2081.65</v>
      </c>
      <c r="C103" s="23">
        <f>B103/B100</f>
        <v>8.4265523938751891E-2</v>
      </c>
    </row>
    <row r="104" spans="1:3" s="12" customFormat="1" ht="15.75" x14ac:dyDescent="0.25">
      <c r="A104" s="13"/>
      <c r="B104" s="14"/>
    </row>
    <row r="105" spans="1:3" s="12" customFormat="1" ht="15.75" x14ac:dyDescent="0.25">
      <c r="A105" s="13" t="s">
        <v>1284</v>
      </c>
      <c r="B105" s="14">
        <f>SUMIFS(Daten!K:K,Daten!E:E,"SELL")-SUMIFS(Daten!L:L,Daten!E:E,"SELL")</f>
        <v>11914.880000000001</v>
      </c>
    </row>
    <row r="106" spans="1:3" s="12" customFormat="1" ht="15.75" x14ac:dyDescent="0.25">
      <c r="A106" s="13" t="s">
        <v>1311</v>
      </c>
      <c r="B106" s="14">
        <f>SUMIFS(Daten!K:K,Daten!E:E,"SELL",Daten!F:F,"STOCK")-SUMIFS(Daten!L:L,Daten!E:E,"SELL",Daten!F:F,"STOCK")</f>
        <v>10544.71</v>
      </c>
      <c r="C106" s="23">
        <f>B106/B105</f>
        <v>0.88500345786109458</v>
      </c>
    </row>
    <row r="107" spans="1:3" s="12" customFormat="1" ht="15.75" x14ac:dyDescent="0.25">
      <c r="A107" s="13" t="s">
        <v>1312</v>
      </c>
      <c r="B107" s="14">
        <f>SUMIFS(Daten!K:K,Daten!E:E,"SELL",Daten!F:F,"FUND")-SUMIFS(Daten!L:L,Daten!E:E,"SELL",Daten!F:F,"FUND")</f>
        <v>507.61</v>
      </c>
      <c r="C107" s="23">
        <f>B107/B105</f>
        <v>4.2603030832035232E-2</v>
      </c>
    </row>
    <row r="108" spans="1:3" s="12" customFormat="1" ht="15.75" x14ac:dyDescent="0.25">
      <c r="A108" s="13" t="s">
        <v>1313</v>
      </c>
      <c r="B108" s="14">
        <f>SUMIFS(Daten!K:K,Daten!E:E,"SELL",Daten!F:F,"CRYPTO")-SUMIFS(Daten!L:L,Daten!E:E,"SELL",Daten!F:F,"CRYPTO")</f>
        <v>862.56000000000006</v>
      </c>
      <c r="C108" s="23">
        <f>B108/B105</f>
        <v>7.2393511306870065E-2</v>
      </c>
    </row>
    <row r="109" spans="1:3" s="12" customFormat="1" ht="15.75" x14ac:dyDescent="0.25">
      <c r="A109" s="13"/>
      <c r="B109" s="14"/>
    </row>
    <row r="110" spans="1:3" s="12" customFormat="1" ht="15.75" x14ac:dyDescent="0.25">
      <c r="A110" s="13" t="s">
        <v>1322</v>
      </c>
      <c r="B110" s="14">
        <f>SUMIFS(Auswertung!P:P,Auswertung!K:K,"OFFEN")</f>
        <v>14072.586580620899</v>
      </c>
    </row>
    <row r="111" spans="1:3" s="12" customFormat="1" ht="15.75" x14ac:dyDescent="0.25">
      <c r="A111" s="13" t="s">
        <v>1323</v>
      </c>
      <c r="B111" s="14">
        <f>SUMIFS(Auswertung!P:P,Auswertung!K:K,"OFFEN",Auswertung!B:B,"STOCK")
+SUMIFS(Auswertung!P:P,Auswertung!K:K,"OFFEN",Auswertung!B:B,"FUND")</f>
        <v>12783.846577299999</v>
      </c>
      <c r="C111" s="23">
        <f>B111/B110</f>
        <v>0.90842195242944179</v>
      </c>
    </row>
    <row r="112" spans="1:3" s="12" customFormat="1" ht="15.75" x14ac:dyDescent="0.25">
      <c r="A112" s="13" t="s">
        <v>1324</v>
      </c>
      <c r="B112" s="14">
        <f>SUMIFS(Auswertung!P:P,Auswertung!K:K,"OFFEN",Auswertung!B:B,"STOCK")</f>
        <v>3633.6654573699998</v>
      </c>
      <c r="C112" s="23">
        <f>B112/B110</f>
        <v>0.25820878319369189</v>
      </c>
    </row>
    <row r="113" spans="1:4" s="12" customFormat="1" ht="15.75" x14ac:dyDescent="0.25">
      <c r="A113" s="13" t="s">
        <v>1325</v>
      </c>
      <c r="B113" s="14">
        <f>SUMIFS(Auswertung!P:P,Auswertung!K:K,"OFFEN",Auswertung!B:B,"FUND")</f>
        <v>9150.1811199299991</v>
      </c>
      <c r="C113" s="23">
        <f>B113/B110</f>
        <v>0.6502131692357499</v>
      </c>
    </row>
    <row r="114" spans="1:4" s="12" customFormat="1" ht="15.75" x14ac:dyDescent="0.25">
      <c r="A114" s="13" t="s">
        <v>1326</v>
      </c>
      <c r="B114" s="14">
        <f>SUMIFS(Auswertung!P:P,Auswertung!K:K,"OFFEN",Auswertung!B:B,"CRYPTO")</f>
        <v>1288.7400033209001</v>
      </c>
      <c r="C114" s="23">
        <f>B114/B110</f>
        <v>9.1578047570558235E-2</v>
      </c>
    </row>
    <row r="115" spans="1:4" s="12" customFormat="1" ht="15.75" x14ac:dyDescent="0.25">
      <c r="A115" s="13"/>
      <c r="B115" s="14"/>
    </row>
    <row r="116" spans="1:4" s="12" customFormat="1" ht="15.75" x14ac:dyDescent="0.25">
      <c r="A116" s="13" t="s">
        <v>1339</v>
      </c>
      <c r="B116" s="14">
        <f>SUMIFS(Auswertung!N:N,Auswertung!N:N,"&lt;0",Auswertung!K:K,"OFFEN")</f>
        <v>-1451.74158184515</v>
      </c>
      <c r="C116" s="23"/>
    </row>
    <row r="117" spans="1:4" s="12" customFormat="1" ht="15.75" x14ac:dyDescent="0.25">
      <c r="A117" s="13" t="s">
        <v>1340</v>
      </c>
      <c r="B117" s="14">
        <f>SUMIFS(Auswertung!N:N,Auswertung!N:N,"&lt;0",Auswertung!B:B,"STOCK",Auswertung!K:K,"OFFEN")
+SUMIFS(Auswertung!N:N,Auswertung!N:N,"&lt;0",Auswertung!B:B,"FUND",Auswertung!K:K,"OFFEN")</f>
        <v>-1362.2831935406002</v>
      </c>
      <c r="C117" s="23">
        <f>B117/B116</f>
        <v>0.93837857272721426</v>
      </c>
    </row>
    <row r="118" spans="1:4" s="12" customFormat="1" ht="15.75" x14ac:dyDescent="0.25">
      <c r="A118" s="13" t="s">
        <v>1358</v>
      </c>
      <c r="B118" s="14">
        <f>SUMIFS(Auswertung!N:N,Auswertung!N:N,"&lt;0",Auswertung!B:B,"STOCK",Auswertung!K:K,"OFFEN")</f>
        <v>-936.05303155460012</v>
      </c>
      <c r="C118" s="23">
        <f>B118/B116</f>
        <v>0.64477937620611891</v>
      </c>
    </row>
    <row r="119" spans="1:4" s="12" customFormat="1" ht="15.75" x14ac:dyDescent="0.25">
      <c r="A119" s="13" t="s">
        <v>1359</v>
      </c>
      <c r="B119" s="14">
        <f>SUMIFS(Auswertung!N:N,Auswertung!N:N,"&lt;0",Auswertung!B:B,"FUND",Auswertung!K:K,"OFFEN")</f>
        <v>-426.2301619860001</v>
      </c>
      <c r="C119" s="23">
        <f>B119/B116</f>
        <v>0.2935991965210954</v>
      </c>
    </row>
    <row r="120" spans="1:4" s="12" customFormat="1" ht="15.75" x14ac:dyDescent="0.25">
      <c r="A120" s="13" t="s">
        <v>1341</v>
      </c>
      <c r="B120" s="14">
        <f>SUMIFS(Auswertung!N:N,Auswertung!N:N,"&lt;0",Auswertung!B:B,"CRYPTO",Auswertung!K:K,"OFFEN")</f>
        <v>-89.458388304550013</v>
      </c>
      <c r="C120" s="23">
        <f>B120/B116</f>
        <v>6.1621427272785863E-2</v>
      </c>
    </row>
    <row r="121" spans="1:4" s="12" customFormat="1" ht="15.75" x14ac:dyDescent="0.25">
      <c r="A121" s="13"/>
      <c r="B121" s="14"/>
    </row>
    <row r="122" spans="1:4" s="12" customFormat="1" ht="15.75" x14ac:dyDescent="0.25">
      <c r="A122" s="13" t="s">
        <v>1342</v>
      </c>
      <c r="B122" s="14">
        <f>SUMIFS(Auswertung!N:N,Auswertung!N:N,"&gt;0",Auswertung!K:K,"OFFEN")</f>
        <v>688.97422220157898</v>
      </c>
      <c r="C122" s="23"/>
    </row>
    <row r="123" spans="1:4" s="12" customFormat="1" ht="15.75" x14ac:dyDescent="0.25">
      <c r="A123" s="13" t="s">
        <v>1343</v>
      </c>
      <c r="B123" s="14">
        <f>SUMIFS(Auswertung!N:N,Auswertung!N:N,"&gt;0",Auswertung!B:B,"STOCK",Auswertung!K:K,"OFFEN")
+SUMIFS(Auswertung!N:N,Auswertung!N:N,"&gt;0",Auswertung!B:B,"FUND",Auswertung!K:K,"OFFEN")</f>
        <v>603.33001598099986</v>
      </c>
      <c r="C123" s="23">
        <f>B123/B122</f>
        <v>0.87569316316812584</v>
      </c>
    </row>
    <row r="124" spans="1:4" s="12" customFormat="1" ht="15.75" x14ac:dyDescent="0.25">
      <c r="A124" s="13" t="s">
        <v>1360</v>
      </c>
      <c r="B124" s="14">
        <f>SUMIFS(Auswertung!N:N,Auswertung!N:N,"&gt;0",Auswertung!B:B,"STOCK",Auswertung!K:K,"OFFEN")</f>
        <v>9.2000603399999896</v>
      </c>
      <c r="C124" s="23">
        <f>B124/B122</f>
        <v>1.3353272217648007E-2</v>
      </c>
    </row>
    <row r="125" spans="1:4" s="12" customFormat="1" ht="15.75" x14ac:dyDescent="0.25">
      <c r="A125" s="13" t="s">
        <v>1361</v>
      </c>
      <c r="B125" s="14">
        <f xml:space="preserve"> SUMIFS(Auswertung!N:N,Auswertung!N:N,"&gt;0",Auswertung!B:B,"FUND",Auswertung!K:K,"OFFEN")</f>
        <v>594.12995564099992</v>
      </c>
      <c r="C125" s="23">
        <f>B125/B122</f>
        <v>0.86233989095047792</v>
      </c>
    </row>
    <row r="126" spans="1:4" s="12" customFormat="1" ht="15.75" x14ac:dyDescent="0.25">
      <c r="A126" s="13" t="s">
        <v>1344</v>
      </c>
      <c r="B126" s="14">
        <f>SUMIFS(Auswertung!N:N,Auswertung!N:N,"&gt;0",Auswertung!B:B,"CRYPTO",Auswertung!K:K,"OFFEN")</f>
        <v>85.644206220578951</v>
      </c>
      <c r="C126" s="23">
        <f>B126/B122</f>
        <v>0.12430683683187396</v>
      </c>
    </row>
    <row r="127" spans="1:4" s="12" customFormat="1" ht="15.75" x14ac:dyDescent="0.25">
      <c r="A127" s="13"/>
      <c r="B127" s="14"/>
    </row>
    <row r="128" spans="1:4" s="12" customFormat="1" ht="15.75" x14ac:dyDescent="0.25">
      <c r="A128" s="13" t="s">
        <v>1345</v>
      </c>
      <c r="B128" s="14">
        <f>SUMIFS(Auswertung!N:N,Auswertung!K:K,"OFFEN")</f>
        <v>-762.76735964357124</v>
      </c>
      <c r="C128" s="22">
        <f>B91-B110</f>
        <v>-762.76735964356885</v>
      </c>
      <c r="D128" s="22">
        <f>B116+B122</f>
        <v>-762.76735964357101</v>
      </c>
    </row>
    <row r="129" spans="1:5" s="12" customFormat="1" ht="15.75" x14ac:dyDescent="0.25">
      <c r="A129" s="13" t="s">
        <v>1346</v>
      </c>
      <c r="B129" s="14">
        <f>SUMIFS(Auswertung!N:N,Auswertung!B:B,"STOCK",Auswertung!K:K,"OFFEN")
+SUMIFS(Auswertung!N:N,Auswertung!B:B,"FUND",Auswertung!K:K,"OFFEN")</f>
        <v>-758.95317755960014</v>
      </c>
      <c r="C129" s="22">
        <f>B92-B111</f>
        <v>-758.95317755959695</v>
      </c>
      <c r="D129" s="22">
        <f>B117+B123</f>
        <v>-758.95317755960036</v>
      </c>
      <c r="E129" s="23">
        <f>B129/B128</f>
        <v>0.99499954732494922</v>
      </c>
    </row>
    <row r="130" spans="1:5" s="12" customFormat="1" ht="15.75" x14ac:dyDescent="0.25">
      <c r="A130" s="13" t="s">
        <v>1364</v>
      </c>
      <c r="B130" s="14">
        <f>SUMIFS(Auswertung!N:N,Auswertung!B:B,"STOCK",Auswertung!K:K,"OFFEN")</f>
        <v>-926.85297121460007</v>
      </c>
      <c r="C130" s="22">
        <f>B93-B112</f>
        <v>-926.85297121460007</v>
      </c>
      <c r="D130" s="22">
        <f>B118+B124</f>
        <v>-926.85297121460019</v>
      </c>
      <c r="E130" s="23">
        <f>B130/B128</f>
        <v>1.215118816368471</v>
      </c>
    </row>
    <row r="131" spans="1:5" s="12" customFormat="1" ht="15.75" x14ac:dyDescent="0.25">
      <c r="A131" s="13" t="s">
        <v>1365</v>
      </c>
      <c r="B131" s="14">
        <f>SUMIFS(Auswertung!N:N,Auswertung!B:B,"FUND",Auswertung!K:K,"OFFEN")</f>
        <v>167.89979365499988</v>
      </c>
      <c r="C131" s="22">
        <f>B94-B113</f>
        <v>167.89979365500221</v>
      </c>
      <c r="D131" s="22">
        <f>B119+B125</f>
        <v>167.89979365499983</v>
      </c>
      <c r="E131" s="23">
        <f>B131/B128</f>
        <v>-0.22011926904352164</v>
      </c>
    </row>
    <row r="132" spans="1:5" s="12" customFormat="1" ht="15.75" x14ac:dyDescent="0.25">
      <c r="A132" s="13" t="s">
        <v>1347</v>
      </c>
      <c r="B132" s="14">
        <f>SUMIFS(Auswertung!N:N,Auswertung!B:B,"CRYPTO",Auswertung!K:K,"OFFEN")</f>
        <v>-3.8141820839710547</v>
      </c>
      <c r="C132" s="22">
        <f>B95-B114</f>
        <v>-3.8141820839712182</v>
      </c>
      <c r="D132" s="22">
        <f>B120+B126</f>
        <v>-3.8141820839710618</v>
      </c>
      <c r="E132" s="23">
        <f>B132/B128</f>
        <v>5.0004526750506992E-3</v>
      </c>
    </row>
    <row r="133" spans="1:5" s="12" customFormat="1" ht="15.75" x14ac:dyDescent="0.25">
      <c r="A133" s="13"/>
      <c r="B133" s="14"/>
      <c r="C133" s="22"/>
      <c r="D133" s="22"/>
    </row>
    <row r="134" spans="1:5" s="12" customFormat="1" ht="15.75" x14ac:dyDescent="0.25">
      <c r="A134" s="13" t="s">
        <v>1369</v>
      </c>
      <c r="B134" s="14">
        <f>B78+B128</f>
        <v>401.00624848642849</v>
      </c>
      <c r="C134" s="22"/>
      <c r="D134" s="22"/>
    </row>
    <row r="135" spans="1:5" s="12" customFormat="1" ht="15.75" x14ac:dyDescent="0.25">
      <c r="A135" s="13" t="s">
        <v>1370</v>
      </c>
      <c r="B135" s="14">
        <f>B79+B129</f>
        <v>339.5604305703996</v>
      </c>
      <c r="C135" s="22"/>
      <c r="D135" s="22"/>
    </row>
    <row r="136" spans="1:5" s="12" customFormat="1" ht="15.75" x14ac:dyDescent="0.25">
      <c r="A136" s="13" t="s">
        <v>1371</v>
      </c>
      <c r="B136" s="14">
        <f>B82+B132</f>
        <v>61.44581791602905</v>
      </c>
      <c r="C136" s="22"/>
      <c r="D136" s="22"/>
    </row>
    <row r="137" spans="1:5" s="12" customFormat="1" ht="15.75" x14ac:dyDescent="0.25">
      <c r="A137" s="13"/>
      <c r="B137" s="14"/>
    </row>
    <row r="138" spans="1:5" s="12" customFormat="1" ht="15.75" x14ac:dyDescent="0.25">
      <c r="A138" s="13" t="s">
        <v>1329</v>
      </c>
      <c r="B138" s="14">
        <f>B72+B91</f>
        <v>397.23922097732975</v>
      </c>
      <c r="C138" s="22"/>
    </row>
    <row r="139" spans="1:5" s="12" customFormat="1" ht="15.75" x14ac:dyDescent="0.25">
      <c r="A139" s="13" t="s">
        <v>1327</v>
      </c>
      <c r="B139" s="14">
        <f>B73+B92</f>
        <v>335.40339974040216</v>
      </c>
      <c r="C139" s="22"/>
      <c r="D139" s="22"/>
    </row>
    <row r="140" spans="1:5" s="12" customFormat="1" ht="15.75" x14ac:dyDescent="0.25">
      <c r="A140" s="13" t="s">
        <v>1328</v>
      </c>
      <c r="B140" s="14">
        <f>B76+B95</f>
        <v>61.83582123692895</v>
      </c>
      <c r="C140" s="22"/>
    </row>
    <row r="141" spans="1:5" s="12" customFormat="1" ht="15.75" x14ac:dyDescent="0.25">
      <c r="A141" s="13"/>
      <c r="B141" s="14"/>
    </row>
    <row r="142" spans="1:5" s="12" customFormat="1" ht="15.75" x14ac:dyDescent="0.25">
      <c r="A142" s="13" t="s">
        <v>1332</v>
      </c>
      <c r="B142" s="15">
        <f>-B138/B72</f>
        <v>3.0763737454275578E-2</v>
      </c>
      <c r="C142" s="23">
        <f>-B134/B72</f>
        <v>3.1055470594290879E-2</v>
      </c>
    </row>
    <row r="143" spans="1:5" s="12" customFormat="1" ht="15.75" x14ac:dyDescent="0.25">
      <c r="A143" s="13" t="s">
        <v>1330</v>
      </c>
      <c r="B143" s="15">
        <f>-B139/B73</f>
        <v>2.8692731653853349E-2</v>
      </c>
      <c r="C143" s="23">
        <f>-B135/B73</f>
        <v>2.9048352885403864E-2</v>
      </c>
    </row>
    <row r="144" spans="1:5" s="12" customFormat="1" ht="15.75" x14ac:dyDescent="0.25">
      <c r="A144" s="13" t="s">
        <v>1331</v>
      </c>
      <c r="B144" s="15">
        <f>-B140/B76</f>
        <v>5.0557049143504527E-2</v>
      </c>
      <c r="C144" s="23">
        <f>-B136/B76</f>
        <v>5.0238181913047325E-2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47"/>
  <sheetViews>
    <sheetView zoomScale="118" zoomScaleNormal="118" workbookViewId="0">
      <selection activeCell="A21" sqref="A21"/>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5" width="15.5703125" bestFit="1" customWidth="1"/>
    <col min="6"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1433</v>
      </c>
      <c r="B3" t="s">
        <v>1435</v>
      </c>
      <c r="C3" t="s">
        <v>1434</v>
      </c>
      <c r="E3" t="s">
        <v>1434</v>
      </c>
      <c r="G3" t="s">
        <v>1434</v>
      </c>
      <c r="J3" t="s">
        <v>1435</v>
      </c>
      <c r="L3" t="s">
        <v>1442</v>
      </c>
    </row>
    <row r="4" spans="1:12" x14ac:dyDescent="0.25">
      <c r="A4" s="9" t="s">
        <v>64</v>
      </c>
      <c r="B4" s="36">
        <v>1288.7400033209001</v>
      </c>
      <c r="C4" s="36">
        <v>1284.9258212369289</v>
      </c>
      <c r="E4" s="36">
        <v>13309.81922097733</v>
      </c>
      <c r="G4" s="36">
        <v>13309.81922097733</v>
      </c>
      <c r="J4" s="36">
        <v>14072.586580620899</v>
      </c>
      <c r="L4" s="36">
        <v>1163.7736081299997</v>
      </c>
    </row>
    <row r="5" spans="1:12" x14ac:dyDescent="0.25">
      <c r="A5" s="9" t="s">
        <v>464</v>
      </c>
      <c r="B5" s="36">
        <v>9150.1811199299991</v>
      </c>
      <c r="C5" s="36">
        <v>9318.0809135850013</v>
      </c>
      <c r="I5" t="s">
        <v>1436</v>
      </c>
    </row>
    <row r="6" spans="1:12" x14ac:dyDescent="0.25">
      <c r="A6" s="9" t="s">
        <v>32</v>
      </c>
      <c r="B6" s="36">
        <v>3633.6654573699998</v>
      </c>
      <c r="C6" s="36">
        <v>2706.8124861553997</v>
      </c>
      <c r="E6" s="37">
        <f>GETPIVOTDATA("Aktuelle Position €",$E$3)</f>
        <v>13309.81922097733</v>
      </c>
      <c r="G6" s="37">
        <f>GETPIVOTDATA("Aktuelle Position €",$G$3)</f>
        <v>13309.81922097733</v>
      </c>
      <c r="H6" s="37"/>
      <c r="I6" s="37">
        <f>G6-J6</f>
        <v>-762.76735964356885</v>
      </c>
      <c r="J6" s="37">
        <f>GETPIVOTDATA("Aktuell Investiert €",$J$3)</f>
        <v>14072.586580620899</v>
      </c>
      <c r="L6" s="37">
        <f>GETPIVOTDATA("Realisierte P&amp;L Verkäufe €",$L$3)</f>
        <v>1163.7736081299997</v>
      </c>
    </row>
    <row r="7" spans="1:12" x14ac:dyDescent="0.25">
      <c r="A7" s="9" t="s">
        <v>1431</v>
      </c>
      <c r="B7" s="36"/>
      <c r="C7" s="36"/>
    </row>
    <row r="8" spans="1:12" x14ac:dyDescent="0.25">
      <c r="A8" s="9" t="s">
        <v>1432</v>
      </c>
      <c r="B8" s="36">
        <v>14072.586580620899</v>
      </c>
      <c r="C8" s="36">
        <v>13309.81922097733</v>
      </c>
    </row>
    <row r="13" spans="1:12" x14ac:dyDescent="0.25">
      <c r="A13" s="34" t="s">
        <v>1433</v>
      </c>
      <c r="B13" t="s">
        <v>1434</v>
      </c>
      <c r="E13" s="34" t="s">
        <v>1433</v>
      </c>
      <c r="F13" t="s">
        <v>1434</v>
      </c>
    </row>
    <row r="14" spans="1:12" x14ac:dyDescent="0.25">
      <c r="A14" s="9" t="s">
        <v>64</v>
      </c>
      <c r="B14" s="36">
        <v>1284.9258212369289</v>
      </c>
      <c r="E14" s="9" t="s">
        <v>64</v>
      </c>
      <c r="F14" s="36">
        <v>1284.9258212369289</v>
      </c>
    </row>
    <row r="15" spans="1:12" x14ac:dyDescent="0.25">
      <c r="A15" s="35" t="s">
        <v>359</v>
      </c>
      <c r="B15" s="36">
        <v>16.06683138795</v>
      </c>
      <c r="E15" s="9" t="s">
        <v>464</v>
      </c>
      <c r="F15" s="36">
        <v>9318.0809135850013</v>
      </c>
    </row>
    <row r="16" spans="1:12" x14ac:dyDescent="0.25">
      <c r="A16" s="35" t="s">
        <v>72</v>
      </c>
      <c r="B16" s="36">
        <v>156.06166414317499</v>
      </c>
      <c r="E16" s="9" t="s">
        <v>32</v>
      </c>
      <c r="F16" s="36">
        <v>2706.8124861553997</v>
      </c>
    </row>
    <row r="17" spans="1:6" x14ac:dyDescent="0.25">
      <c r="A17" s="35" t="s">
        <v>107</v>
      </c>
      <c r="B17" s="36">
        <v>285.70489829999997</v>
      </c>
      <c r="E17" s="9" t="s">
        <v>1431</v>
      </c>
      <c r="F17" s="36"/>
    </row>
    <row r="18" spans="1:6" x14ac:dyDescent="0.25">
      <c r="A18" s="35" t="s">
        <v>1421</v>
      </c>
      <c r="B18" s="36">
        <v>113.590073884079</v>
      </c>
      <c r="E18" s="9" t="s">
        <v>1432</v>
      </c>
      <c r="F18" s="36">
        <v>13309.81922097733</v>
      </c>
    </row>
    <row r="19" spans="1:6" x14ac:dyDescent="0.25">
      <c r="A19" s="35" t="s">
        <v>118</v>
      </c>
      <c r="B19" s="36">
        <v>81.55691865899999</v>
      </c>
    </row>
    <row r="20" spans="1:6" x14ac:dyDescent="0.25">
      <c r="A20" s="35" t="s">
        <v>355</v>
      </c>
      <c r="B20" s="36">
        <v>21.480625012725</v>
      </c>
    </row>
    <row r="21" spans="1:6" x14ac:dyDescent="0.25">
      <c r="A21" s="35" t="s">
        <v>114</v>
      </c>
      <c r="B21" s="36">
        <v>40.586999999999996</v>
      </c>
    </row>
    <row r="22" spans="1:6" x14ac:dyDescent="0.25">
      <c r="A22" s="35" t="s">
        <v>65</v>
      </c>
      <c r="B22" s="36">
        <v>306.99</v>
      </c>
    </row>
    <row r="23" spans="1:6" x14ac:dyDescent="0.25">
      <c r="A23" s="35" t="s">
        <v>69</v>
      </c>
      <c r="B23" s="36">
        <v>262.88780985</v>
      </c>
    </row>
    <row r="24" spans="1:6" x14ac:dyDescent="0.25">
      <c r="A24" s="9" t="s">
        <v>464</v>
      </c>
      <c r="B24" s="36">
        <v>9318.0809135850013</v>
      </c>
    </row>
    <row r="25" spans="1:6" x14ac:dyDescent="0.25">
      <c r="A25" s="35" t="s">
        <v>1154</v>
      </c>
      <c r="B25" s="36">
        <v>704.15030078099994</v>
      </c>
    </row>
    <row r="26" spans="1:6" x14ac:dyDescent="0.25">
      <c r="A26" s="35" t="s">
        <v>465</v>
      </c>
      <c r="B26" s="36">
        <v>1170.24670971</v>
      </c>
    </row>
    <row r="27" spans="1:6" x14ac:dyDescent="0.25">
      <c r="A27" s="35" t="s">
        <v>526</v>
      </c>
      <c r="B27" s="36">
        <v>2093.6689299000004</v>
      </c>
    </row>
    <row r="28" spans="1:6" x14ac:dyDescent="0.25">
      <c r="A28" s="35" t="s">
        <v>815</v>
      </c>
      <c r="B28" s="36">
        <v>738.56246799999997</v>
      </c>
    </row>
    <row r="29" spans="1:6" x14ac:dyDescent="0.25">
      <c r="A29" s="35" t="s">
        <v>1018</v>
      </c>
      <c r="B29" s="36">
        <v>374.76208236000002</v>
      </c>
    </row>
    <row r="30" spans="1:6" x14ac:dyDescent="0.25">
      <c r="A30" s="35" t="s">
        <v>1004</v>
      </c>
      <c r="B30" s="36">
        <v>513.68861179399994</v>
      </c>
    </row>
    <row r="31" spans="1:6" x14ac:dyDescent="0.25">
      <c r="A31" s="35" t="s">
        <v>799</v>
      </c>
      <c r="B31" s="36">
        <v>917.58015488000001</v>
      </c>
    </row>
    <row r="32" spans="1:6" x14ac:dyDescent="0.25">
      <c r="A32" s="35" t="s">
        <v>1237</v>
      </c>
      <c r="B32" s="36">
        <v>393.33331759999999</v>
      </c>
    </row>
    <row r="33" spans="1:2" x14ac:dyDescent="0.25">
      <c r="A33" s="35" t="s">
        <v>1178</v>
      </c>
      <c r="B33" s="36">
        <v>514.07696344999999</v>
      </c>
    </row>
    <row r="34" spans="1:2" x14ac:dyDescent="0.25">
      <c r="A34" s="35" t="s">
        <v>1011</v>
      </c>
      <c r="B34" s="36">
        <v>353.02034564999997</v>
      </c>
    </row>
    <row r="35" spans="1:2" x14ac:dyDescent="0.25">
      <c r="A35" s="35" t="s">
        <v>955</v>
      </c>
      <c r="B35" s="36">
        <v>387.80482790000002</v>
      </c>
    </row>
    <row r="36" spans="1:2" x14ac:dyDescent="0.25">
      <c r="A36" s="35" t="s">
        <v>994</v>
      </c>
      <c r="B36" s="36">
        <v>731.08234612000001</v>
      </c>
    </row>
    <row r="37" spans="1:2" x14ac:dyDescent="0.25">
      <c r="A37" s="35" t="s">
        <v>948</v>
      </c>
      <c r="B37" s="36">
        <v>426.10385544000002</v>
      </c>
    </row>
    <row r="38" spans="1:2" x14ac:dyDescent="0.25">
      <c r="A38" s="9" t="s">
        <v>32</v>
      </c>
      <c r="B38" s="36">
        <v>2706.8124861553997</v>
      </c>
    </row>
    <row r="39" spans="1:2" x14ac:dyDescent="0.25">
      <c r="A39" s="35" t="s">
        <v>262</v>
      </c>
      <c r="B39" s="36">
        <v>28.787285579999967</v>
      </c>
    </row>
    <row r="40" spans="1:2" x14ac:dyDescent="0.25">
      <c r="A40" s="35" t="s">
        <v>300</v>
      </c>
      <c r="B40" s="36">
        <v>41.85</v>
      </c>
    </row>
    <row r="41" spans="1:2" x14ac:dyDescent="0.25">
      <c r="A41" s="35" t="s">
        <v>167</v>
      </c>
      <c r="B41" s="36">
        <v>729.96627335239987</v>
      </c>
    </row>
    <row r="42" spans="1:2" x14ac:dyDescent="0.25">
      <c r="A42" s="35" t="s">
        <v>154</v>
      </c>
      <c r="B42" s="36">
        <v>491.63063887319993</v>
      </c>
    </row>
    <row r="43" spans="1:2" x14ac:dyDescent="0.25">
      <c r="A43" s="35" t="s">
        <v>664</v>
      </c>
      <c r="B43" s="36">
        <v>229.44633042200002</v>
      </c>
    </row>
    <row r="44" spans="1:2" x14ac:dyDescent="0.25">
      <c r="A44" s="35" t="s">
        <v>747</v>
      </c>
      <c r="B44" s="36">
        <v>452.65922188000002</v>
      </c>
    </row>
    <row r="45" spans="1:2" x14ac:dyDescent="0.25">
      <c r="A45" s="35" t="s">
        <v>1182</v>
      </c>
      <c r="B45" s="36">
        <v>214.64384844000003</v>
      </c>
    </row>
    <row r="46" spans="1:2" x14ac:dyDescent="0.25">
      <c r="A46" s="35" t="s">
        <v>515</v>
      </c>
      <c r="B46" s="36">
        <v>517.82888760779997</v>
      </c>
    </row>
    <row r="47" spans="1:2" x14ac:dyDescent="0.25">
      <c r="A47" s="9" t="s">
        <v>1432</v>
      </c>
      <c r="B47" s="36">
        <v>13309.81922097733</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B1" workbookViewId="0">
      <selection activeCell="C24" sqref="C24"/>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1433</v>
      </c>
      <c r="B8" s="28" t="s">
        <v>1441</v>
      </c>
      <c r="C8" s="5" t="s">
        <v>1437</v>
      </c>
      <c r="D8" s="5" t="s">
        <v>1434</v>
      </c>
    </row>
    <row r="9" spans="1:4" x14ac:dyDescent="0.25">
      <c r="A9" s="9" t="s">
        <v>64</v>
      </c>
      <c r="B9" s="28"/>
      <c r="C9" s="38"/>
      <c r="D9" s="38"/>
    </row>
    <row r="10" spans="1:4" x14ac:dyDescent="0.25">
      <c r="A10" s="35" t="s">
        <v>359</v>
      </c>
      <c r="B10" s="28">
        <v>160.77442500000001</v>
      </c>
      <c r="C10" s="38">
        <v>9.9933999999999995E-2</v>
      </c>
      <c r="D10" s="38">
        <v>16.06683138795</v>
      </c>
    </row>
    <row r="11" spans="1:4" x14ac:dyDescent="0.25">
      <c r="A11" s="35" t="s">
        <v>72</v>
      </c>
      <c r="B11" s="28">
        <v>714.061285</v>
      </c>
      <c r="C11" s="38">
        <v>0.218555</v>
      </c>
      <c r="D11" s="38">
        <v>156.06166414317499</v>
      </c>
    </row>
    <row r="12" spans="1:4" x14ac:dyDescent="0.25">
      <c r="A12" s="35" t="s">
        <v>107</v>
      </c>
      <c r="B12" s="28">
        <v>24.110118</v>
      </c>
      <c r="C12" s="38">
        <v>11.85</v>
      </c>
      <c r="D12" s="38">
        <v>285.70489829999997</v>
      </c>
    </row>
    <row r="13" spans="1:4" x14ac:dyDescent="0.25">
      <c r="A13" s="35" t="s">
        <v>1421</v>
      </c>
      <c r="B13" s="28">
        <v>1356.0241370000001</v>
      </c>
      <c r="C13" s="38">
        <v>8.3766999999999994E-2</v>
      </c>
      <c r="D13" s="38">
        <v>113.590073884079</v>
      </c>
    </row>
    <row r="14" spans="1:4" x14ac:dyDescent="0.25">
      <c r="A14" s="35" t="s">
        <v>118</v>
      </c>
      <c r="B14" s="28">
        <v>80.193626999999992</v>
      </c>
      <c r="C14" s="38">
        <v>1.0169999999999999</v>
      </c>
      <c r="D14" s="38">
        <v>81.55691865899999</v>
      </c>
    </row>
    <row r="15" spans="1:4" x14ac:dyDescent="0.25">
      <c r="A15" s="35" t="s">
        <v>355</v>
      </c>
      <c r="B15" s="28">
        <v>223.93145699999999</v>
      </c>
      <c r="C15" s="38">
        <v>9.5924999999999996E-2</v>
      </c>
      <c r="D15" s="38">
        <v>21.480625012725</v>
      </c>
    </row>
    <row r="16" spans="1:4" x14ac:dyDescent="0.25">
      <c r="A16" s="35" t="s">
        <v>114</v>
      </c>
      <c r="B16" s="28">
        <v>24.9</v>
      </c>
      <c r="C16" s="38">
        <v>1.63</v>
      </c>
      <c r="D16" s="38">
        <v>40.586999999999996</v>
      </c>
    </row>
    <row r="17" spans="1:4" x14ac:dyDescent="0.25">
      <c r="A17" s="35" t="s">
        <v>65</v>
      </c>
      <c r="B17" s="28">
        <v>3</v>
      </c>
      <c r="C17" s="38">
        <v>102.33</v>
      </c>
      <c r="D17" s="38">
        <v>306.99</v>
      </c>
    </row>
    <row r="18" spans="1:4" x14ac:dyDescent="0.25">
      <c r="A18" s="35" t="s">
        <v>69</v>
      </c>
      <c r="B18" s="28">
        <v>194.73171099999999</v>
      </c>
      <c r="C18" s="38">
        <v>1.35</v>
      </c>
      <c r="D18" s="38">
        <v>262.88780985</v>
      </c>
    </row>
    <row r="19" spans="1:4" x14ac:dyDescent="0.25">
      <c r="A19" s="9" t="s">
        <v>1438</v>
      </c>
      <c r="B19" s="28">
        <v>2781.7267600000005</v>
      </c>
      <c r="C19" s="38">
        <v>118.67518099999999</v>
      </c>
      <c r="D19" s="38">
        <v>1284.9258212369289</v>
      </c>
    </row>
    <row r="20" spans="1:4" x14ac:dyDescent="0.25">
      <c r="A20" s="9"/>
      <c r="B20" s="28"/>
      <c r="C20" s="38"/>
      <c r="D20" s="38"/>
    </row>
    <row r="21" spans="1:4" x14ac:dyDescent="0.25">
      <c r="A21" s="9" t="s">
        <v>464</v>
      </c>
      <c r="B21" s="28"/>
      <c r="C21" s="38"/>
      <c r="D21" s="38"/>
    </row>
    <row r="22" spans="1:4" x14ac:dyDescent="0.25">
      <c r="A22" s="35" t="s">
        <v>1154</v>
      </c>
      <c r="B22" s="28">
        <v>14.461017</v>
      </c>
      <c r="C22" s="38">
        <v>48.692999999999998</v>
      </c>
      <c r="D22" s="38">
        <v>704.15030078099994</v>
      </c>
    </row>
    <row r="23" spans="1:4" x14ac:dyDescent="0.25">
      <c r="A23" s="35" t="s">
        <v>465</v>
      </c>
      <c r="B23" s="28">
        <v>9.0643020000000014</v>
      </c>
      <c r="C23" s="38">
        <v>129.10499999999999</v>
      </c>
      <c r="D23" s="38">
        <v>1170.24670971</v>
      </c>
    </row>
    <row r="24" spans="1:4" x14ac:dyDescent="0.25">
      <c r="A24" s="35" t="s">
        <v>526</v>
      </c>
      <c r="B24" s="28">
        <v>2.8623150000000002</v>
      </c>
      <c r="C24" s="38">
        <v>731.46</v>
      </c>
      <c r="D24" s="38">
        <v>2093.6689299000004</v>
      </c>
    </row>
    <row r="25" spans="1:4" x14ac:dyDescent="0.25">
      <c r="A25" s="35" t="s">
        <v>815</v>
      </c>
      <c r="B25" s="28">
        <v>2.3372229999999998</v>
      </c>
      <c r="C25" s="38">
        <v>316</v>
      </c>
      <c r="D25" s="38">
        <v>738.56246799999997</v>
      </c>
    </row>
    <row r="26" spans="1:4" x14ac:dyDescent="0.25">
      <c r="A26" s="35" t="s">
        <v>1018</v>
      </c>
      <c r="B26" s="28">
        <v>7.1821020000000004</v>
      </c>
      <c r="C26" s="38">
        <v>52.18</v>
      </c>
      <c r="D26" s="38">
        <v>374.76208236000002</v>
      </c>
    </row>
    <row r="27" spans="1:4" x14ac:dyDescent="0.25">
      <c r="A27" s="35" t="s">
        <v>1004</v>
      </c>
      <c r="B27" s="28">
        <v>102.799402</v>
      </c>
      <c r="C27" s="38">
        <v>4.9969999999999999</v>
      </c>
      <c r="D27" s="38">
        <v>513.68861179399994</v>
      </c>
    </row>
    <row r="28" spans="1:4" x14ac:dyDescent="0.25">
      <c r="A28" s="35" t="s">
        <v>799</v>
      </c>
      <c r="B28" s="28">
        <v>6.0335359999999998</v>
      </c>
      <c r="C28" s="38">
        <v>152.08000000000001</v>
      </c>
      <c r="D28" s="38">
        <v>917.58015488000001</v>
      </c>
    </row>
    <row r="29" spans="1:4" x14ac:dyDescent="0.25">
      <c r="A29" s="35" t="s">
        <v>1237</v>
      </c>
      <c r="B29" s="28">
        <v>8.3333329999999997</v>
      </c>
      <c r="C29" s="38">
        <v>47.2</v>
      </c>
      <c r="D29" s="38">
        <v>393.33331759999999</v>
      </c>
    </row>
    <row r="30" spans="1:4" x14ac:dyDescent="0.25">
      <c r="A30" s="35" t="s">
        <v>1178</v>
      </c>
      <c r="B30" s="28">
        <v>9.423959</v>
      </c>
      <c r="C30" s="38">
        <v>54.55</v>
      </c>
      <c r="D30" s="38">
        <v>514.07696344999999</v>
      </c>
    </row>
    <row r="31" spans="1:4" x14ac:dyDescent="0.25">
      <c r="A31" s="35" t="s">
        <v>1011</v>
      </c>
      <c r="B31" s="28">
        <v>8.7359650000000002</v>
      </c>
      <c r="C31" s="38">
        <v>40.409999999999997</v>
      </c>
      <c r="D31" s="38">
        <v>353.02034564999997</v>
      </c>
    </row>
    <row r="32" spans="1:4" x14ac:dyDescent="0.25">
      <c r="A32" s="35" t="s">
        <v>955</v>
      </c>
      <c r="B32" s="28">
        <v>14.728630000000001</v>
      </c>
      <c r="C32" s="38">
        <v>26.33</v>
      </c>
      <c r="D32" s="38">
        <v>387.80482790000002</v>
      </c>
    </row>
    <row r="33" spans="1:4" x14ac:dyDescent="0.25">
      <c r="A33" s="35" t="s">
        <v>994</v>
      </c>
      <c r="B33" s="28">
        <v>7.237006</v>
      </c>
      <c r="C33" s="38">
        <v>101.02</v>
      </c>
      <c r="D33" s="38">
        <v>731.08234612000001</v>
      </c>
    </row>
    <row r="34" spans="1:4" x14ac:dyDescent="0.25">
      <c r="A34" s="35" t="s">
        <v>948</v>
      </c>
      <c r="B34" s="28">
        <v>5.9082619999999997</v>
      </c>
      <c r="C34" s="38">
        <v>72.12</v>
      </c>
      <c r="D34" s="38">
        <v>426.10385544000002</v>
      </c>
    </row>
    <row r="35" spans="1:4" x14ac:dyDescent="0.25">
      <c r="A35" s="9" t="s">
        <v>1439</v>
      </c>
      <c r="B35" s="28">
        <v>199.10705200000004</v>
      </c>
      <c r="C35" s="38">
        <v>1776.145</v>
      </c>
      <c r="D35" s="38">
        <v>9318.0809135850013</v>
      </c>
    </row>
    <row r="36" spans="1:4" x14ac:dyDescent="0.25">
      <c r="A36" s="9"/>
      <c r="B36" s="28"/>
      <c r="C36" s="38"/>
      <c r="D36" s="38"/>
    </row>
    <row r="37" spans="1:4" x14ac:dyDescent="0.25">
      <c r="A37" s="9" t="s">
        <v>32</v>
      </c>
      <c r="B37" s="28"/>
      <c r="C37" s="38"/>
      <c r="D37" s="38"/>
    </row>
    <row r="38" spans="1:4" x14ac:dyDescent="0.25">
      <c r="A38" s="35" t="s">
        <v>262</v>
      </c>
      <c r="B38" s="28">
        <v>0.58191399999999938</v>
      </c>
      <c r="C38" s="38">
        <v>49.47</v>
      </c>
      <c r="D38" s="38">
        <v>28.787285579999967</v>
      </c>
    </row>
    <row r="39" spans="1:4" x14ac:dyDescent="0.25">
      <c r="A39" s="35" t="s">
        <v>300</v>
      </c>
      <c r="B39" s="28">
        <v>30</v>
      </c>
      <c r="C39" s="38">
        <v>1.395</v>
      </c>
      <c r="D39" s="38">
        <v>41.85</v>
      </c>
    </row>
    <row r="40" spans="1:4" x14ac:dyDescent="0.25">
      <c r="A40" s="35" t="s">
        <v>167</v>
      </c>
      <c r="B40" s="28">
        <v>731.28258199999993</v>
      </c>
      <c r="C40" s="38">
        <v>0.99819999999999998</v>
      </c>
      <c r="D40" s="38">
        <v>729.96627335239987</v>
      </c>
    </row>
    <row r="41" spans="1:4" x14ac:dyDescent="0.25">
      <c r="A41" s="35" t="s">
        <v>154</v>
      </c>
      <c r="B41" s="28">
        <v>32.327956999999998</v>
      </c>
      <c r="C41" s="38">
        <v>15.207599999999999</v>
      </c>
      <c r="D41" s="38">
        <v>491.63063887319993</v>
      </c>
    </row>
    <row r="42" spans="1:4" x14ac:dyDescent="0.25">
      <c r="A42" s="35" t="s">
        <v>664</v>
      </c>
      <c r="B42" s="28">
        <v>29.728729000000001</v>
      </c>
      <c r="C42" s="38">
        <v>7.718</v>
      </c>
      <c r="D42" s="38">
        <v>229.44633042200002</v>
      </c>
    </row>
    <row r="43" spans="1:4" x14ac:dyDescent="0.25">
      <c r="A43" s="35" t="s">
        <v>747</v>
      </c>
      <c r="B43" s="28">
        <v>7.1999240000000002</v>
      </c>
      <c r="C43" s="38">
        <v>62.87</v>
      </c>
      <c r="D43" s="38">
        <v>452.65922188000002</v>
      </c>
    </row>
    <row r="44" spans="1:4" x14ac:dyDescent="0.25">
      <c r="A44" s="35" t="s">
        <v>1182</v>
      </c>
      <c r="B44" s="28">
        <v>6.7689640000000004</v>
      </c>
      <c r="C44" s="38">
        <v>31.71</v>
      </c>
      <c r="D44" s="38">
        <v>214.64384844000003</v>
      </c>
    </row>
    <row r="45" spans="1:4" x14ac:dyDescent="0.25">
      <c r="A45" s="35" t="s">
        <v>515</v>
      </c>
      <c r="B45" s="28">
        <v>62.851702000000003</v>
      </c>
      <c r="C45" s="38">
        <v>8.2388999999999992</v>
      </c>
      <c r="D45" s="38">
        <v>517.82888760779997</v>
      </c>
    </row>
    <row r="46" spans="1:4" x14ac:dyDescent="0.25">
      <c r="A46" s="9" t="s">
        <v>1440</v>
      </c>
      <c r="B46" s="28">
        <v>900.74177199999997</v>
      </c>
      <c r="C46" s="38">
        <v>177.60769999999999</v>
      </c>
      <c r="D46" s="38">
        <v>2706.8124861553997</v>
      </c>
    </row>
    <row r="47" spans="1:4" x14ac:dyDescent="0.25">
      <c r="A47" s="9"/>
      <c r="B47" s="28"/>
      <c r="C47" s="38"/>
      <c r="D47" s="38"/>
    </row>
    <row r="48" spans="1:4" x14ac:dyDescent="0.25">
      <c r="A48" s="9" t="s">
        <v>1432</v>
      </c>
      <c r="B48" s="28">
        <v>3881.5755840000002</v>
      </c>
      <c r="C48" s="38">
        <v>2072.4278809999996</v>
      </c>
      <c r="D48" s="38">
        <v>13309.81922097733</v>
      </c>
    </row>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1259</v>
      </c>
      <c r="B1" s="2" t="s">
        <v>1260</v>
      </c>
    </row>
    <row r="2" spans="1:2" ht="17.25" thickBot="1" x14ac:dyDescent="0.3">
      <c r="A2" s="2" t="s">
        <v>1261</v>
      </c>
      <c r="B2" s="3" t="s">
        <v>1262</v>
      </c>
    </row>
    <row r="3" spans="1:2" ht="17.25" thickBot="1" x14ac:dyDescent="0.3">
      <c r="A3" s="2" t="s">
        <v>1263</v>
      </c>
      <c r="B3" s="3" t="s">
        <v>1264</v>
      </c>
    </row>
    <row r="4" spans="1:2" ht="33.75" thickBot="1" x14ac:dyDescent="0.3">
      <c r="A4" s="2" t="s">
        <v>1265</v>
      </c>
      <c r="B4" s="3" t="s">
        <v>1315</v>
      </c>
    </row>
    <row r="5" spans="1:2" ht="33.75" thickBot="1" x14ac:dyDescent="0.3">
      <c r="A5" s="2" t="s">
        <v>1266</v>
      </c>
      <c r="B5" s="3" t="s">
        <v>1316</v>
      </c>
    </row>
    <row r="6" spans="1:2" ht="33.75" thickBot="1" x14ac:dyDescent="0.3">
      <c r="A6" s="2" t="s">
        <v>1267</v>
      </c>
      <c r="B6" s="3" t="s">
        <v>1268</v>
      </c>
    </row>
    <row r="7" spans="1:2" ht="33.75" thickBot="1" x14ac:dyDescent="0.3">
      <c r="A7" s="2" t="s">
        <v>1269</v>
      </c>
      <c r="B7" s="3" t="s">
        <v>1270</v>
      </c>
    </row>
    <row r="8" spans="1:2" ht="17.25" thickBot="1" x14ac:dyDescent="0.3">
      <c r="A8" s="2" t="s">
        <v>1271</v>
      </c>
      <c r="B8" s="3" t="s">
        <v>1272</v>
      </c>
    </row>
    <row r="9" spans="1:2" ht="17.25" thickBot="1" x14ac:dyDescent="0.3">
      <c r="A9" s="2" t="s">
        <v>1256</v>
      </c>
      <c r="B9" s="3" t="s">
        <v>1273</v>
      </c>
    </row>
    <row r="10" spans="1:2" ht="33.75" thickBot="1" x14ac:dyDescent="0.3">
      <c r="A10" s="2" t="s">
        <v>1274</v>
      </c>
      <c r="B10" s="3" t="s">
        <v>1275</v>
      </c>
    </row>
    <row r="11" spans="1:2" ht="33.75" thickBot="1" x14ac:dyDescent="0.3">
      <c r="A11" s="2" t="s">
        <v>1276</v>
      </c>
      <c r="B11" s="3" t="s">
        <v>1277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2026-09-25T07:31:36Z</dcterms:modified>
</cp:coreProperties>
</file>