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Portfolio\Auswertung\"/>
    </mc:Choice>
  </mc:AlternateContent>
  <xr:revisionPtr revIDLastSave="0" documentId="13_ncr:1_{9C35D141-C056-42BD-A3CD-91E8E80D849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Daten" sheetId="1" r:id="rId1"/>
    <sheet name="2025" sheetId="6" r:id="rId2"/>
    <sheet name="2026" sheetId="7" r:id="rId3"/>
    <sheet name="Einnahmen" sheetId="4" r:id="rId4"/>
    <sheet name="Käufe" sheetId="2" r:id="rId5"/>
    <sheet name="Verkäufe" sheetId="3" r:id="rId6"/>
    <sheet name="Ausgaben" sheetId="5" r:id="rId7"/>
    <sheet name="Dividende" sheetId="8" r:id="rId8"/>
  </sheets>
  <definedNames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6" l="1"/>
  <c r="B8" i="7"/>
  <c r="B7" i="7"/>
  <c r="B6" i="7"/>
  <c r="B5" i="7"/>
  <c r="B7" i="6"/>
  <c r="B6" i="6"/>
  <c r="B5" i="6"/>
  <c r="B8" i="6"/>
  <c r="B1" i="7"/>
  <c r="B1" i="6"/>
  <c r="B2" i="6"/>
  <c r="A43" i="6"/>
  <c r="P23" i="6"/>
  <c r="O24" i="6"/>
  <c r="N24" i="6"/>
  <c r="M24" i="6"/>
  <c r="K24" i="6"/>
  <c r="I24" i="6"/>
  <c r="G24" i="6"/>
  <c r="F24" i="6"/>
  <c r="F23" i="6"/>
  <c r="O23" i="6"/>
  <c r="N23" i="6"/>
  <c r="M23" i="6"/>
  <c r="L23" i="6"/>
  <c r="K23" i="6"/>
  <c r="J23" i="6"/>
  <c r="I23" i="6"/>
  <c r="H23" i="6"/>
  <c r="G23" i="6"/>
  <c r="D23" i="6"/>
  <c r="P22" i="6"/>
  <c r="O22" i="6"/>
  <c r="N22" i="6"/>
  <c r="M22" i="6"/>
  <c r="L22" i="6"/>
  <c r="K22" i="6"/>
  <c r="J22" i="6"/>
  <c r="I22" i="6"/>
  <c r="H22" i="6"/>
  <c r="G22" i="6"/>
  <c r="F22" i="6"/>
  <c r="D22" i="6"/>
  <c r="P21" i="6"/>
  <c r="O21" i="6"/>
  <c r="N21" i="6"/>
  <c r="M21" i="6"/>
  <c r="L21" i="6"/>
  <c r="K21" i="6"/>
  <c r="J21" i="6"/>
  <c r="I21" i="6"/>
  <c r="H21" i="6"/>
  <c r="G21" i="6"/>
  <c r="F21" i="6"/>
  <c r="P19" i="6"/>
  <c r="O19" i="6"/>
  <c r="N19" i="6"/>
  <c r="N18" i="6"/>
  <c r="K19" i="6"/>
  <c r="I19" i="6"/>
  <c r="G19" i="6"/>
  <c r="F19" i="6"/>
  <c r="P18" i="6"/>
  <c r="O18" i="6"/>
  <c r="I18" i="6"/>
  <c r="M18" i="6"/>
  <c r="L18" i="6"/>
  <c r="C37" i="6"/>
  <c r="K18" i="6"/>
  <c r="J18" i="6"/>
  <c r="H18" i="6"/>
  <c r="G18" i="6"/>
  <c r="F18" i="6"/>
  <c r="C18" i="6"/>
  <c r="B18" i="6"/>
  <c r="B4" i="6"/>
  <c r="B3" i="6"/>
  <c r="D21" i="6"/>
  <c r="C19" i="6"/>
  <c r="B19" i="6"/>
  <c r="M19" i="6"/>
  <c r="L19" i="6"/>
  <c r="J19" i="6"/>
  <c r="H19" i="6"/>
  <c r="D19" i="6"/>
  <c r="B20" i="6"/>
  <c r="V21" i="6"/>
  <c r="V18" i="6"/>
  <c r="C40" i="6"/>
  <c r="C38" i="6"/>
  <c r="C35" i="6"/>
  <c r="U21" i="6"/>
  <c r="U18" i="6"/>
  <c r="B40" i="6"/>
  <c r="B38" i="6"/>
  <c r="B35" i="6"/>
  <c r="B36" i="6"/>
  <c r="U17" i="6"/>
  <c r="B37" i="6"/>
  <c r="C36" i="6"/>
  <c r="B34" i="6"/>
  <c r="C34" i="6"/>
  <c r="B33" i="6"/>
  <c r="C33" i="6"/>
  <c r="B32" i="6"/>
  <c r="V17" i="6"/>
  <c r="U16" i="6"/>
  <c r="C32" i="6"/>
  <c r="B31" i="6"/>
  <c r="C31" i="6"/>
  <c r="B30" i="6"/>
  <c r="C30" i="6"/>
  <c r="B29" i="6"/>
  <c r="C29" i="6"/>
  <c r="B28" i="6"/>
  <c r="V16" i="6"/>
  <c r="U15" i="6"/>
  <c r="C28" i="6"/>
  <c r="B27" i="6"/>
  <c r="C27" i="6"/>
  <c r="B26" i="6"/>
  <c r="V15" i="6"/>
  <c r="U13" i="6"/>
  <c r="U14" i="6"/>
  <c r="C26" i="6"/>
  <c r="B25" i="6"/>
  <c r="C25" i="6"/>
  <c r="B23" i="6"/>
  <c r="C23" i="6"/>
  <c r="B22" i="6"/>
  <c r="C22" i="6"/>
  <c r="B21" i="6"/>
  <c r="C21" i="6"/>
  <c r="C20" i="6"/>
  <c r="B17" i="6"/>
  <c r="C17" i="6"/>
  <c r="B16" i="6"/>
  <c r="C16" i="6"/>
  <c r="C15" i="6"/>
  <c r="B15" i="6"/>
  <c r="V14" i="6"/>
  <c r="V13" i="6"/>
  <c r="C14" i="6"/>
  <c r="C13" i="6"/>
  <c r="B14" i="6"/>
  <c r="B13" i="6"/>
  <c r="B4" i="7"/>
  <c r="B3" i="7"/>
  <c r="B2" i="7"/>
  <c r="B1" i="4"/>
  <c r="P44" i="6" l="1"/>
  <c r="O44" i="6"/>
  <c r="N44" i="6"/>
</calcChain>
</file>

<file path=xl/sharedStrings.xml><?xml version="1.0" encoding="utf-8"?>
<sst xmlns="http://schemas.openxmlformats.org/spreadsheetml/2006/main" count="6246" uniqueCount="1912">
  <si>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</si>
  <si>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</si>
  <si>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</si>
  <si>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</si>
  <si>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</si>
  <si>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</si>
  <si>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</si>
  <si>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</si>
  <si>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</si>
  <si>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</si>
  <si>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</si>
  <si>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</si>
  <si>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</si>
  <si>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</si>
  <si>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</si>
  <si>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</si>
  <si>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</si>
  <si>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</si>
  <si>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</si>
  <si>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</si>
  <si>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</si>
  <si>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</si>
  <si>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</si>
  <si>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</si>
  <si>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</si>
  <si>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</si>
  <si>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</si>
  <si>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</si>
  <si>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</si>
  <si>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</si>
  <si>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</si>
  <si>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</si>
  <si>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</si>
  <si>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</si>
  <si>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</si>
  <si>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</si>
  <si>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</si>
  <si>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</si>
  <si>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</si>
  <si>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</si>
  <si>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</si>
  <si>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</si>
  <si>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</si>
  <si>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</si>
  <si>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</si>
  <si>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</si>
  <si>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</si>
  <si>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</si>
  <si>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</si>
  <si>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</si>
  <si>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</si>
  <si>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</si>
  <si>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</si>
  <si>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</si>
  <si>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</si>
  <si>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</si>
  <si>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</si>
  <si>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</si>
  <si>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</si>
  <si>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</si>
  <si>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</si>
  <si>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</si>
  <si>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</si>
  <si>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</si>
  <si>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</si>
  <si>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</si>
  <si>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</si>
  <si>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</si>
  <si>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</si>
  <si>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</si>
  <si>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</si>
  <si>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</si>
  <si>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</si>
  <si>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</si>
  <si>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</si>
  <si>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</si>
  <si>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</si>
  <si>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</si>
  <si>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</si>
  <si>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</si>
  <si>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</si>
  <si>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</si>
  <si>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</si>
  <si>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</si>
  <si>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</si>
  <si>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</si>
  <si>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</si>
  <si>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</si>
  <si>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</si>
  <si>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</si>
  <si>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</si>
  <si>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</si>
  <si>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</si>
  <si>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</si>
  <si>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</si>
  <si>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</si>
  <si>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</si>
  <si>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</si>
  <si>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</si>
  <si>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</si>
  <si>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</si>
  <si>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</si>
  <si>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</si>
  <si>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</si>
  <si>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</si>
  <si>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</si>
  <si>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</si>
  <si>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</si>
  <si>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</si>
  <si>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</si>
  <si>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</si>
  <si>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</si>
  <si>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</si>
  <si>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</si>
  <si>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</si>
  <si>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</si>
  <si>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</si>
  <si>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</si>
  <si>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</si>
  <si>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</si>
  <si>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</si>
  <si>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</si>
  <si>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</si>
  <si>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</si>
  <si>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</si>
  <si>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</si>
  <si>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</si>
  <si>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</si>
  <si>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</si>
  <si>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</si>
  <si>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</si>
  <si>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</si>
  <si>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</si>
  <si>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</si>
  <si>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</si>
  <si>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</si>
  <si>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</si>
  <si>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</si>
  <si>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</si>
  <si>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</si>
  <si>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</si>
  <si>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</si>
  <si>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</si>
  <si>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</si>
  <si>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</si>
  <si>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</si>
  <si>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</si>
  <si>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</si>
  <si>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</si>
  <si>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</si>
  <si>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</si>
  <si>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</si>
  <si>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</si>
  <si>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</si>
  <si>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</si>
  <si>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</si>
  <si>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</si>
  <si>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</si>
  <si>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</si>
  <si>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</si>
  <si>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</si>
  <si>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</si>
  <si>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</si>
  <si>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</si>
  <si>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</si>
  <si>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</si>
  <si>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</si>
  <si>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</si>
  <si>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</si>
  <si>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</si>
  <si>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</si>
  <si>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</si>
  <si>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</si>
  <si>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</si>
  <si>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</si>
  <si>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</si>
  <si>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</si>
  <si>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</si>
  <si>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</si>
  <si>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</si>
  <si>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</si>
  <si>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</si>
  <si>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</si>
  <si>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</si>
  <si>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</si>
  <si>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</si>
  <si>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</si>
  <si>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</si>
  <si>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</si>
  <si>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</si>
  <si>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</si>
  <si>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</si>
  <si>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</si>
  <si>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</si>
  <si>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</si>
  <si>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</si>
  <si>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</si>
  <si>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</si>
  <si>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</si>
  <si>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</si>
  <si>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</si>
  <si>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</si>
  <si>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</si>
  <si>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</si>
  <si>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</si>
  <si>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</si>
  <si>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</si>
  <si>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</si>
  <si>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</si>
  <si>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</si>
  <si>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</si>
  <si>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</si>
  <si>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</si>
  <si>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</si>
  <si>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</si>
  <si>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</si>
  <si>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</si>
  <si>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</si>
  <si>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</si>
  <si>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</si>
  <si>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</si>
  <si>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</si>
  <si>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</si>
  <si>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</si>
  <si>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</si>
  <si>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</si>
  <si>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</si>
  <si>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</si>
  <si>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</si>
  <si>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</si>
  <si>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</si>
  <si>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</si>
  <si>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</si>
  <si>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</si>
  <si>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</si>
  <si>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</si>
  <si>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</si>
  <si>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</si>
  <si>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</si>
  <si>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</si>
  <si>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</si>
  <si>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</si>
  <si>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</si>
  <si>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</si>
  <si>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</si>
  <si>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</si>
  <si>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</si>
  <si>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</si>
  <si>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</si>
  <si>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</si>
  <si>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</si>
  <si>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</si>
  <si>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</si>
  <si>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</si>
  <si>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</si>
  <si>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</si>
  <si>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</si>
  <si>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</si>
  <si>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</si>
  <si>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</si>
  <si>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</si>
  <si>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</si>
  <si>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</si>
  <si>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</si>
  <si>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</si>
  <si>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</si>
  <si>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</si>
  <si>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</si>
  <si>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</si>
  <si>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</si>
  <si>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</si>
  <si>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</si>
  <si>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</si>
  <si>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</si>
  <si>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</si>
  <si>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</si>
  <si>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</si>
  <si>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</si>
  <si>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</si>
  <si>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</si>
  <si>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</si>
  <si>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</si>
  <si>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</si>
  <si>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</si>
  <si>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</si>
  <si>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</si>
  <si>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</si>
  <si>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</si>
  <si>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</si>
  <si>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</si>
  <si>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</si>
  <si>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</si>
  <si>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</si>
  <si>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</si>
  <si>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</si>
  <si>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</si>
  <si>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</si>
  <si>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</si>
  <si>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</si>
  <si>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</si>
  <si>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</si>
  <si>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</si>
  <si>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</si>
  <si>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</si>
  <si>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</si>
  <si>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</si>
  <si>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</si>
  <si>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</si>
  <si>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</si>
  <si>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</si>
  <si>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</si>
  <si>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</si>
  <si>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</si>
  <si>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</si>
  <si>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</si>
  <si>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</si>
  <si>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</si>
  <si>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</si>
  <si>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</si>
  <si>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</si>
  <si>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</si>
  <si>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</si>
  <si>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</si>
  <si>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</si>
  <si>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</si>
  <si>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</si>
  <si>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</si>
  <si>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</si>
  <si>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</si>
  <si>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</si>
  <si>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</si>
  <si>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</si>
  <si>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</si>
  <si>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</si>
  <si>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</si>
  <si>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</si>
  <si>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</si>
  <si>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</si>
  <si>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</si>
  <si>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</si>
  <si>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</si>
  <si>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</si>
  <si>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</si>
  <si>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</si>
  <si>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</si>
  <si>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</si>
  <si>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</si>
  <si>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</si>
  <si>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</si>
  <si>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</si>
  <si>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</si>
  <si>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</si>
  <si>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</si>
  <si>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</si>
  <si>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</si>
  <si>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</si>
  <si>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</si>
  <si>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</si>
  <si>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</si>
  <si>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</si>
  <si>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</si>
  <si>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</si>
  <si>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</si>
  <si>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</si>
  <si>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</si>
  <si>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</si>
  <si>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</si>
  <si>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</si>
  <si>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</si>
  <si>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</si>
  <si>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</si>
  <si>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</si>
  <si>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</si>
  <si>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</si>
  <si>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</si>
  <si>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</si>
  <si>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</si>
  <si>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</si>
  <si>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</si>
  <si>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</si>
  <si>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</si>
  <si>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</si>
  <si>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</si>
  <si>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</si>
  <si>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</si>
  <si>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</si>
  <si>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</si>
  <si>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</si>
  <si>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</si>
  <si>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</si>
  <si>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</si>
  <si>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</si>
  <si>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</si>
  <si>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</si>
  <si>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</si>
  <si>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</si>
  <si>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</si>
  <si>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</si>
  <si>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</si>
  <si>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</si>
  <si>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</si>
  <si>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</si>
  <si>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</si>
  <si>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</si>
  <si>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</si>
  <si>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</si>
  <si>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</si>
  <si>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</si>
  <si>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</si>
  <si>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</si>
  <si>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</si>
  <si>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</si>
  <si>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</si>
  <si>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</si>
  <si>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</si>
  <si>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</si>
  <si>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</si>
  <si>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</si>
  <si>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</si>
  <si>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</si>
  <si>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</si>
  <si>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</si>
  <si>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</si>
  <si>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</si>
  <si>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</si>
  <si>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</si>
  <si>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</si>
  <si>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</si>
  <si>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</si>
  <si>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</si>
  <si>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</si>
  <si>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</si>
  <si>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</si>
  <si>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</si>
  <si>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</si>
  <si>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</si>
  <si>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</si>
  <si>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</si>
  <si>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</si>
  <si>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</si>
  <si>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</si>
  <si>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</si>
  <si>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</si>
  <si>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</si>
  <si>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</si>
  <si>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</si>
  <si>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</si>
  <si>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</si>
  <si>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</si>
  <si>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</si>
  <si>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</si>
  <si>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</si>
  <si>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</si>
  <si>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</si>
  <si>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</si>
  <si>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</si>
  <si>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</si>
  <si>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</si>
  <si>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</si>
  <si>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</si>
  <si>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</si>
  <si>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</si>
  <si>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</si>
  <si>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</si>
  <si>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</si>
  <si>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</si>
  <si>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</si>
  <si>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</si>
  <si>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</si>
  <si>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</si>
  <si>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</si>
  <si>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</si>
  <si>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</si>
  <si>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</si>
  <si>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</si>
  <si>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</si>
  <si>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</si>
  <si>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</si>
  <si>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</si>
  <si>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</si>
  <si>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</si>
  <si>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</si>
  <si>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</si>
  <si>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</si>
  <si>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</si>
  <si>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</si>
  <si>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</si>
  <si>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</si>
  <si>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</si>
  <si>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</si>
  <si>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</si>
  <si>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</si>
  <si>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</si>
  <si>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</si>
  <si>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</si>
  <si>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</si>
  <si>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</si>
  <si>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</si>
  <si>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</si>
  <si>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</si>
  <si>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</si>
  <si>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</si>
  <si>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</si>
  <si>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</si>
  <si>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</si>
  <si>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</si>
  <si>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</si>
  <si>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</si>
  <si>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</si>
  <si>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</si>
  <si>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</si>
  <si>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</si>
  <si>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</si>
  <si>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</si>
  <si>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</si>
  <si>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</si>
  <si>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</si>
  <si>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</si>
  <si>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</si>
  <si>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</si>
  <si>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</si>
  <si>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</si>
  <si>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</si>
  <si>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</si>
  <si>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</si>
  <si>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</si>
  <si>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</si>
  <si>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</si>
  <si>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</si>
  <si>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</si>
  <si>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</si>
  <si>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</si>
  <si>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</si>
  <si>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</si>
  <si>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</si>
  <si>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</si>
  <si>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</si>
  <si>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</si>
  <si>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</si>
  <si>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</si>
  <si>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</si>
  <si>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</si>
  <si>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</si>
  <si>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</si>
  <si>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</si>
  <si>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</si>
  <si>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</si>
  <si>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</si>
  <si>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</si>
  <si>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</si>
  <si>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</si>
  <si>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</si>
  <si>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</si>
  <si>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</si>
  <si>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</si>
  <si>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</si>
  <si>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</si>
  <si>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</si>
  <si>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</si>
  <si>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</si>
  <si>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</si>
  <si>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</si>
  <si>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</si>
  <si>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</si>
  <si>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</si>
  <si>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</si>
  <si>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</si>
  <si>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</si>
  <si>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</si>
  <si>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</si>
  <si>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</si>
  <si>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</si>
  <si>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</si>
  <si>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</si>
  <si>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</si>
  <si>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</si>
  <si>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</si>
  <si>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</si>
  <si>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</si>
  <si>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</si>
  <si>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</si>
  <si>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</si>
  <si>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</si>
  <si>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</si>
  <si>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</si>
  <si>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</si>
  <si>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</si>
  <si>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</si>
  <si>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</si>
  <si>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</si>
  <si>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</si>
  <si>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</si>
  <si>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</si>
  <si>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</si>
  <si>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</si>
  <si>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</si>
  <si>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</si>
  <si>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</si>
  <si>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</si>
  <si>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</si>
  <si>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</si>
  <si>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</si>
  <si>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</si>
  <si>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</si>
  <si>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</si>
  <si>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</si>
  <si>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</si>
  <si>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</si>
  <si>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</si>
  <si>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</si>
  <si>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</si>
  <si>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</si>
  <si>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</si>
  <si>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</si>
  <si>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</si>
  <si>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</si>
  <si>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</si>
  <si>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</si>
  <si>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</si>
  <si>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</si>
  <si>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</si>
  <si>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</si>
  <si>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</si>
  <si>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</si>
  <si>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</si>
  <si>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</si>
  <si>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</si>
  <si>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</si>
  <si>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</si>
  <si>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</si>
  <si>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</si>
  <si>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</si>
  <si>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</si>
  <si>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</si>
  <si>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</si>
  <si>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</si>
  <si>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</si>
  <si>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</si>
  <si>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</si>
  <si>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</si>
  <si>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</si>
  <si>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</si>
  <si>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</si>
  <si>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</si>
  <si>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</si>
  <si>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</si>
  <si>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</si>
  <si>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</si>
  <si>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</si>
  <si>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</si>
  <si>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</si>
  <si>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</si>
  <si>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</si>
  <si>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</si>
  <si>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</si>
  <si>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</si>
  <si>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</si>
  <si>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</si>
  <si>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</si>
  <si>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</si>
  <si>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</si>
  <si>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</si>
  <si>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</si>
  <si>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</si>
  <si>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</si>
  <si>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</si>
  <si>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</si>
  <si>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</si>
  <si>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</si>
  <si>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</si>
  <si>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</si>
  <si>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</si>
  <si>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</si>
  <si>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</si>
  <si>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</si>
  <si>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</si>
  <si>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</si>
  <si>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</si>
  <si>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</si>
  <si>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</si>
  <si>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</si>
  <si>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</si>
  <si>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</si>
  <si>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</si>
  <si>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</si>
  <si>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</si>
  <si>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</si>
  <si>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</si>
  <si>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</si>
  <si>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</si>
  <si>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</si>
  <si>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</si>
  <si>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</si>
  <si>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</si>
  <si>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</si>
  <si>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</si>
  <si>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</si>
  <si>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</si>
  <si>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</si>
  <si>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</si>
  <si>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</si>
  <si>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</si>
  <si>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</si>
  <si>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</si>
  <si>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</si>
  <si>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</si>
  <si>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</si>
  <si>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</si>
  <si>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</si>
  <si>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</si>
  <si>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</si>
  <si>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</si>
  <si>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</si>
  <si>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</si>
  <si>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</si>
  <si>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</si>
  <si>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</si>
  <si>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</si>
  <si>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</si>
  <si>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</si>
  <si>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</si>
  <si>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</si>
  <si>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</si>
  <si>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</si>
  <si>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</si>
  <si>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</si>
  <si>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</si>
  <si>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</si>
  <si>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</si>
  <si>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</si>
  <si>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</si>
  <si>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</si>
  <si>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</si>
  <si>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</si>
  <si>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</si>
  <si>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</si>
  <si>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</si>
  <si>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</si>
  <si>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</si>
  <si>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</si>
  <si>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</si>
  <si>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</si>
  <si>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</si>
  <si>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</si>
  <si>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</si>
  <si>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</si>
  <si>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</si>
  <si>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</si>
  <si>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</si>
  <si>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</si>
  <si>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</si>
  <si>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</si>
  <si>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</si>
  <si>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</si>
  <si>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</si>
  <si>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</si>
  <si>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</si>
  <si>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</si>
  <si>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</si>
  <si>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</si>
  <si>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</si>
  <si>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</si>
  <si>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</si>
  <si>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</si>
  <si>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</si>
  <si>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</si>
  <si>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</si>
  <si>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</si>
  <si>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</si>
  <si>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</si>
  <si>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</si>
  <si>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</si>
  <si>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</si>
  <si>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</si>
  <si>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</si>
  <si>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</si>
  <si>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</si>
  <si>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</si>
  <si>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</si>
  <si>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</si>
  <si>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</si>
  <si>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</si>
  <si>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</si>
  <si>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</si>
  <si>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</si>
  <si>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</si>
  <si>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</si>
  <si>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</si>
  <si>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</si>
  <si>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</si>
  <si>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</si>
  <si>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</si>
  <si>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</si>
  <si>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</si>
  <si>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</si>
  <si>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</si>
  <si>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</si>
  <si>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</si>
  <si>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</si>
  <si>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</si>
  <si>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</si>
  <si>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</si>
  <si>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</si>
  <si>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</si>
  <si>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</si>
  <si>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</si>
  <si>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</si>
  <si>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</si>
  <si>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</si>
  <si>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</si>
  <si>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</si>
  <si>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</si>
  <si>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</si>
  <si>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</si>
  <si>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</si>
  <si>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</si>
  <si>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</si>
  <si>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</si>
  <si>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</si>
  <si>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</si>
  <si>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</si>
  <si>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</si>
  <si>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</si>
  <si>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</si>
  <si>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</si>
  <si>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</si>
  <si>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</si>
  <si>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</si>
  <si>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</si>
  <si>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</si>
  <si>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</si>
  <si>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</si>
  <si>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</si>
  <si>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</si>
  <si>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</si>
  <si>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</si>
  <si>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</si>
  <si>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</si>
  <si>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</si>
  <si>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</si>
  <si>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</si>
  <si>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</si>
  <si>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</si>
  <si>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</si>
  <si>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</si>
  <si>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</si>
  <si>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</si>
  <si>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</si>
  <si>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</si>
  <si>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</si>
  <si>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</si>
  <si>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</si>
  <si>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</si>
  <si>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</si>
  <si>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</si>
  <si>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</si>
  <si>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</si>
  <si>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</si>
  <si>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</si>
  <si>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</si>
  <si>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</si>
  <si>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</si>
  <si>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</si>
  <si>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</si>
  <si>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</si>
  <si>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</si>
  <si>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</si>
  <si>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</si>
  <si>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</si>
  <si>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</si>
  <si>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</si>
  <si>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</si>
  <si>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</si>
  <si>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</si>
  <si>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</si>
  <si>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</si>
  <si>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</si>
  <si>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</si>
  <si>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</si>
  <si>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</si>
  <si>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</si>
  <si>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</si>
  <si>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</si>
  <si>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</si>
  <si>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</si>
  <si>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</si>
  <si>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</si>
  <si>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</si>
  <si>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</si>
  <si>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</si>
  <si>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</si>
  <si>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</si>
  <si>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</si>
  <si>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</si>
  <si>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</si>
  <si>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</si>
  <si>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</si>
  <si>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</si>
  <si>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</si>
  <si>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</si>
  <si>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</si>
  <si>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</si>
  <si>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</si>
  <si>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</si>
  <si>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</si>
  <si>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</si>
  <si>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</si>
  <si>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</si>
  <si>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</si>
  <si>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</si>
  <si>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</si>
  <si>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</si>
  <si>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</si>
  <si>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</si>
  <si>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</si>
  <si>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</si>
  <si>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</si>
  <si>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</si>
  <si>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</si>
  <si>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</si>
  <si>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</si>
  <si>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</si>
  <si>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</si>
  <si>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</si>
  <si>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</si>
  <si>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</si>
  <si>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</si>
  <si>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</si>
  <si>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</si>
  <si>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</si>
  <si>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</si>
  <si>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</si>
  <si>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</si>
  <si>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</si>
  <si>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</si>
  <si>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</si>
  <si>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</si>
  <si>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</si>
  <si>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</si>
  <si>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</si>
  <si>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</si>
  <si>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</si>
  <si>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</si>
  <si>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</si>
  <si>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</si>
  <si>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</si>
  <si>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</si>
  <si>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</si>
  <si>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</si>
  <si>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</si>
  <si>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</si>
  <si>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</si>
  <si>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</si>
  <si>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</si>
  <si>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</si>
  <si>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</si>
  <si>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</si>
  <si>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</si>
  <si>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</si>
  <si>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</si>
  <si>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</si>
  <si>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</si>
  <si>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</si>
  <si>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</si>
  <si>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</si>
  <si>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</si>
  <si>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</si>
  <si>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</si>
  <si>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</si>
  <si>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</si>
  <si>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</si>
  <si>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</si>
  <si>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</si>
  <si>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</si>
  <si>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</si>
  <si>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</si>
  <si>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</si>
  <si>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</si>
  <si>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</si>
  <si>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</si>
  <si>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</si>
  <si>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</si>
  <si>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</si>
  <si>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</si>
  <si>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</si>
  <si>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</si>
  <si>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</si>
  <si>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</si>
  <si>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</si>
  <si>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</si>
  <si>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</si>
  <si>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</si>
  <si>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</si>
  <si>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</si>
  <si>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</si>
  <si>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</si>
  <si>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</si>
  <si>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</si>
  <si>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</si>
  <si>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</si>
  <si>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</si>
  <si>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</si>
  <si>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</si>
  <si>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</si>
  <si>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</si>
  <si>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</si>
  <si>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</si>
  <si>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</si>
  <si>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</si>
  <si>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</si>
  <si>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</si>
  <si>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</si>
  <si>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</si>
  <si>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</si>
  <si>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</si>
  <si>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</si>
  <si>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</si>
  <si>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</si>
  <si>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</si>
  <si>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</si>
  <si>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</si>
  <si>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</si>
  <si>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</si>
  <si>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</si>
  <si>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</si>
  <si>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</si>
  <si>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</si>
  <si>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</si>
  <si>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</si>
  <si>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</si>
  <si>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</si>
  <si>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</si>
  <si>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</si>
  <si>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</si>
  <si>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</si>
  <si>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</si>
  <si>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</si>
  <si>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</si>
  <si>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</si>
  <si>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</si>
  <si>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</si>
  <si>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</si>
  <si>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</si>
  <si>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</si>
  <si>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</si>
  <si>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</si>
  <si>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</si>
  <si>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</si>
  <si>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</si>
  <si>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</si>
  <si>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</si>
  <si>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</si>
  <si>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</si>
  <si>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</si>
  <si>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</si>
  <si>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</si>
  <si>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</si>
  <si>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</si>
  <si>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</si>
  <si>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</si>
  <si>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</si>
  <si>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</si>
  <si>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</si>
  <si>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</si>
  <si>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</si>
  <si>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</si>
  <si>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</si>
  <si>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</si>
  <si>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</si>
  <si>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</si>
  <si>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</si>
  <si>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</si>
  <si>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</si>
  <si>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</si>
  <si>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</si>
  <si>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</si>
  <si>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</si>
  <si>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</si>
  <si>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</si>
  <si>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</si>
  <si>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</si>
  <si>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</si>
  <si>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</si>
  <si>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</si>
  <si>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</si>
  <si>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</si>
  <si>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</si>
  <si>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</si>
  <si>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</si>
  <si>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</si>
  <si>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</si>
  <si>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</si>
  <si>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</si>
  <si>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</si>
  <si>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</si>
  <si>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</si>
  <si>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</si>
  <si>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</si>
  <si>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</si>
  <si>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</si>
  <si>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</si>
  <si>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</si>
  <si>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</si>
  <si>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</si>
  <si>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</si>
  <si>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</si>
  <si>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</si>
  <si>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</si>
  <si>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</si>
  <si>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</si>
  <si>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</si>
  <si>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</si>
  <si>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</si>
  <si>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</si>
  <si>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</si>
  <si>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</si>
  <si>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</si>
  <si>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</si>
  <si>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</si>
  <si>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</si>
  <si>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</si>
  <si>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</si>
  <si>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</si>
  <si>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</si>
  <si>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</si>
  <si>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</si>
  <si>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</si>
  <si>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</si>
  <si>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</si>
  <si>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</si>
  <si>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</si>
  <si>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</si>
  <si>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</si>
  <si>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</si>
  <si>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</si>
  <si>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</si>
  <si>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</si>
  <si>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</si>
  <si>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</si>
  <si>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</si>
  <si>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</si>
  <si>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</si>
  <si>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</si>
  <si>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</si>
  <si>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</si>
  <si>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</si>
  <si>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</si>
  <si>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</si>
  <si>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</si>
  <si>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</si>
  <si>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</si>
  <si>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</si>
  <si>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</si>
  <si>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</si>
  <si>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</si>
  <si>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</si>
  <si>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</si>
  <si>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</si>
  <si>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</si>
  <si>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</si>
  <si>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</si>
  <si>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</si>
  <si>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</si>
  <si>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</si>
  <si>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</si>
  <si>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</si>
  <si>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</si>
  <si>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</si>
  <si>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</si>
  <si>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</si>
  <si>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</si>
  <si>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</si>
  <si>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</si>
  <si>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</si>
  <si>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</si>
  <si>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</si>
  <si>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</si>
  <si>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</si>
  <si>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</si>
  <si>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</si>
  <si>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</si>
  <si>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</si>
  <si>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</si>
  <si>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</si>
  <si>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</si>
  <si>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</si>
  <si>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</si>
  <si>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</si>
  <si>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</si>
  <si>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</si>
  <si>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</si>
  <si>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</si>
  <si>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</si>
  <si>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</si>
  <si>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</si>
  <si>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</si>
  <si>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</si>
  <si>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</si>
  <si>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</si>
  <si>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</si>
  <si>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</si>
  <si>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</si>
  <si>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</si>
  <si>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</si>
  <si>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</si>
  <si>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</si>
  <si>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</si>
  <si>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</si>
  <si>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</si>
  <si>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</si>
  <si>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</si>
  <si>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</si>
  <si>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</si>
  <si>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</si>
  <si>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</si>
  <si>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</si>
  <si>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</si>
  <si>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</si>
  <si>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</si>
  <si>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</si>
  <si>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</si>
  <si>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</si>
  <si>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</si>
  <si>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</si>
  <si>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</si>
  <si>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</si>
  <si>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</si>
  <si>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</si>
  <si>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</si>
  <si>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</si>
  <si>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</si>
  <si>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</si>
  <si>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</si>
  <si>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</si>
  <si>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</si>
  <si>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</si>
  <si>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</si>
  <si>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</si>
  <si>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</si>
  <si>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</si>
  <si>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</si>
  <si>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</si>
  <si>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</si>
  <si>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</si>
  <si>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</si>
  <si>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</si>
  <si>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</si>
  <si>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</si>
  <si>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</si>
  <si>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</si>
  <si>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</si>
  <si>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</si>
  <si>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</si>
  <si>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</si>
  <si>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</si>
  <si>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</si>
  <si>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</si>
  <si>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</si>
  <si>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</si>
  <si>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</si>
  <si>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</si>
  <si>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</si>
  <si>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</si>
  <si>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</si>
  <si>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</si>
  <si>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</si>
  <si>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</si>
  <si>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</si>
  <si>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</si>
  <si>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</si>
  <si>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</si>
  <si>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</si>
  <si>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</si>
  <si>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</si>
  <si>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</si>
  <si>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</si>
  <si>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</si>
  <si>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</si>
  <si>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</si>
  <si>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</si>
  <si>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</si>
  <si>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</si>
  <si>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</si>
  <si>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</si>
  <si>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</si>
  <si>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</si>
  <si>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</si>
  <si>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</si>
  <si>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</si>
  <si>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</si>
  <si>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</si>
  <si>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</si>
  <si>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</si>
  <si>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</si>
  <si>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</si>
  <si>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</si>
  <si>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</si>
  <si>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</si>
  <si>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</si>
  <si>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</si>
  <si>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</si>
  <si>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</si>
  <si>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</si>
  <si>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</si>
  <si>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</si>
  <si>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</si>
  <si>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</si>
  <si>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</si>
  <si>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</si>
  <si>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</si>
  <si>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</si>
  <si>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</si>
  <si>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</si>
  <si>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</si>
  <si>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</si>
  <si>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</si>
  <si>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</si>
  <si>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</si>
  <si>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</si>
  <si>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</si>
  <si>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</si>
  <si>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</si>
  <si>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</si>
  <si>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</si>
  <si>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</si>
  <si>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</si>
  <si>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</si>
  <si>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</si>
  <si>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</si>
  <si>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</si>
  <si>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</si>
  <si>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</si>
  <si>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</si>
  <si>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</si>
  <si>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</si>
  <si>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</si>
  <si>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</si>
  <si>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</si>
  <si>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</si>
  <si>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</si>
  <si>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</si>
  <si>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</si>
  <si>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</si>
  <si>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</si>
  <si>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</si>
  <si>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</si>
  <si>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</si>
  <si>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</si>
  <si>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</si>
  <si>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</si>
  <si>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</si>
  <si>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</si>
  <si>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</si>
  <si>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</si>
  <si>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</si>
  <si>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</si>
  <si>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</si>
  <si>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</si>
  <si>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</si>
  <si>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</si>
  <si>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</si>
  <si>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</si>
  <si>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</si>
  <si>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</si>
  <si>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</si>
  <si>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</si>
  <si>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</si>
  <si>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</si>
  <si>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</si>
  <si>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</si>
  <si>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</si>
  <si>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</si>
  <si>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</si>
  <si>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</si>
  <si>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</si>
  <si>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</si>
  <si>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</si>
  <si>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</si>
  <si>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</si>
  <si>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</si>
  <si>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</si>
  <si>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</si>
  <si>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</si>
  <si>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</si>
  <si>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</si>
  <si>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</si>
  <si>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</si>
  <si>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</si>
  <si>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</si>
  <si>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</si>
  <si>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</si>
  <si>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</si>
  <si>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</si>
  <si>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</si>
  <si>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</si>
  <si>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</si>
  <si>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</si>
  <si>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</si>
  <si>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</si>
  <si>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</si>
  <si>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</si>
  <si>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</si>
  <si>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</si>
  <si>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</si>
  <si>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</si>
  <si>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</si>
  <si>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</si>
  <si>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</si>
  <si>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</si>
  <si>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</si>
  <si>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</si>
  <si>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</si>
  <si>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</si>
  <si>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</si>
  <si>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</si>
  <si>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</si>
  <si>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</si>
  <si>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</si>
  <si>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</si>
  <si>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</si>
  <si>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</si>
  <si>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</si>
  <si>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</si>
  <si>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</si>
  <si>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</si>
  <si>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</si>
  <si>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</si>
  <si>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</si>
  <si>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</si>
  <si>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</si>
  <si>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</si>
  <si>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</si>
  <si>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</si>
  <si>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</si>
  <si>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</si>
  <si>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</si>
  <si>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</si>
  <si>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</si>
  <si>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</si>
  <si>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</si>
  <si>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</si>
  <si>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</si>
  <si>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</si>
  <si>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</si>
  <si>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</si>
  <si>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</si>
  <si>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</si>
  <si>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</si>
  <si>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</si>
  <si>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</si>
  <si>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</si>
  <si>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</si>
  <si>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</si>
  <si>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</si>
  <si>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</si>
  <si>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</si>
  <si>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</si>
  <si>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</si>
  <si>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</si>
  <si>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</si>
  <si>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</si>
  <si>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</si>
  <si>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</si>
  <si>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</si>
  <si>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</si>
  <si>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</si>
  <si>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</si>
  <si>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</si>
  <si>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</si>
  <si>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</si>
  <si>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</si>
  <si>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</si>
  <si>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</si>
  <si>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</si>
  <si>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</si>
  <si>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</si>
  <si>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</si>
  <si>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</si>
  <si>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</si>
  <si>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</si>
  <si>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</si>
  <si>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</si>
  <si>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</si>
  <si>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</si>
  <si>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</si>
  <si>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</si>
  <si>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</si>
  <si>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</si>
  <si>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</si>
  <si>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</si>
  <si>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</si>
  <si>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</si>
  <si>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</si>
  <si>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</si>
  <si>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</si>
  <si>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</si>
  <si>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</si>
  <si>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</si>
  <si>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</si>
  <si>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</si>
  <si>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</si>
  <si>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</si>
  <si>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</si>
  <si>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</si>
  <si>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</si>
  <si>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</si>
  <si>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</si>
  <si>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</si>
  <si>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</si>
  <si>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</si>
  <si>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</si>
  <si>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</si>
  <si>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</si>
  <si>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</si>
  <si>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</si>
  <si>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</si>
  <si>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</si>
  <si>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</si>
  <si>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</si>
  <si>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</si>
  <si>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</si>
  <si>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</si>
  <si>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</si>
  <si>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</si>
  <si>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</si>
  <si>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</si>
  <si>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</si>
  <si>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</si>
  <si>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</si>
  <si>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</si>
  <si>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</si>
  <si>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</si>
  <si>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</si>
  <si>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</si>
  <si>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</si>
  <si>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</si>
  <si>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</si>
  <si>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</si>
  <si>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</si>
  <si>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</si>
  <si>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</si>
  <si>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</si>
  <si>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</si>
  <si>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</si>
  <si>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</si>
  <si>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</si>
  <si>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</si>
  <si>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</si>
  <si>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</si>
  <si>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</si>
  <si>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</si>
  <si>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</si>
  <si>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</si>
  <si>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</si>
  <si>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</si>
  <si>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</si>
  <si>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</si>
  <si>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</si>
  <si>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</si>
  <si>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</si>
  <si>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</si>
  <si>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</si>
  <si>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</si>
  <si>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</si>
  <si>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</si>
  <si>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</si>
  <si>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</si>
  <si>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</si>
  <si>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</si>
  <si>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</si>
  <si>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</si>
  <si>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</si>
  <si>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</si>
  <si>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</si>
  <si>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</si>
  <si>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</si>
  <si>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</si>
  <si>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</si>
  <si>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</si>
  <si>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</si>
  <si>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</si>
  <si>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</si>
  <si>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</si>
  <si>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</si>
  <si>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</si>
  <si>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</si>
  <si>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</si>
  <si>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</si>
  <si>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</si>
  <si>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</si>
  <si>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</si>
  <si>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</si>
  <si>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</si>
  <si>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</si>
  <si>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</si>
  <si>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</si>
  <si>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</si>
  <si>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</si>
  <si>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</si>
  <si>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</si>
  <si>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</si>
  <si>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</si>
  <si>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</si>
  <si>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</si>
  <si>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</si>
  <si>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</si>
  <si>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</si>
  <si>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</si>
  <si>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</si>
  <si>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</si>
  <si>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</si>
  <si>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</si>
  <si>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</si>
  <si>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</si>
  <si>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</si>
  <si>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</si>
  <si>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</si>
  <si>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</si>
  <si>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</si>
  <si>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</si>
  <si>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</si>
  <si>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</si>
  <si>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</si>
  <si>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</si>
  <si>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</si>
  <si>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</si>
  <si>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</si>
  <si>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</si>
  <si>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</si>
  <si>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</si>
  <si>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</si>
  <si>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</si>
  <si>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</si>
  <si>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</si>
  <si>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</si>
  <si>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</si>
  <si>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</si>
  <si>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</si>
  <si>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</si>
  <si>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</si>
  <si>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</si>
  <si>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</si>
  <si>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</si>
  <si>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</si>
  <si>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</si>
  <si>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</si>
  <si>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</si>
  <si>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</si>
  <si>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</si>
  <si>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</si>
  <si>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</si>
  <si>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</si>
  <si>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</si>
  <si>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</si>
  <si>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</si>
  <si>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</si>
  <si>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</si>
  <si>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</si>
  <si>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</si>
  <si>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</si>
  <si>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</si>
  <si>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</si>
  <si>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</si>
  <si>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</si>
  <si>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</si>
  <si>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</si>
  <si>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</si>
  <si>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</si>
  <si>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</si>
  <si>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</si>
  <si>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</si>
  <si>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</si>
  <si>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</si>
  <si>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</si>
  <si>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</si>
  <si>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</si>
  <si>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</si>
  <si>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</si>
  <si>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</si>
  <si>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</si>
  <si>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</si>
  <si>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</si>
  <si>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</si>
  <si>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</si>
  <si>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</si>
  <si>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</si>
  <si>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</si>
  <si>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</si>
  <si>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</si>
  <si>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</si>
  <si>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</si>
  <si>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</si>
  <si>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</si>
  <si>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</si>
  <si>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</si>
  <si>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</si>
  <si>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</si>
  <si>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</si>
  <si>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</si>
  <si>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</si>
  <si>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</si>
  <si>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</si>
  <si>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</si>
  <si>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</si>
  <si>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</si>
  <si>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</si>
  <si>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</si>
  <si>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</si>
  <si>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</si>
  <si>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</si>
  <si>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</si>
  <si>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</si>
  <si>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</si>
  <si>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</si>
  <si>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</si>
  <si>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</si>
  <si>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</si>
  <si>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</si>
  <si>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</si>
  <si>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</si>
  <si>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</si>
  <si>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</si>
  <si>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</si>
  <si>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</si>
  <si>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</si>
  <si>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</si>
  <si>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</si>
  <si>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</si>
  <si>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</si>
  <si>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</si>
  <si>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</si>
  <si>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</si>
  <si>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</si>
  <si>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</si>
  <si>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</si>
  <si>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</si>
  <si>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</si>
  <si>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</si>
  <si>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</si>
  <si>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</si>
  <si>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</si>
  <si>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</si>
  <si>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</si>
  <si>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</si>
  <si>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</si>
  <si>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</si>
  <si>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</si>
  <si>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</si>
  <si>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</si>
  <si>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</si>
  <si>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</si>
  <si>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</si>
  <si>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</si>
  <si>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</si>
  <si>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</si>
  <si>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</si>
  <si>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</si>
  <si>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</si>
  <si>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</si>
  <si>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</si>
  <si>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</si>
  <si>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</si>
  <si>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</si>
  <si>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</si>
  <si>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</si>
  <si>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</si>
  <si>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</si>
  <si>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</si>
  <si>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</si>
  <si>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</si>
  <si>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</si>
  <si>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</si>
  <si>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</si>
  <si>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</si>
  <si>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</si>
  <si>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</si>
  <si>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</si>
  <si>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</si>
  <si>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</si>
  <si>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</si>
  <si>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</si>
  <si>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</si>
  <si>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</si>
  <si>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</si>
  <si>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</si>
  <si>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</si>
  <si>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</si>
  <si>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</si>
  <si>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</si>
  <si>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</si>
  <si>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</si>
  <si>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</si>
  <si>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</si>
  <si>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</si>
  <si>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</si>
  <si>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</si>
  <si>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</si>
  <si>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</si>
  <si>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</si>
  <si>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</si>
  <si>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</si>
  <si>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</si>
  <si>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</si>
  <si>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</si>
  <si>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</si>
  <si>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</si>
  <si>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</si>
  <si>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</si>
  <si>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</si>
  <si>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</si>
  <si>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</si>
  <si>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</si>
  <si>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</si>
  <si>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</si>
  <si>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</si>
  <si>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</si>
  <si>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</si>
  <si>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</si>
  <si>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</si>
  <si>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</si>
  <si>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</si>
  <si>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</si>
  <si>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</si>
  <si>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</si>
  <si>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</si>
  <si>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</si>
  <si>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</si>
  <si>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</si>
  <si>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</si>
  <si>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</si>
  <si>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</si>
  <si>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</si>
  <si>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</si>
  <si>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</si>
  <si>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</si>
  <si>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</si>
  <si>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</si>
  <si>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</si>
  <si>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</si>
  <si>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</si>
  <si>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</si>
  <si>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</si>
  <si>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</si>
  <si>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</si>
  <si>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</si>
  <si>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</si>
  <si>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</si>
  <si>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</si>
  <si>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</si>
  <si>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</si>
  <si>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</si>
  <si>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</si>
  <si>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</si>
  <si>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</si>
  <si>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</si>
  <si>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Alle Einnahmen</t>
  </si>
  <si>
    <t>Käufe</t>
  </si>
  <si>
    <t>Verkäufe</t>
  </si>
  <si>
    <t>Gewinn/Verlust</t>
  </si>
  <si>
    <t>Anteile Käufe</t>
  </si>
  <si>
    <t>Anteile Verkäufe</t>
  </si>
  <si>
    <t>Rest-Anteile</t>
  </si>
  <si>
    <t>Einnahmen 2026:</t>
  </si>
  <si>
    <t>Gebüren Käufe 2026:</t>
  </si>
  <si>
    <t>Gebüren Verkäufe 2026:</t>
  </si>
  <si>
    <t>Gebüren 2026:</t>
  </si>
  <si>
    <t>Aktien/STOCK</t>
  </si>
  <si>
    <t>Investments STOCK 2025</t>
  </si>
  <si>
    <t>Investments CRYPTO 2025</t>
  </si>
  <si>
    <t>UiPath</t>
  </si>
  <si>
    <t>STOCK Gesamt 2025:</t>
  </si>
  <si>
    <t>CRYPTO Gesamt  2025:</t>
  </si>
  <si>
    <t xml:space="preserve"> Verkäufe D-Day</t>
  </si>
  <si>
    <t>Anteile Verkäufe D-Day</t>
  </si>
  <si>
    <t xml:space="preserve"> Käufe bis D-Day</t>
  </si>
  <si>
    <t>Steuer Verkäufe D-Day</t>
  </si>
  <si>
    <t>Netto Verkäufe D-Day</t>
  </si>
  <si>
    <t>Gewinn/Verlust D-Day</t>
  </si>
  <si>
    <t>Rendite D-Day</t>
  </si>
  <si>
    <t>Rest-Anteile D-Day</t>
  </si>
  <si>
    <t>Einnahmen Gesamt 2025:</t>
  </si>
  <si>
    <t>Gebüren Käufe Gesamt 2025:</t>
  </si>
  <si>
    <t>Gebüren Verkäufe Gesamt 2025:</t>
  </si>
  <si>
    <t>Gebüren Gesamt 2025:</t>
  </si>
  <si>
    <t>Steuern CRYPTO Gesamt 2025:</t>
  </si>
  <si>
    <t>Steuern STOCK Gesamt 2025:</t>
  </si>
  <si>
    <t>Steuern Gesamt 2025:</t>
  </si>
  <si>
    <t>Käufe Gesamt 2025</t>
  </si>
  <si>
    <t xml:space="preserve"> Anteile Käufe Gesamt 2025</t>
  </si>
  <si>
    <t xml:space="preserve"> Verkäufe Gesamt 2025</t>
  </si>
  <si>
    <t>Datum Verkäufe 2025</t>
  </si>
  <si>
    <t>Anteile Verkäufe Gesamt 2025</t>
  </si>
  <si>
    <t>Steuer Verkäufe Gesamt  2025</t>
  </si>
  <si>
    <t>Rest-Anteile Gesamt 2025</t>
  </si>
  <si>
    <t xml:space="preserve"> 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</si>
  <si>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</si>
  <si>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</si>
  <si>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</si>
  <si>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</si>
  <si>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</si>
  <si>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</si>
  <si>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</si>
  <si>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</si>
  <si>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</si>
  <si>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</si>
  <si>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</si>
  <si>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</si>
  <si>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Auszahlungen Gesamt 2025:</t>
  </si>
  <si>
    <t>Steuern STOCK Gesamt 2026:</t>
  </si>
  <si>
    <t>Steuern CRYPTO Gesamt 2026:</t>
  </si>
  <si>
    <t>Steuern Gesamt 2026:</t>
  </si>
  <si>
    <t>Auszahlungen Gesamt 2026: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</si>
</sst>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0.000000"/>
    <numFmt numFmtId="166" formatCode="0.000000%"/>
    <numFmt numFmtId="167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53"/>
  <sheetViews>
    <sheetView workbookViewId="0">
      <pane ySplit="1" topLeftCell="A4" activePane="bottomLeft" state="frozen"/>
      <selection pane="bottomLeft" activeCell="L5" activeCellId="2" sqref="K4 K5 L5"/>
    </sheetView>
  </sheetViews>
  <sheetFormatPr baseColWidth="10" defaultColWidth="8.7109375" defaultRowHeight="15" x14ac:dyDescent="0.25"/>
  <cols>
    <col min="1" max="1" width="29" customWidth="1"/>
    <col min="2" max="2" width="12" style="7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25">
      <c r="A2" t="s">
        <v>23</v>
      </c>
      <c r="B2" s="7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hidden="1" x14ac:dyDescent="0.25">
      <c r="A3" t="s">
        <v>30</v>
      </c>
      <c r="B3" s="7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7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7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hidden="1" x14ac:dyDescent="0.25">
      <c r="A6" t="s">
        <v>42</v>
      </c>
      <c r="B6" s="7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7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7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hidden="1" x14ac:dyDescent="0.25">
      <c r="A9" t="s">
        <v>52</v>
      </c>
      <c r="B9" s="7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7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7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hidden="1" x14ac:dyDescent="0.25">
      <c r="A12" t="s">
        <v>62</v>
      </c>
      <c r="B12" s="7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hidden="1" x14ac:dyDescent="0.25">
      <c r="A13" t="s">
        <v>64</v>
      </c>
      <c r="B13" s="7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7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7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hidden="1" x14ac:dyDescent="0.25">
      <c r="A16" t="s">
        <v>74</v>
      </c>
      <c r="B16" s="7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hidden="1" x14ac:dyDescent="0.25">
      <c r="A17" t="s">
        <v>76</v>
      </c>
      <c r="B17" s="7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hidden="1" x14ac:dyDescent="0.25">
      <c r="A18" t="s">
        <v>78</v>
      </c>
      <c r="B18" s="7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7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7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7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7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7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hidden="1" x14ac:dyDescent="0.25">
      <c r="A24" t="s">
        <v>103</v>
      </c>
      <c r="B24" s="7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7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hidden="1" x14ac:dyDescent="0.25">
      <c r="A26" t="s">
        <v>110</v>
      </c>
      <c r="B26" s="7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hidden="1" x14ac:dyDescent="0.25">
      <c r="A27" t="s">
        <v>112</v>
      </c>
      <c r="B27" s="7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7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7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7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7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7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7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7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hidden="1" x14ac:dyDescent="0.25">
      <c r="A35" t="s">
        <v>143</v>
      </c>
      <c r="B35" s="7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hidden="1" x14ac:dyDescent="0.25">
      <c r="A36" t="s">
        <v>145</v>
      </c>
      <c r="B36" s="7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hidden="1" x14ac:dyDescent="0.25">
      <c r="A37" t="s">
        <v>147</v>
      </c>
      <c r="B37" s="7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7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7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hidden="1" x14ac:dyDescent="0.25">
      <c r="A40" t="s">
        <v>159</v>
      </c>
      <c r="B40" s="7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7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hidden="1" x14ac:dyDescent="0.25">
      <c r="A42" t="s">
        <v>166</v>
      </c>
      <c r="B42" s="7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hidden="1" x14ac:dyDescent="0.25">
      <c r="A43" t="s">
        <v>169</v>
      </c>
      <c r="B43" s="7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hidden="1" x14ac:dyDescent="0.25">
      <c r="A44" t="s">
        <v>172</v>
      </c>
      <c r="B44" s="7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hidden="1" x14ac:dyDescent="0.25">
      <c r="A45" t="s">
        <v>175</v>
      </c>
      <c r="B45" s="7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hidden="1" x14ac:dyDescent="0.25">
      <c r="A46" t="s">
        <v>178</v>
      </c>
      <c r="B46" s="7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hidden="1" x14ac:dyDescent="0.25">
      <c r="A47" t="s">
        <v>181</v>
      </c>
      <c r="B47" s="7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hidden="1" x14ac:dyDescent="0.25">
      <c r="A48" t="s">
        <v>184</v>
      </c>
      <c r="B48" s="7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hidden="1" x14ac:dyDescent="0.25">
      <c r="A49" t="s">
        <v>187</v>
      </c>
      <c r="B49" s="7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hidden="1" x14ac:dyDescent="0.25">
      <c r="A50" t="s">
        <v>190</v>
      </c>
      <c r="B50" s="7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hidden="1" x14ac:dyDescent="0.25">
      <c r="A51" t="s">
        <v>193</v>
      </c>
      <c r="B51" s="7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hidden="1" x14ac:dyDescent="0.25">
      <c r="A52" t="s">
        <v>196</v>
      </c>
      <c r="B52" s="7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hidden="1" x14ac:dyDescent="0.25">
      <c r="A53" t="s">
        <v>199</v>
      </c>
      <c r="B53" s="7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hidden="1" x14ac:dyDescent="0.25">
      <c r="A54" t="s">
        <v>201</v>
      </c>
      <c r="B54" s="7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hidden="1" x14ac:dyDescent="0.25">
      <c r="A55" t="s">
        <v>204</v>
      </c>
      <c r="B55" s="7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7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7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hidden="1" x14ac:dyDescent="0.25">
      <c r="A58" t="s">
        <v>215</v>
      </c>
      <c r="B58" s="7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hidden="1" x14ac:dyDescent="0.25">
      <c r="A59" t="s">
        <v>217</v>
      </c>
      <c r="B59" s="7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hidden="1" x14ac:dyDescent="0.25">
      <c r="A60" t="s">
        <v>221</v>
      </c>
      <c r="B60" s="7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hidden="1" x14ac:dyDescent="0.25">
      <c r="A61" t="s">
        <v>223</v>
      </c>
      <c r="B61" s="7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hidden="1" x14ac:dyDescent="0.25">
      <c r="A62" t="s">
        <v>225</v>
      </c>
      <c r="B62" s="7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7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7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7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7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hidden="1" x14ac:dyDescent="0.25">
      <c r="A67" t="s">
        <v>240</v>
      </c>
      <c r="B67" s="7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hidden="1" x14ac:dyDescent="0.25">
      <c r="A68" t="s">
        <v>242</v>
      </c>
      <c r="B68" s="7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hidden="1" x14ac:dyDescent="0.25">
      <c r="A69" t="s">
        <v>247</v>
      </c>
      <c r="B69" s="7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hidden="1" x14ac:dyDescent="0.25">
      <c r="A70" t="s">
        <v>250</v>
      </c>
      <c r="B70" s="7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hidden="1" x14ac:dyDescent="0.25">
      <c r="A71" t="s">
        <v>253</v>
      </c>
      <c r="B71" s="7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hidden="1" x14ac:dyDescent="0.25">
      <c r="A72" t="s">
        <v>256</v>
      </c>
      <c r="B72" s="7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hidden="1" x14ac:dyDescent="0.25">
      <c r="A73" t="s">
        <v>259</v>
      </c>
      <c r="B73" s="7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7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7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7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7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7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7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hidden="1" x14ac:dyDescent="0.25">
      <c r="A80" t="s">
        <v>280</v>
      </c>
      <c r="B80" s="7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7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7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7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7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hidden="1" x14ac:dyDescent="0.25">
      <c r="A85" t="s">
        <v>298</v>
      </c>
      <c r="B85" s="7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hidden="1" x14ac:dyDescent="0.25">
      <c r="A86" t="s">
        <v>301</v>
      </c>
      <c r="B86" s="7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hidden="1" x14ac:dyDescent="0.25">
      <c r="A87" t="s">
        <v>304</v>
      </c>
      <c r="B87" s="7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hidden="1" x14ac:dyDescent="0.25">
      <c r="A88" t="s">
        <v>307</v>
      </c>
      <c r="B88" s="7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hidden="1" x14ac:dyDescent="0.25">
      <c r="A89" t="s">
        <v>310</v>
      </c>
      <c r="B89" s="7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7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7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hidden="1" x14ac:dyDescent="0.25">
      <c r="A92" t="s">
        <v>319</v>
      </c>
      <c r="B92" s="7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hidden="1" x14ac:dyDescent="0.25">
      <c r="A93" t="s">
        <v>321</v>
      </c>
      <c r="B93" s="7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7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7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7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7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7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7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hidden="1" x14ac:dyDescent="0.25">
      <c r="A100" t="s">
        <v>341</v>
      </c>
      <c r="B100" s="7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hidden="1" x14ac:dyDescent="0.25">
      <c r="A101" t="s">
        <v>344</v>
      </c>
      <c r="B101" s="7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hidden="1" x14ac:dyDescent="0.25">
      <c r="A102" t="s">
        <v>346</v>
      </c>
      <c r="B102" s="7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7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7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7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7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hidden="1" x14ac:dyDescent="0.25">
      <c r="A107" t="s">
        <v>359</v>
      </c>
      <c r="B107" s="7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hidden="1" x14ac:dyDescent="0.25">
      <c r="A108" t="s">
        <v>363</v>
      </c>
      <c r="B108" s="7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7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7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7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hidden="1" x14ac:dyDescent="0.25">
      <c r="A112" t="s">
        <v>376</v>
      </c>
      <c r="B112" s="7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hidden="1" x14ac:dyDescent="0.25">
      <c r="A113" t="s">
        <v>378</v>
      </c>
      <c r="B113" s="7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7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7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7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7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7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7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7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7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7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hidden="1" x14ac:dyDescent="0.25">
      <c r="A123" t="s">
        <v>407</v>
      </c>
      <c r="B123" s="7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hidden="1" x14ac:dyDescent="0.25">
      <c r="A124" t="s">
        <v>409</v>
      </c>
      <c r="B124" s="7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hidden="1" x14ac:dyDescent="0.25">
      <c r="A125" t="s">
        <v>411</v>
      </c>
      <c r="B125" s="7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7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7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hidden="1" x14ac:dyDescent="0.25">
      <c r="A128" t="s">
        <v>421</v>
      </c>
      <c r="B128" s="7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7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7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7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7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hidden="1" x14ac:dyDescent="0.25">
      <c r="A133" t="s">
        <v>441</v>
      </c>
      <c r="B133" s="7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7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7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7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7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hidden="1" x14ac:dyDescent="0.25">
      <c r="A138" t="s">
        <v>459</v>
      </c>
      <c r="B138" s="7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7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7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7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7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7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7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hidden="1" x14ac:dyDescent="0.25">
      <c r="A145" t="s">
        <v>484</v>
      </c>
      <c r="B145" s="7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hidden="1" x14ac:dyDescent="0.25">
      <c r="A146" t="s">
        <v>486</v>
      </c>
      <c r="B146" s="7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7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7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hidden="1" x14ac:dyDescent="0.25">
      <c r="A149" t="s">
        <v>496</v>
      </c>
      <c r="B149" s="7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7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7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hidden="1" x14ac:dyDescent="0.25">
      <c r="A152" t="s">
        <v>508</v>
      </c>
      <c r="B152" s="7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7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7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hidden="1" x14ac:dyDescent="0.25">
      <c r="A155" t="s">
        <v>518</v>
      </c>
      <c r="B155" s="7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7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7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7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7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hidden="1" x14ac:dyDescent="0.25">
      <c r="A160" t="s">
        <v>532</v>
      </c>
      <c r="B160" s="7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7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7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hidden="1" x14ac:dyDescent="0.25">
      <c r="A163" t="s">
        <v>542</v>
      </c>
      <c r="B163" s="7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hidden="1" x14ac:dyDescent="0.25">
      <c r="A164" t="s">
        <v>545</v>
      </c>
      <c r="B164" s="7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hidden="1" x14ac:dyDescent="0.25">
      <c r="A165" t="s">
        <v>548</v>
      </c>
      <c r="B165" s="7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hidden="1" x14ac:dyDescent="0.25">
      <c r="A166" t="s">
        <v>552</v>
      </c>
      <c r="B166" s="7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hidden="1" x14ac:dyDescent="0.25">
      <c r="A167" t="s">
        <v>555</v>
      </c>
      <c r="B167" s="7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hidden="1" x14ac:dyDescent="0.25">
      <c r="A168" t="s">
        <v>558</v>
      </c>
      <c r="B168" s="7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hidden="1" x14ac:dyDescent="0.25">
      <c r="A169" t="s">
        <v>561</v>
      </c>
      <c r="B169" s="7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hidden="1" x14ac:dyDescent="0.25">
      <c r="A170" t="s">
        <v>564</v>
      </c>
      <c r="B170" s="7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hidden="1" x14ac:dyDescent="0.25">
      <c r="A171" t="s">
        <v>567</v>
      </c>
      <c r="B171" s="7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hidden="1" x14ac:dyDescent="0.25">
      <c r="A172" t="s">
        <v>567</v>
      </c>
      <c r="B172" s="7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hidden="1" x14ac:dyDescent="0.25">
      <c r="A173" t="s">
        <v>572</v>
      </c>
      <c r="B173" s="7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hidden="1" x14ac:dyDescent="0.25">
      <c r="A174" t="s">
        <v>575</v>
      </c>
      <c r="B174" s="7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hidden="1" x14ac:dyDescent="0.25">
      <c r="A175" t="s">
        <v>578</v>
      </c>
      <c r="B175" s="7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hidden="1" x14ac:dyDescent="0.25">
      <c r="A176" t="s">
        <v>580</v>
      </c>
      <c r="B176" s="7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hidden="1" x14ac:dyDescent="0.25">
      <c r="A177" t="s">
        <v>583</v>
      </c>
      <c r="B177" s="7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hidden="1" x14ac:dyDescent="0.25">
      <c r="A178" t="s">
        <v>583</v>
      </c>
      <c r="B178" s="7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hidden="1" x14ac:dyDescent="0.25">
      <c r="A179" t="s">
        <v>588</v>
      </c>
      <c r="B179" s="7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hidden="1" x14ac:dyDescent="0.25">
      <c r="A180" t="s">
        <v>588</v>
      </c>
      <c r="B180" s="7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hidden="1" x14ac:dyDescent="0.25">
      <c r="A181" t="s">
        <v>593</v>
      </c>
      <c r="B181" s="7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hidden="1" x14ac:dyDescent="0.25">
      <c r="A182" t="s">
        <v>596</v>
      </c>
      <c r="B182" s="7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hidden="1" x14ac:dyDescent="0.25">
      <c r="A183" t="s">
        <v>599</v>
      </c>
      <c r="B183" s="7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hidden="1" x14ac:dyDescent="0.25">
      <c r="A184" t="s">
        <v>602</v>
      </c>
      <c r="B184" s="7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hidden="1" x14ac:dyDescent="0.25">
      <c r="A185" t="s">
        <v>604</v>
      </c>
      <c r="B185" s="7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hidden="1" x14ac:dyDescent="0.25">
      <c r="A186" t="s">
        <v>607</v>
      </c>
      <c r="B186" s="7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hidden="1" x14ac:dyDescent="0.25">
      <c r="A187" t="s">
        <v>610</v>
      </c>
      <c r="B187" s="7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hidden="1" x14ac:dyDescent="0.25">
      <c r="A188" t="s">
        <v>613</v>
      </c>
      <c r="B188" s="7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hidden="1" x14ac:dyDescent="0.25">
      <c r="A189" t="s">
        <v>616</v>
      </c>
      <c r="B189" s="7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hidden="1" x14ac:dyDescent="0.25">
      <c r="A190" t="s">
        <v>619</v>
      </c>
      <c r="B190" s="7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hidden="1" x14ac:dyDescent="0.25">
      <c r="A191" t="s">
        <v>619</v>
      </c>
      <c r="B191" s="7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hidden="1" x14ac:dyDescent="0.25">
      <c r="A192" t="s">
        <v>624</v>
      </c>
      <c r="B192" s="7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hidden="1" x14ac:dyDescent="0.25">
      <c r="A193" t="s">
        <v>627</v>
      </c>
      <c r="B193" s="7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hidden="1" x14ac:dyDescent="0.25">
      <c r="A194" t="s">
        <v>627</v>
      </c>
      <c r="B194" s="7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hidden="1" x14ac:dyDescent="0.25">
      <c r="A195" t="s">
        <v>632</v>
      </c>
      <c r="B195" s="7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hidden="1" x14ac:dyDescent="0.25">
      <c r="A196" t="s">
        <v>634</v>
      </c>
      <c r="B196" s="7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hidden="1" x14ac:dyDescent="0.25">
      <c r="A197" t="s">
        <v>636</v>
      </c>
      <c r="B197" s="7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hidden="1" x14ac:dyDescent="0.25">
      <c r="A198" t="s">
        <v>638</v>
      </c>
      <c r="B198" s="7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7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7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hidden="1" x14ac:dyDescent="0.25">
      <c r="A201" t="s">
        <v>646</v>
      </c>
      <c r="B201" s="7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7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7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hidden="1" x14ac:dyDescent="0.25">
      <c r="A204" t="s">
        <v>655</v>
      </c>
      <c r="B204" s="7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7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7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7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7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hidden="1" x14ac:dyDescent="0.25">
      <c r="A209" t="s">
        <v>673</v>
      </c>
      <c r="B209" s="7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hidden="1" x14ac:dyDescent="0.25">
      <c r="A210" t="s">
        <v>676</v>
      </c>
      <c r="B210" s="7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hidden="1" x14ac:dyDescent="0.25">
      <c r="A211" t="s">
        <v>679</v>
      </c>
      <c r="B211" s="7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hidden="1" x14ac:dyDescent="0.25">
      <c r="A212" t="s">
        <v>681</v>
      </c>
      <c r="B212" s="7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hidden="1" x14ac:dyDescent="0.25">
      <c r="A213" t="s">
        <v>683</v>
      </c>
      <c r="B213" s="7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hidden="1" x14ac:dyDescent="0.25">
      <c r="A214" t="s">
        <v>686</v>
      </c>
      <c r="B214" s="7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hidden="1" x14ac:dyDescent="0.25">
      <c r="A215" t="s">
        <v>688</v>
      </c>
      <c r="B215" s="7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hidden="1" x14ac:dyDescent="0.25">
      <c r="A216" t="s">
        <v>690</v>
      </c>
      <c r="B216" s="7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hidden="1" x14ac:dyDescent="0.25">
      <c r="A217" t="s">
        <v>698</v>
      </c>
      <c r="B217" s="7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hidden="1" x14ac:dyDescent="0.25">
      <c r="A218" t="s">
        <v>701</v>
      </c>
      <c r="B218" s="7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7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7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7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7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hidden="1" x14ac:dyDescent="0.25">
      <c r="A223" t="s">
        <v>715</v>
      </c>
      <c r="B223" s="7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hidden="1" x14ac:dyDescent="0.25">
      <c r="A224" t="s">
        <v>717</v>
      </c>
      <c r="B224" s="7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7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7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hidden="1" x14ac:dyDescent="0.25">
      <c r="A227" t="s">
        <v>725</v>
      </c>
      <c r="B227" s="7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hidden="1" x14ac:dyDescent="0.25">
      <c r="A228" t="s">
        <v>727</v>
      </c>
      <c r="B228" s="7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hidden="1" x14ac:dyDescent="0.25">
      <c r="A229" t="s">
        <v>729</v>
      </c>
      <c r="B229" s="7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hidden="1" x14ac:dyDescent="0.25">
      <c r="A230" t="s">
        <v>731</v>
      </c>
      <c r="B230" s="7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7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7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hidden="1" x14ac:dyDescent="0.25">
      <c r="A233" t="s">
        <v>741</v>
      </c>
      <c r="B233" s="7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7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7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7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hidden="1" x14ac:dyDescent="0.25">
      <c r="A237" t="s">
        <v>753</v>
      </c>
      <c r="B237" s="7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hidden="1" x14ac:dyDescent="0.25">
      <c r="A238" t="s">
        <v>755</v>
      </c>
      <c r="B238" s="7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7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7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hidden="1" x14ac:dyDescent="0.25">
      <c r="A241" t="s">
        <v>762</v>
      </c>
      <c r="B241" s="7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7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hidden="1" x14ac:dyDescent="0.25">
      <c r="A243" t="s">
        <v>767</v>
      </c>
      <c r="B243" s="7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7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7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7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7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hidden="1" x14ac:dyDescent="0.25">
      <c r="A248" t="s">
        <v>780</v>
      </c>
      <c r="B248" s="7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hidden="1" x14ac:dyDescent="0.25">
      <c r="A249" t="s">
        <v>782</v>
      </c>
      <c r="B249" s="7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hidden="1" x14ac:dyDescent="0.25">
      <c r="A250" t="s">
        <v>784</v>
      </c>
      <c r="B250" s="7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7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7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7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7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hidden="1" x14ac:dyDescent="0.25">
      <c r="A255" t="s">
        <v>797</v>
      </c>
      <c r="B255" s="7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hidden="1" x14ac:dyDescent="0.25">
      <c r="A256" t="s">
        <v>799</v>
      </c>
      <c r="B256" s="7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7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hidden="1" x14ac:dyDescent="0.25">
      <c r="A258" t="s">
        <v>804</v>
      </c>
      <c r="B258" s="7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7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7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hidden="1" x14ac:dyDescent="0.25">
      <c r="A261" t="s">
        <v>812</v>
      </c>
      <c r="B261" s="7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7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7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hidden="1" x14ac:dyDescent="0.25">
      <c r="A264" t="s">
        <v>820</v>
      </c>
      <c r="B264" s="7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7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7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7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hidden="1" x14ac:dyDescent="0.25">
      <c r="A268" t="s">
        <v>831</v>
      </c>
      <c r="B268" s="7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hidden="1" x14ac:dyDescent="0.25">
      <c r="A269" t="s">
        <v>833</v>
      </c>
      <c r="B269" s="7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hidden="1" x14ac:dyDescent="0.25">
      <c r="A270" t="s">
        <v>835</v>
      </c>
      <c r="B270" s="7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hidden="1" x14ac:dyDescent="0.25">
      <c r="A271" t="s">
        <v>837</v>
      </c>
      <c r="B271" s="7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hidden="1" x14ac:dyDescent="0.25">
      <c r="A272" t="s">
        <v>840</v>
      </c>
      <c r="B272" s="7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hidden="1" x14ac:dyDescent="0.25">
      <c r="A273" t="s">
        <v>843</v>
      </c>
      <c r="B273" s="7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hidden="1" x14ac:dyDescent="0.25">
      <c r="A274" t="s">
        <v>845</v>
      </c>
      <c r="B274" s="7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hidden="1" x14ac:dyDescent="0.25">
      <c r="A275" t="s">
        <v>849</v>
      </c>
      <c r="B275" s="7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7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7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hidden="1" x14ac:dyDescent="0.25">
      <c r="A278" t="s">
        <v>859</v>
      </c>
      <c r="B278" s="7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7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7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hidden="1" x14ac:dyDescent="0.25">
      <c r="A281" t="s">
        <v>866</v>
      </c>
      <c r="B281" s="7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7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hidden="1" x14ac:dyDescent="0.25">
      <c r="A283" t="s">
        <v>871</v>
      </c>
      <c r="B283" s="7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7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7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hidden="1" x14ac:dyDescent="0.25">
      <c r="A286" t="s">
        <v>881</v>
      </c>
      <c r="B286" s="7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hidden="1" x14ac:dyDescent="0.25">
      <c r="A287" t="s">
        <v>881</v>
      </c>
      <c r="B287" s="7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hidden="1" x14ac:dyDescent="0.25">
      <c r="A288" t="s">
        <v>886</v>
      </c>
      <c r="B288" s="7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hidden="1" x14ac:dyDescent="0.25">
      <c r="A289" t="s">
        <v>886</v>
      </c>
      <c r="B289" s="7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hidden="1" x14ac:dyDescent="0.25">
      <c r="A290" t="s">
        <v>891</v>
      </c>
      <c r="B290" s="7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hidden="1" x14ac:dyDescent="0.25">
      <c r="A291" t="s">
        <v>893</v>
      </c>
      <c r="B291" s="7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hidden="1" x14ac:dyDescent="0.25">
      <c r="A292" t="s">
        <v>896</v>
      </c>
      <c r="B292" s="7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hidden="1" x14ac:dyDescent="0.25">
      <c r="A293" t="s">
        <v>899</v>
      </c>
      <c r="B293" s="7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7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7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hidden="1" x14ac:dyDescent="0.25">
      <c r="A296" t="s">
        <v>907</v>
      </c>
      <c r="B296" s="7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hidden="1" x14ac:dyDescent="0.25">
      <c r="A297" t="s">
        <v>909</v>
      </c>
      <c r="B297" s="7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7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7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hidden="1" x14ac:dyDescent="0.25">
      <c r="A300" t="s">
        <v>916</v>
      </c>
      <c r="B300" s="7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hidden="1" x14ac:dyDescent="0.25">
      <c r="A301" t="s">
        <v>919</v>
      </c>
      <c r="B301" s="7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hidden="1" x14ac:dyDescent="0.25">
      <c r="A302" t="s">
        <v>922</v>
      </c>
      <c r="B302" s="7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hidden="1" x14ac:dyDescent="0.25">
      <c r="A303" t="s">
        <v>924</v>
      </c>
      <c r="B303" s="7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7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7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hidden="1" x14ac:dyDescent="0.25">
      <c r="A306" t="s">
        <v>934</v>
      </c>
      <c r="B306" s="7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hidden="1" x14ac:dyDescent="0.25">
      <c r="A307" t="s">
        <v>936</v>
      </c>
      <c r="B307" s="7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hidden="1" x14ac:dyDescent="0.25">
      <c r="A308" t="s">
        <v>939</v>
      </c>
      <c r="B308" s="7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7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7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hidden="1" x14ac:dyDescent="0.25">
      <c r="A311" t="s">
        <v>948</v>
      </c>
      <c r="B311" s="7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7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hidden="1" x14ac:dyDescent="0.25">
      <c r="A313" t="s">
        <v>953</v>
      </c>
      <c r="B313" s="7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7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hidden="1" x14ac:dyDescent="0.25">
      <c r="A315" t="s">
        <v>958</v>
      </c>
      <c r="B315" s="7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hidden="1" x14ac:dyDescent="0.25">
      <c r="A316" t="s">
        <v>961</v>
      </c>
      <c r="B316" s="7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7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7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hidden="1" x14ac:dyDescent="0.25">
      <c r="A319" t="s">
        <v>970</v>
      </c>
      <c r="B319" s="7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7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7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hidden="1" x14ac:dyDescent="0.25">
      <c r="A322" t="s">
        <v>978</v>
      </c>
      <c r="B322" s="7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7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7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hidden="1" x14ac:dyDescent="0.25">
      <c r="A325" t="s">
        <v>985</v>
      </c>
      <c r="B325" s="7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hidden="1" x14ac:dyDescent="0.25">
      <c r="A326" t="s">
        <v>987</v>
      </c>
      <c r="B326" s="7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7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hidden="1" x14ac:dyDescent="0.25">
      <c r="A328" t="s">
        <v>992</v>
      </c>
      <c r="B328" s="7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hidden="1" x14ac:dyDescent="0.25">
      <c r="A329" t="s">
        <v>994</v>
      </c>
      <c r="B329" s="7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7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hidden="1" x14ac:dyDescent="0.25">
      <c r="A331" t="s">
        <v>999</v>
      </c>
      <c r="B331" s="7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7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hidden="1" x14ac:dyDescent="0.25">
      <c r="A333" t="s">
        <v>1004</v>
      </c>
      <c r="B333" s="7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7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7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hidden="1" x14ac:dyDescent="0.25">
      <c r="A336" t="s">
        <v>1014</v>
      </c>
      <c r="B336" s="7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hidden="1" x14ac:dyDescent="0.25">
      <c r="A337" t="s">
        <v>1017</v>
      </c>
      <c r="B337" s="7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hidden="1" x14ac:dyDescent="0.25">
      <c r="A338" t="s">
        <v>1020</v>
      </c>
      <c r="B338" s="7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hidden="1" x14ac:dyDescent="0.25">
      <c r="A339" t="s">
        <v>1020</v>
      </c>
      <c r="B339" s="7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hidden="1" x14ac:dyDescent="0.25">
      <c r="A340" t="s">
        <v>1025</v>
      </c>
      <c r="B340" s="7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hidden="1" x14ac:dyDescent="0.25">
      <c r="A341" t="s">
        <v>1027</v>
      </c>
      <c r="B341" s="7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7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hidden="1" x14ac:dyDescent="0.25">
      <c r="A343" t="s">
        <v>1032</v>
      </c>
      <c r="B343" s="7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7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hidden="1" x14ac:dyDescent="0.25">
      <c r="A345" t="s">
        <v>1037</v>
      </c>
      <c r="B345" s="7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hidden="1" x14ac:dyDescent="0.25">
      <c r="A346" t="s">
        <v>1039</v>
      </c>
      <c r="B346" s="7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hidden="1" x14ac:dyDescent="0.25">
      <c r="A347" t="s">
        <v>1042</v>
      </c>
      <c r="B347" s="7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hidden="1" x14ac:dyDescent="0.25">
      <c r="A348" t="s">
        <v>1045</v>
      </c>
      <c r="B348" s="7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7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7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hidden="1" x14ac:dyDescent="0.25">
      <c r="A351" t="s">
        <v>1054</v>
      </c>
      <c r="B351" s="7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hidden="1" x14ac:dyDescent="0.25">
      <c r="A352" t="s">
        <v>1056</v>
      </c>
      <c r="B352" s="7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hidden="1" x14ac:dyDescent="0.25">
      <c r="A353" t="s">
        <v>1060</v>
      </c>
      <c r="B353" s="7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hidden="1" x14ac:dyDescent="0.25">
      <c r="A354" t="s">
        <v>1062</v>
      </c>
      <c r="B354" s="7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hidden="1" x14ac:dyDescent="0.25">
      <c r="A355" t="s">
        <v>1066</v>
      </c>
      <c r="B355" s="7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hidden="1" x14ac:dyDescent="0.25">
      <c r="A356" t="s">
        <v>1069</v>
      </c>
      <c r="B356" s="7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7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7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hidden="1" x14ac:dyDescent="0.25">
      <c r="A359" t="s">
        <v>1078</v>
      </c>
      <c r="B359" s="7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7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7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hidden="1" x14ac:dyDescent="0.25">
      <c r="A362" t="s">
        <v>1086</v>
      </c>
      <c r="B362" s="7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hidden="1" x14ac:dyDescent="0.25">
      <c r="A363" t="s">
        <v>1088</v>
      </c>
      <c r="B363" s="7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7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7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hidden="1" x14ac:dyDescent="0.25">
      <c r="A366" t="s">
        <v>1098</v>
      </c>
      <c r="B366" s="7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hidden="1" x14ac:dyDescent="0.25">
      <c r="A367" t="s">
        <v>1100</v>
      </c>
      <c r="B367" s="7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hidden="1" x14ac:dyDescent="0.25">
      <c r="A368" t="s">
        <v>1102</v>
      </c>
      <c r="B368" s="7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hidden="1" x14ac:dyDescent="0.25">
      <c r="A369" t="s">
        <v>1104</v>
      </c>
      <c r="B369" s="7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7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7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hidden="1" x14ac:dyDescent="0.25">
      <c r="A372" t="s">
        <v>1112</v>
      </c>
      <c r="B372" s="7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hidden="1" x14ac:dyDescent="0.25">
      <c r="A373" t="s">
        <v>1114</v>
      </c>
      <c r="B373" s="7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hidden="1" x14ac:dyDescent="0.25">
      <c r="A374" t="s">
        <v>1117</v>
      </c>
      <c r="B374" s="7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hidden="1" x14ac:dyDescent="0.25">
      <c r="A375" t="s">
        <v>1120</v>
      </c>
      <c r="B375" s="7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hidden="1" x14ac:dyDescent="0.25">
      <c r="A376" t="s">
        <v>1122</v>
      </c>
      <c r="B376" s="7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7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7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7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hidden="1" x14ac:dyDescent="0.25">
      <c r="A380" t="s">
        <v>1133</v>
      </c>
      <c r="B380" s="7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7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7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hidden="1" x14ac:dyDescent="0.25">
      <c r="A383" t="s">
        <v>1143</v>
      </c>
      <c r="B383" s="7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hidden="1" x14ac:dyDescent="0.25">
      <c r="A384" t="s">
        <v>1146</v>
      </c>
      <c r="B384" s="7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7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7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7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7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hidden="1" x14ac:dyDescent="0.25">
      <c r="A389" t="s">
        <v>1160</v>
      </c>
      <c r="B389" s="7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hidden="1" x14ac:dyDescent="0.25">
      <c r="A390" t="s">
        <v>1162</v>
      </c>
      <c r="B390" s="7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7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7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hidden="1" x14ac:dyDescent="0.25">
      <c r="A393" t="s">
        <v>1170</v>
      </c>
      <c r="B393" s="7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7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7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hidden="1" x14ac:dyDescent="0.25">
      <c r="A396" t="s">
        <v>1180</v>
      </c>
      <c r="B396" s="7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hidden="1" x14ac:dyDescent="0.25">
      <c r="A397" t="s">
        <v>1182</v>
      </c>
      <c r="B397" s="7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hidden="1" x14ac:dyDescent="0.25">
      <c r="A398" t="s">
        <v>1184</v>
      </c>
      <c r="B398" s="7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hidden="1" x14ac:dyDescent="0.25">
      <c r="A399" t="s">
        <v>1188</v>
      </c>
      <c r="B399" s="7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hidden="1" x14ac:dyDescent="0.25">
      <c r="A400" t="s">
        <v>1190</v>
      </c>
      <c r="B400" s="7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hidden="1" x14ac:dyDescent="0.25">
      <c r="A401" t="s">
        <v>1193</v>
      </c>
      <c r="B401" s="7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7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7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hidden="1" x14ac:dyDescent="0.25">
      <c r="A404" t="s">
        <v>1204</v>
      </c>
      <c r="B404" s="7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hidden="1" x14ac:dyDescent="0.25">
      <c r="A405" t="s">
        <v>1207</v>
      </c>
      <c r="B405" s="7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hidden="1" x14ac:dyDescent="0.25">
      <c r="A406" t="s">
        <v>1210</v>
      </c>
      <c r="B406" s="7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hidden="1" x14ac:dyDescent="0.25">
      <c r="A407" t="s">
        <v>1213</v>
      </c>
      <c r="B407" s="7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7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7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7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7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7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7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7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hidden="1" x14ac:dyDescent="0.25">
      <c r="A415" t="s">
        <v>1236</v>
      </c>
      <c r="B415" s="7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7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hidden="1" x14ac:dyDescent="0.25">
      <c r="A417" t="s">
        <v>1241</v>
      </c>
      <c r="B417" s="7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hidden="1" x14ac:dyDescent="0.25">
      <c r="A418" t="s">
        <v>1246</v>
      </c>
      <c r="B418" s="7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hidden="1" x14ac:dyDescent="0.25">
      <c r="A419" t="s">
        <v>1248</v>
      </c>
      <c r="B419" s="7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hidden="1" x14ac:dyDescent="0.25">
      <c r="A420" t="s">
        <v>1252</v>
      </c>
      <c r="B420" s="7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hidden="1" x14ac:dyDescent="0.25">
      <c r="A421" t="s">
        <v>1257</v>
      </c>
      <c r="B421" s="7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hidden="1" x14ac:dyDescent="0.25">
      <c r="A422" t="s">
        <v>1259</v>
      </c>
      <c r="B422" s="7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7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7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hidden="1" x14ac:dyDescent="0.25">
      <c r="A425" t="s">
        <v>1266</v>
      </c>
      <c r="B425" s="7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7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7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hidden="1" x14ac:dyDescent="0.25">
      <c r="A428" t="s">
        <v>1275</v>
      </c>
      <c r="B428" s="7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hidden="1" x14ac:dyDescent="0.25">
      <c r="A429" t="s">
        <v>1278</v>
      </c>
      <c r="B429" s="7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7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7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7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7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hidden="1" x14ac:dyDescent="0.25">
      <c r="A434" t="s">
        <v>1291</v>
      </c>
      <c r="B434" s="7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hidden="1" x14ac:dyDescent="0.25">
      <c r="A435" t="s">
        <v>1294</v>
      </c>
      <c r="B435" s="7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7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7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hidden="1" x14ac:dyDescent="0.25">
      <c r="A438" t="s">
        <v>1303</v>
      </c>
      <c r="B438" s="7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7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7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hidden="1" x14ac:dyDescent="0.25">
      <c r="A441" t="s">
        <v>1311</v>
      </c>
      <c r="B441" s="7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7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7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hidden="1" x14ac:dyDescent="0.25">
      <c r="A444" t="s">
        <v>1319</v>
      </c>
      <c r="B444" s="7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7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hidden="1" x14ac:dyDescent="0.25">
      <c r="A446" t="s">
        <v>1324</v>
      </c>
      <c r="B446" s="7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7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7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hidden="1" x14ac:dyDescent="0.25">
      <c r="A449" t="s">
        <v>1330</v>
      </c>
      <c r="B449" s="7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7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7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hidden="1" x14ac:dyDescent="0.25">
      <c r="A452" t="s">
        <v>1338</v>
      </c>
      <c r="B452" s="7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hidden="1" x14ac:dyDescent="0.25">
      <c r="A453" t="s">
        <v>1341</v>
      </c>
      <c r="B453" s="7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hidden="1" x14ac:dyDescent="0.25">
      <c r="A454" t="s">
        <v>1344</v>
      </c>
      <c r="B454" s="7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hidden="1" x14ac:dyDescent="0.25">
      <c r="A455" t="s">
        <v>1346</v>
      </c>
      <c r="B455" s="7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hidden="1" x14ac:dyDescent="0.25">
      <c r="A456" t="s">
        <v>1349</v>
      </c>
      <c r="B456" s="7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hidden="1" x14ac:dyDescent="0.25">
      <c r="A457" t="s">
        <v>1352</v>
      </c>
      <c r="B457" s="7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hidden="1" x14ac:dyDescent="0.25">
      <c r="A458" t="s">
        <v>1352</v>
      </c>
      <c r="B458" s="7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hidden="1" x14ac:dyDescent="0.25">
      <c r="A459" t="s">
        <v>1357</v>
      </c>
      <c r="B459" s="7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hidden="1" x14ac:dyDescent="0.25">
      <c r="A460" t="s">
        <v>1359</v>
      </c>
      <c r="B460" s="7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7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7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hidden="1" x14ac:dyDescent="0.25">
      <c r="A463" t="s">
        <v>1366</v>
      </c>
      <c r="B463" s="7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7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hidden="1" x14ac:dyDescent="0.25">
      <c r="A465" t="s">
        <v>1370</v>
      </c>
      <c r="B465" s="7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7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hidden="1" x14ac:dyDescent="0.25">
      <c r="A467" t="s">
        <v>1375</v>
      </c>
      <c r="B467" s="7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7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7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hidden="1" x14ac:dyDescent="0.25">
      <c r="A470" t="s">
        <v>1384</v>
      </c>
      <c r="B470" s="7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7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7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hidden="1" x14ac:dyDescent="0.25">
      <c r="A473" t="s">
        <v>1391</v>
      </c>
      <c r="B473" s="7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7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7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hidden="1" x14ac:dyDescent="0.25">
      <c r="A476" t="s">
        <v>1400</v>
      </c>
      <c r="B476" s="7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7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7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hidden="1" x14ac:dyDescent="0.25">
      <c r="A479" t="s">
        <v>1410</v>
      </c>
      <c r="B479" s="7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7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7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hidden="1" x14ac:dyDescent="0.25">
      <c r="A482" t="s">
        <v>1417</v>
      </c>
      <c r="B482" s="7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hidden="1" x14ac:dyDescent="0.25">
      <c r="A483" t="s">
        <v>1419</v>
      </c>
      <c r="B483" s="7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7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hidden="1" x14ac:dyDescent="0.25">
      <c r="A485" t="s">
        <v>1424</v>
      </c>
      <c r="B485" s="7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7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hidden="1" x14ac:dyDescent="0.25">
      <c r="A487" t="s">
        <v>1429</v>
      </c>
      <c r="B487" s="7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7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7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7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hidden="1" x14ac:dyDescent="0.25">
      <c r="A491" t="s">
        <v>1439</v>
      </c>
      <c r="B491" s="7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hidden="1" x14ac:dyDescent="0.25">
      <c r="A492" t="s">
        <v>1441</v>
      </c>
      <c r="B492" s="7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hidden="1" x14ac:dyDescent="0.25">
      <c r="A493" t="s">
        <v>1443</v>
      </c>
      <c r="B493" s="7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7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7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hidden="1" x14ac:dyDescent="0.25">
      <c r="A496" t="s">
        <v>1451</v>
      </c>
      <c r="B496" s="7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hidden="1" x14ac:dyDescent="0.25">
      <c r="A497" t="s">
        <v>1453</v>
      </c>
      <c r="B497" s="7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hidden="1" x14ac:dyDescent="0.25">
      <c r="A498" t="s">
        <v>1455</v>
      </c>
      <c r="B498" s="7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7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7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hidden="1" x14ac:dyDescent="0.25">
      <c r="A501" t="s">
        <v>1463</v>
      </c>
      <c r="B501" s="7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7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7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hidden="1" x14ac:dyDescent="0.25">
      <c r="A504" t="s">
        <v>1473</v>
      </c>
      <c r="B504" s="7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hidden="1" x14ac:dyDescent="0.25">
      <c r="A505" t="s">
        <v>1476</v>
      </c>
      <c r="B505" s="7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hidden="1" x14ac:dyDescent="0.25">
      <c r="A506" t="s">
        <v>1478</v>
      </c>
      <c r="B506" s="7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7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7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hidden="1" x14ac:dyDescent="0.25">
      <c r="A509" t="s">
        <v>1488</v>
      </c>
      <c r="B509" s="7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7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7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hidden="1" x14ac:dyDescent="0.25">
      <c r="A512" t="s">
        <v>1498</v>
      </c>
      <c r="B512" s="7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7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7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hidden="1" x14ac:dyDescent="0.25">
      <c r="A515" t="s">
        <v>1508</v>
      </c>
      <c r="B515" s="7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7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hidden="1" x14ac:dyDescent="0.25">
      <c r="A517" t="s">
        <v>1513</v>
      </c>
      <c r="B517" s="7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7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hidden="1" x14ac:dyDescent="0.25">
      <c r="A519" t="s">
        <v>1518</v>
      </c>
      <c r="B519" s="7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7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hidden="1" x14ac:dyDescent="0.25">
      <c r="A521" t="s">
        <v>1522</v>
      </c>
      <c r="B521" s="7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7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hidden="1" x14ac:dyDescent="0.25">
      <c r="A523" t="s">
        <v>1526</v>
      </c>
      <c r="B523" s="7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hidden="1" x14ac:dyDescent="0.25">
      <c r="A524" t="s">
        <v>1528</v>
      </c>
      <c r="B524" s="7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7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7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7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7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7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7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hidden="1" x14ac:dyDescent="0.25">
      <c r="A531" t="s">
        <v>1545</v>
      </c>
      <c r="B531" s="7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7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7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7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hidden="1" x14ac:dyDescent="0.25">
      <c r="A535" t="s">
        <v>1555</v>
      </c>
      <c r="B535" s="7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7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7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hidden="1" x14ac:dyDescent="0.25">
      <c r="A538" t="s">
        <v>1563</v>
      </c>
      <c r="B538" s="7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hidden="1" x14ac:dyDescent="0.25">
      <c r="A539" t="s">
        <v>1565</v>
      </c>
      <c r="B539" s="7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7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7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7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7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hidden="1" x14ac:dyDescent="0.25">
      <c r="A544" t="s">
        <v>1579</v>
      </c>
      <c r="B544" s="7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7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7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hidden="1" x14ac:dyDescent="0.25">
      <c r="A547" t="s">
        <v>1587</v>
      </c>
      <c r="B547" s="7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hidden="1" x14ac:dyDescent="0.25">
      <c r="A548" t="s">
        <v>1590</v>
      </c>
      <c r="B548" s="7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7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7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7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7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7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hidden="1" x14ac:dyDescent="0.25">
      <c r="A554" t="s">
        <v>1607</v>
      </c>
      <c r="B554" s="7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7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hidden="1" x14ac:dyDescent="0.25">
      <c r="A556" t="s">
        <v>1612</v>
      </c>
      <c r="B556" s="7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7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hidden="1" x14ac:dyDescent="0.25">
      <c r="A558" t="s">
        <v>1617</v>
      </c>
      <c r="B558" s="7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7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hidden="1" x14ac:dyDescent="0.25">
      <c r="A560" t="s">
        <v>1621</v>
      </c>
      <c r="B560" s="7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hidden="1" x14ac:dyDescent="0.25">
      <c r="A561" t="s">
        <v>1623</v>
      </c>
      <c r="B561" s="7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hidden="1" x14ac:dyDescent="0.25">
      <c r="A562" t="s">
        <v>1625</v>
      </c>
      <c r="B562" s="7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7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7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7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7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7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hidden="1" x14ac:dyDescent="0.25">
      <c r="A568" t="s">
        <v>1641</v>
      </c>
      <c r="B568" s="7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hidden="1" x14ac:dyDescent="0.25">
      <c r="A569" t="s">
        <v>1644</v>
      </c>
      <c r="B569" s="7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hidden="1" x14ac:dyDescent="0.25">
      <c r="A570" t="s">
        <v>1646</v>
      </c>
      <c r="B570" s="7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hidden="1" x14ac:dyDescent="0.25">
      <c r="A571" t="s">
        <v>1649</v>
      </c>
      <c r="B571" s="7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7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7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hidden="1" x14ac:dyDescent="0.25">
      <c r="A574" t="s">
        <v>1657</v>
      </c>
      <c r="B574" s="7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7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hidden="1" x14ac:dyDescent="0.25">
      <c r="A576" t="s">
        <v>1661</v>
      </c>
      <c r="B576" s="7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7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hidden="1" x14ac:dyDescent="0.25">
      <c r="A578" t="s">
        <v>1666</v>
      </c>
      <c r="B578" s="7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7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hidden="1" x14ac:dyDescent="0.25">
      <c r="A580" t="s">
        <v>1671</v>
      </c>
      <c r="B580" s="7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7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hidden="1" x14ac:dyDescent="0.25">
      <c r="A582" t="s">
        <v>1676</v>
      </c>
      <c r="B582" s="7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7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hidden="1" x14ac:dyDescent="0.25">
      <c r="A584" t="s">
        <v>1681</v>
      </c>
      <c r="B584" s="7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7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7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7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hidden="1" x14ac:dyDescent="0.25">
      <c r="A588" t="s">
        <v>1693</v>
      </c>
      <c r="B588" s="7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7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7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7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7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hidden="1" x14ac:dyDescent="0.25">
      <c r="A593" t="s">
        <v>1708</v>
      </c>
      <c r="B593" s="7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hidden="1" x14ac:dyDescent="0.25">
      <c r="A594" t="s">
        <v>1710</v>
      </c>
      <c r="B594" s="7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hidden="1" x14ac:dyDescent="0.25">
      <c r="A595" t="s">
        <v>1712</v>
      </c>
      <c r="B595" s="7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hidden="1" x14ac:dyDescent="0.25">
      <c r="A596" t="s">
        <v>1714</v>
      </c>
      <c r="B596" s="7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7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hidden="1" x14ac:dyDescent="0.25">
      <c r="A598" t="s">
        <v>1719</v>
      </c>
      <c r="B598" s="7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hidden="1" x14ac:dyDescent="0.25">
      <c r="A599" t="s">
        <v>1721</v>
      </c>
      <c r="B599" s="7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7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hidden="1" x14ac:dyDescent="0.25">
      <c r="A601" t="s">
        <v>1728</v>
      </c>
      <c r="B601" s="7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7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hidden="1" x14ac:dyDescent="0.25">
      <c r="A603" t="s">
        <v>1733</v>
      </c>
      <c r="B603" s="7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7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hidden="1" x14ac:dyDescent="0.25">
      <c r="A605" t="s">
        <v>1737</v>
      </c>
      <c r="B605" s="7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7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7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hidden="1" x14ac:dyDescent="0.25">
      <c r="A608" t="s">
        <v>1745</v>
      </c>
      <c r="B608" s="7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hidden="1" x14ac:dyDescent="0.25">
      <c r="A609" t="s">
        <v>1747</v>
      </c>
      <c r="B609" s="7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7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hidden="1" x14ac:dyDescent="0.25">
      <c r="A611" t="s">
        <v>1752</v>
      </c>
      <c r="B611" s="7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7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hidden="1" x14ac:dyDescent="0.25">
      <c r="A613" t="s">
        <v>1757</v>
      </c>
      <c r="B613" s="7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7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hidden="1" x14ac:dyDescent="0.25">
      <c r="A615" t="s">
        <v>1761</v>
      </c>
      <c r="B615" s="7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7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7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hidden="1" x14ac:dyDescent="0.25">
      <c r="A618" t="s">
        <v>1773</v>
      </c>
      <c r="B618" s="7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7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hidden="1" x14ac:dyDescent="0.25">
      <c r="A620" t="s">
        <v>1778</v>
      </c>
      <c r="B620" s="7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7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hidden="1" x14ac:dyDescent="0.25">
      <c r="A622" t="s">
        <v>1783</v>
      </c>
      <c r="B622" s="7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7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hidden="1" x14ac:dyDescent="0.25">
      <c r="A624" t="s">
        <v>1788</v>
      </c>
      <c r="B624" s="7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hidden="1" x14ac:dyDescent="0.25">
      <c r="A625" t="s">
        <v>1790</v>
      </c>
      <c r="B625" s="7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hidden="1" x14ac:dyDescent="0.25">
      <c r="A626" t="s">
        <v>1792</v>
      </c>
      <c r="B626" s="7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hidden="1" x14ac:dyDescent="0.25">
      <c r="A627" t="s">
        <v>1794</v>
      </c>
      <c r="B627" s="7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hidden="1" x14ac:dyDescent="0.25">
      <c r="A628" t="s">
        <v>1796</v>
      </c>
      <c r="B628" s="7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7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hidden="1" x14ac:dyDescent="0.25">
      <c r="A630" t="s">
        <v>1804</v>
      </c>
      <c r="B630" s="7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7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hidden="1" x14ac:dyDescent="0.25">
      <c r="A632" t="s">
        <v>1809</v>
      </c>
      <c r="B632" s="7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7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hidden="1" x14ac:dyDescent="0.25">
      <c r="A634" t="s">
        <v>1814</v>
      </c>
      <c r="B634" s="7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7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7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hidden="1" x14ac:dyDescent="0.25">
      <c r="A637" t="s">
        <v>1822</v>
      </c>
      <c r="B637" s="7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7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hidden="1" x14ac:dyDescent="0.25">
      <c r="A639" t="s">
        <v>1827</v>
      </c>
      <c r="B639" s="7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7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hidden="1" x14ac:dyDescent="0.25">
      <c r="A641" t="s">
        <v>1832</v>
      </c>
      <c r="B641" s="7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7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hidden="1" x14ac:dyDescent="0.25">
      <c r="A643" t="s">
        <v>1837</v>
      </c>
      <c r="B643" s="7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7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hidden="1" x14ac:dyDescent="0.25">
      <c r="A645" t="s">
        <v>1842</v>
      </c>
      <c r="B645" s="7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7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7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hidden="1" x14ac:dyDescent="0.25">
      <c r="A648" t="s">
        <v>1850</v>
      </c>
      <c r="B648" s="7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7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hidden="1" x14ac:dyDescent="0.25">
      <c r="A650" t="s">
        <v>1895</v>
      </c>
      <c r="B650" s="7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1896</v>
      </c>
      <c r="T650" t="s">
        <v>1185</v>
      </c>
      <c r="U650" t="s">
        <v>1187</v>
      </c>
    </row>
    <row r="651" spans="1:21" x14ac:dyDescent="0.25">
      <c r="A651" t="s">
        <v>1897</v>
      </c>
      <c r="B651" s="7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1898</v>
      </c>
      <c r="H651" t="s">
        <v>1899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1900</v>
      </c>
      <c r="S651" t="s">
        <v>1901</v>
      </c>
    </row>
    <row r="652" spans="1:21" hidden="1" x14ac:dyDescent="0.25">
      <c r="A652" t="s">
        <v>1902</v>
      </c>
      <c r="B652" s="7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1903</v>
      </c>
      <c r="T652" t="s">
        <v>1134</v>
      </c>
      <c r="U652" t="s">
        <v>1136</v>
      </c>
    </row>
    <row r="653" spans="1:21" x14ac:dyDescent="0.25">
      <c r="A653" t="s">
        <v>1904</v>
      </c>
      <c r="B653" s="7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1905</v>
      </c>
      <c r="S653" t="s">
        <v>1906</v>
      </c>
    </row>
  </sheetData>
  <autoFilter ref="A1:W653" xr:uid="{00000000-0001-0000-0000-000000000000}">
    <filterColumn colId="4">
      <filters>
        <filter val="BUY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5E62-F5D4-45E9-BD25-D312F4249D24}">
  <dimension ref="A1:Z44"/>
  <sheetViews>
    <sheetView tabSelected="1" workbookViewId="0">
      <selection activeCell="B2" sqref="B2"/>
    </sheetView>
  </sheetViews>
  <sheetFormatPr baseColWidth="10" defaultColWidth="10.85546875" defaultRowHeight="15" x14ac:dyDescent="0.25"/>
  <cols>
    <col min="1" max="1" width="28.42578125" style="4" bestFit="1" customWidth="1"/>
    <col min="2" max="2" width="17" style="5" bestFit="1" customWidth="1"/>
    <col min="3" max="3" width="24.28515625" style="4" bestFit="1" customWidth="1"/>
    <col min="4" max="4" width="20.42578125" style="5" bestFit="1" customWidth="1"/>
    <col min="5" max="5" width="19.5703125" style="7" bestFit="1" customWidth="1"/>
    <col min="6" max="6" width="19.5703125" style="5" customWidth="1"/>
    <col min="7" max="7" width="21.140625" style="9" bestFit="1" customWidth="1"/>
    <col min="8" max="8" width="26.85546875" style="6" bestFit="1" customWidth="1"/>
    <col min="9" max="9" width="20.42578125" style="5" bestFit="1" customWidth="1"/>
    <col min="10" max="10" width="26.5703125" style="5" bestFit="1" customWidth="1"/>
    <col min="11" max="11" width="21.140625" style="9" customWidth="1"/>
    <col min="12" max="12" width="22.85546875" style="6" bestFit="1" customWidth="1"/>
    <col min="13" max="13" width="15.5703125" style="5" customWidth="1"/>
    <col min="14" max="14" width="20.42578125" style="5" bestFit="1" customWidth="1"/>
    <col min="15" max="15" width="20" style="5" bestFit="1" customWidth="1"/>
    <col min="16" max="16" width="13.7109375" style="8" bestFit="1" customWidth="1"/>
    <col min="17" max="18" width="13.7109375" style="8" customWidth="1"/>
    <col min="19" max="19" width="10.85546875" style="4"/>
    <col min="20" max="20" width="22.85546875" style="4" bestFit="1" customWidth="1"/>
    <col min="21" max="21" width="10.85546875" style="5"/>
    <col min="22" max="22" width="12.5703125" style="4" bestFit="1" customWidth="1"/>
    <col min="23" max="23" width="8.7109375" style="5" bestFit="1" customWidth="1"/>
    <col min="24" max="24" width="15.5703125" style="4" bestFit="1" customWidth="1"/>
    <col min="25" max="25" width="10.85546875" style="4"/>
    <col min="26" max="26" width="14.42578125" style="5" bestFit="1" customWidth="1"/>
    <col min="27" max="16384" width="10.85546875" style="4"/>
  </cols>
  <sheetData>
    <row r="1" spans="1:26" x14ac:dyDescent="0.25">
      <c r="A1" s="4" t="s">
        <v>1880</v>
      </c>
      <c r="B1" s="5">
        <f xml:space="preserve"> SUMIFS(Daten!K:K,Daten!E:E,"TRANSFER_INSTANT_INBOUND",Daten!B:B,"&gt;="&amp;DATE(2025,1,1),Daten!B:B,"&lt;="&amp;DATE(2025,12,31))
+ SUMIFS(Daten!K:K,Daten!E:E,"TRANSFER_IN",Daten!B:B,"&gt;="&amp;DATE(2025,1,1),Daten!B:B,"&lt;="&amp;DATE(2025,12,31))
+ SUMIFS(Daten!K:K,Daten!E:E,"GIFT",Daten!B:B,"&gt;="&amp;DATE(2025,1,1),Daten!B:B,"&lt;="&amp;DATE(2025,12,31))
+ SUMIFS(Daten!K:K,Daten!E:E,"DIVIDEND",Daten!B:B,"&gt;="&amp;DATE(2025,1,1),Daten!B:B,"&lt;="&amp;DATE(2025,12,31))
+ SUMIFS(Daten!K:K,Daten!E:E,"CUSTOMER_INPAYMENT",Daten!B:B,"&gt;="&amp;DATE(2025,1,1),Daten!B:B,"&lt;="&amp;DATE(2025,12,31))</f>
        <v>3567.11</v>
      </c>
      <c r="C1" s="5"/>
    </row>
    <row r="2" spans="1:26" x14ac:dyDescent="0.25">
      <c r="A2" s="4" t="s">
        <v>1881</v>
      </c>
      <c r="B2" s="5">
        <f xml:space="preserve"> SUMIFS(Daten!L:L,Daten!E:E,"BUY",Daten!B:B,"&gt;="&amp;DATE(2025,1,1),Daten!B:B,"&lt;="&amp;DATE(2025,12,31))</f>
        <v>-51</v>
      </c>
      <c r="C2" s="5"/>
    </row>
    <row r="3" spans="1:26" x14ac:dyDescent="0.25">
      <c r="A3" s="4" t="s">
        <v>1882</v>
      </c>
      <c r="B3" s="5">
        <f xml:space="preserve"> SUMIFS(Daten!L:L,Daten!E:E,"SELL",Daten!B:B,"&gt;="&amp;DATE(2025,1,1),Daten!B:B,"&lt;="&amp;DATE(2025,12,31))</f>
        <v>-15</v>
      </c>
      <c r="C3" s="5"/>
    </row>
    <row r="4" spans="1:26" x14ac:dyDescent="0.25">
      <c r="A4" s="4" t="s">
        <v>1883</v>
      </c>
      <c r="B4" s="5">
        <f xml:space="preserve"> SUMIFS(Daten!L:L,Daten!B:B,"&gt;="&amp;DATE(2025,1,1),Daten!B:B,"&lt;="&amp;DATE(2025,12,31))</f>
        <v>-66</v>
      </c>
      <c r="C4" s="5"/>
    </row>
    <row r="5" spans="1:26" x14ac:dyDescent="0.25">
      <c r="A5" s="4" t="s">
        <v>1885</v>
      </c>
      <c r="B5" s="5">
        <f xml:space="preserve"> SUMIFS(Daten!M:M,Daten!F:F,"STOCK",Daten!B:B,"&gt;="&amp;DATE(2025,1,1),Daten!B:B,"&lt;="&amp;DATE(2025,12,31))</f>
        <v>-53.69</v>
      </c>
      <c r="C5" s="5"/>
    </row>
    <row r="6" spans="1:26" x14ac:dyDescent="0.25">
      <c r="A6" s="4" t="s">
        <v>1884</v>
      </c>
      <c r="B6" s="5">
        <f xml:space="preserve"> SUMIFS(Daten!M:M,Daten!F:F,"CRYPTO",Daten!B:B,"&gt;="&amp;DATE(2025,1,1),Daten!B:B,"&lt;="&amp;DATE(2025,12,31))</f>
        <v>0</v>
      </c>
      <c r="C6" s="5"/>
    </row>
    <row r="7" spans="1:26" x14ac:dyDescent="0.25">
      <c r="A7" s="4" t="s">
        <v>1886</v>
      </c>
      <c r="B7" s="5">
        <f xml:space="preserve"> SUMIFS(Daten!M:M,Daten!B:B,"&gt;="&amp;DATE(2025,1,1),Daten!B:B,"&lt;="&amp;DATE(2025,12,31))</f>
        <v>-53.69</v>
      </c>
      <c r="C7" s="5"/>
    </row>
    <row r="8" spans="1:26" x14ac:dyDescent="0.25">
      <c r="A8" s="4" t="s">
        <v>1907</v>
      </c>
      <c r="B8" s="5">
        <f xml:space="preserve"> SUMIFS(Daten!K:K,Daten!E:E,"TRANSFER_INSTANT_OUTBOUND",Daten!B:B,"&gt;="&amp;DATE(2025,1,1),Daten!B:B,"&lt;="&amp;DATE(2025,12,31))
+ SUMIFS(Daten!K:K,Daten!E:E,"TRANSFER_OUT",Daten!B:B,"&gt;="&amp;DATE(2025,1,1),Daten!B:B,"&lt;="&amp;DATE(2025,12,31))
+ SUMIFS(Daten!K:K,Daten!E:E,"TRANSFER_OUTBOUND",Daten!B:B,"&gt;="&amp;DATE(2025,1,1),Daten!B:B,"&lt;="&amp;DATE(2025,12,31))</f>
        <v>-1450</v>
      </c>
      <c r="C8" s="5"/>
    </row>
    <row r="9" spans="1:26" x14ac:dyDescent="0.25">
      <c r="C9" s="5"/>
    </row>
    <row r="11" spans="1:26" x14ac:dyDescent="0.25">
      <c r="A11" s="4" t="s">
        <v>1867</v>
      </c>
      <c r="T11" s="4" t="s">
        <v>1868</v>
      </c>
    </row>
    <row r="12" spans="1:26" x14ac:dyDescent="0.25">
      <c r="A12" s="4" t="s">
        <v>1866</v>
      </c>
      <c r="B12" s="5" t="s">
        <v>1887</v>
      </c>
      <c r="C12" s="4" t="s">
        <v>1888</v>
      </c>
      <c r="D12" s="5" t="s">
        <v>1889</v>
      </c>
      <c r="E12" s="7" t="s">
        <v>1890</v>
      </c>
      <c r="F12" s="5" t="s">
        <v>1872</v>
      </c>
      <c r="G12" s="9" t="s">
        <v>1873</v>
      </c>
      <c r="H12" s="6" t="s">
        <v>1891</v>
      </c>
      <c r="I12" s="5" t="s">
        <v>1875</v>
      </c>
      <c r="J12" s="5" t="s">
        <v>1892</v>
      </c>
      <c r="K12" s="9" t="s">
        <v>1879</v>
      </c>
      <c r="L12" s="6" t="s">
        <v>1893</v>
      </c>
      <c r="M12" s="5" t="s">
        <v>1874</v>
      </c>
      <c r="N12" s="5" t="s">
        <v>1876</v>
      </c>
      <c r="O12" s="5" t="s">
        <v>1877</v>
      </c>
      <c r="P12" s="8" t="s">
        <v>1878</v>
      </c>
      <c r="T12" s="4" t="s">
        <v>81</v>
      </c>
      <c r="U12" s="5" t="s">
        <v>1856</v>
      </c>
      <c r="V12" s="4" t="s">
        <v>1859</v>
      </c>
      <c r="W12" s="5" t="s">
        <v>1857</v>
      </c>
      <c r="X12" s="4" t="s">
        <v>1860</v>
      </c>
      <c r="Y12" s="4" t="s">
        <v>1861</v>
      </c>
      <c r="Z12" s="5" t="s">
        <v>1858</v>
      </c>
    </row>
    <row r="13" spans="1:26" x14ac:dyDescent="0.25">
      <c r="A13" s="4" t="s">
        <v>366</v>
      </c>
      <c r="B13" s="5">
        <f>SUMIFS(Daten!K:K,Daten!E:E,"BUY",Daten!F:F,"STOCK",Daten!G:G,"Bayer",Daten!H:H,"DE000BAY0017",Daten!B:B,"&gt;="&amp;DATE(2025,1,1),Daten!B:B,"&lt;="&amp;DATE(2025,12,31))
+ SUMIFS(Daten!L:L,Daten!E:E,"BUY",Daten!F:F,"STOCK",Daten!G:G,"Bayer",Daten!H:H,"DE000BAY0017",Daten!B:B,"&gt;="&amp;DATE(2025,1,1),Daten!B:B,"&lt;="&amp;DATE(2025,12,31))</f>
        <v>-58.980000000000004</v>
      </c>
      <c r="C13" s="4">
        <f xml:space="preserve"> SUMIFS(Daten!I:I,Daten!E:E,"BUY",Daten!F:F,"STOCK",Daten!G:G,"Bayer",Daten!H:H,"DE000BAY0017",Daten!B:B,"&gt;="&amp;DATE(2025,1,1),Daten!B:B,"&lt;="&amp;DATE(2025,12,31))</f>
        <v>1.6041540000000001</v>
      </c>
      <c r="T13" s="4" t="s">
        <v>91</v>
      </c>
      <c r="U13" s="5">
        <f xml:space="preserve"> SUMIFS(Daten!K:K,Daten!E:E,"BUY",Daten!F:F,"CRYPTO",Daten!G:G,"Cardano",Daten!H:H,"ADA",Daten!B:B,"&gt;="&amp;DATE(2025,1,1),Daten!B:B,"&lt;="&amp;DATE(2025,12,31))
+ SUMIFS(Daten!L:L,Daten!E:E,"BUY",Daten!F:F,"CRYPTO",Daten!G:G,"Cardano",Daten!H:H,"ADA",Daten!B:B,"&gt;="&amp;DATE(2025,1,1),Daten!B:B,"&lt;="&amp;DATE(2025,12,31))</f>
        <v>-82.99</v>
      </c>
      <c r="V13" s="4">
        <f xml:space="preserve"> SUMIFS(Daten!I:I,Daten!E:E,"BUY",Daten!F:F,"CRYPTO",Daten!G:G,"Cardano",Daten!H:H,"ADA",Daten!B:B,"&gt;="&amp;DATE(2025,1,1),Daten!B:B,"&lt;="&amp;DATE(2025,12,31))</f>
        <v>176.11286899999999</v>
      </c>
    </row>
    <row r="14" spans="1:26" x14ac:dyDescent="0.25">
      <c r="A14" s="4" t="s">
        <v>291</v>
      </c>
      <c r="B14" s="5">
        <f xml:space="preserve"> SUMIFS(Daten!K:K,Daten!E:E,"BUY",Daten!F:F,"STOCK",Daten!G:G,"BTQ Technologies",Daten!H:H,"CA0558691014",Daten!B:B,"&gt;="&amp;DATE(2025,1,1),Daten!B:B,"&lt;="&amp;DATE(2025,12,31))
+ SUMIFS(Daten!L:L,Daten!E:E,"BUY",Daten!F:F,"STOCK",Daten!G:G,"BTQ Technologies",Daten!H:H,"CA0558691014",Daten!B:B,"&gt;="&amp;DATE(2025,1,1),Daten!B:B,"&lt;="&amp;DATE(2025,12,31))</f>
        <v>-258.28999999999996</v>
      </c>
      <c r="C14" s="4">
        <f xml:space="preserve"> SUMIFS(Daten!I:I,Daten!E:E,"BUY",Daten!F:F,"STOCK",Daten!G:G,"BTQ Technologies",Daten!H:H,"CA0558691014",Daten!B:B,"&gt;="&amp;DATE(2025,1,1),Daten!B:B,"&lt;="&amp;DATE(2025,12,31))</f>
        <v>30.829530999999999</v>
      </c>
      <c r="T14" s="4" t="s">
        <v>139</v>
      </c>
      <c r="U14" s="5">
        <f xml:space="preserve"> SUMIFS(Daten!K:K,Daten!E:E,"BUY",Daten!F:F,"CRYPTO",Daten!G:G,"Chainlink",Daten!H:H,"LINK",Daten!B:B,"&gt;="&amp;DATE(2025,1,1),Daten!B:B,"&lt;="&amp;DATE(2025,12,31))
+ SUMIFS(Daten!L:L,Daten!E:E,"BUY",Daten!F:F,"CRYPTO",Daten!G:G,"Chainlink",Daten!H:H,"LINK",Daten!B:B,"&gt;="&amp;DATE(2025,1,1),Daten!B:B,"&lt;="&amp;DATE(2025,12,31))</f>
        <v>-96</v>
      </c>
      <c r="V14" s="4">
        <f xml:space="preserve"> SUMIFS(Daten!I:I,Daten!E:E,"BUY",Daten!F:F,"CRYPTO",Daten!G:G,"Chainlink",Daten!H:H,"LINK",Daten!B:B,"&gt;="&amp;DATE(2025,1,1),Daten!B:B,"&lt;="&amp;DATE(2025,12,31))</f>
        <v>5.8810079999999996</v>
      </c>
    </row>
    <row r="15" spans="1:26" x14ac:dyDescent="0.25">
      <c r="A15" s="4" t="s">
        <v>414</v>
      </c>
      <c r="B15" s="5">
        <f xml:space="preserve"> SUMIFS(Daten!K:K,Daten!E:E,"BUY",Daten!F:F,"STOCK",Daten!G:G,"Centrotherm Photovoltaics",Daten!H:H,"DE000A1TNMM9",Daten!B:B,"&gt;="&amp;DATE(2025,1,1),Daten!B:B,"&lt;="&amp;DATE(2025,12,31))
+ SUMIFS(Daten!L:L,Daten!E:E,"BUY",Daten!F:F,"STOCK",Daten!G:G,"Centrotherm Photovoltaics",Daten!H:H,"DE000A1TNMM9",Daten!B:B,"&gt;="&amp;DATE(2025,1,1),Daten!B:B,"&lt;="&amp;DATE(2025,12,31))</f>
        <v>-200</v>
      </c>
      <c r="C15" s="4">
        <f xml:space="preserve"> SUMIFS(Daten!I:I,Daten!E:E,"BUY",Daten!F:F,"STOCK",Daten!G:G,"Centrotherm Photovoltaics",Daten!H:H,"DE000A1TNMM9",Daten!B:B,"&gt;="&amp;DATE(2025,1,1),Daten!B:B,"&lt;="&amp;DATE(2025,12,31))</f>
        <v>23.832335</v>
      </c>
      <c r="T15" s="4" t="s">
        <v>155</v>
      </c>
      <c r="U15" s="5">
        <f xml:space="preserve"> SUMIFS(Daten!K:K,Daten!E:E,"BUY",Daten!F:F,"CRYPTO",Daten!G:G,"Polkadot",Daten!H:H,"DOT",Daten!B:B,"&gt;="&amp;DATE(2025,1,1),Daten!B:B,"&lt;="&amp;DATE(2025,12,31))
+ SUMIFS(Daten!L:L,Daten!E:E,"BUY",Daten!F:F,"CRYPTO",Daten!G:G,"Polkadot",Daten!H:H,"DOT",Daten!B:B,"&gt;="&amp;DATE(2025,1,1),Daten!B:B,"&lt;="&amp;DATE(2025,12,31))</f>
        <v>-66.989999999999995</v>
      </c>
      <c r="V15" s="4">
        <f xml:space="preserve"> SUMIFS(Daten!I:I,Daten!E:E,"BUY",Daten!F:F,"CRYPTO",Daten!G:G,"Polkadot",Daten!H:H,"DOT",Daten!B:B,"&gt;="&amp;DATE(2025,1,1),Daten!B:B,"&lt;="&amp;DATE(2025,12,31))</f>
        <v>22.689657</v>
      </c>
    </row>
    <row r="16" spans="1:26" x14ac:dyDescent="0.25">
      <c r="A16" s="4" t="s">
        <v>424</v>
      </c>
      <c r="B16" s="5">
        <f xml:space="preserve"> SUMIFS(Daten!K:K,Daten!E:E,"BUY",Daten!F:F,"STOCK",Daten!G:G,"Deutsche Konsum REIT",Daten!H:H,"DE000A14KRD3",Daten!B:B,"&gt;="&amp;DATE(2025,1,1),Daten!B:B,"&lt;="&amp;DATE(2025,12,31))
+ SUMIFS(Daten!L:L,Daten!E:E,"BUY",Daten!F:F,"STOCK",Daten!G:G,"Deutsche Konsum REIT",Daten!H:H,"DE000A14KRD3",Daten!B:B,"&gt;="&amp;DATE(2025,1,1),Daten!B:B,"&lt;="&amp;DATE(2025,12,31))</f>
        <v>-57.55</v>
      </c>
      <c r="C16" s="4">
        <f xml:space="preserve"> SUMIFS(Daten!I:I,Daten!E:E,"BUY",Daten!F:F,"STOCK",Daten!G:G,"Deutsche Konsum REIT",Daten!H:H,"DE000A14KRD3",Daten!B:B,"&gt;="&amp;DATE(2025,1,1),Daten!B:B,"&lt;="&amp;DATE(2025,12,31))</f>
        <v>30</v>
      </c>
      <c r="T16" s="4" t="s">
        <v>150</v>
      </c>
      <c r="U16" s="5">
        <f xml:space="preserve"> SUMIFS(Daten!K:K,Daten!E:E,"BUY",Daten!F:F,"CRYPTO",Daten!G:G,"Render",Daten!H:H,"XF0RENDER015",Daten!B:B,"&gt;="&amp;DATE(2025,1,1),Daten!B:B,"&lt;="&amp;DATE(2025,12,31))
+ SUMIFS(Daten!L:L,Daten!E:E,"BUY",Daten!F:F,"CRYPTO",Daten!G:G,"Render",Daten!H:H,"XF0RENDER015",Daten!B:B,"&gt;="&amp;DATE(2025,1,1),Daten!B:B,"&lt;="&amp;DATE(2025,12,31))</f>
        <v>-58.97</v>
      </c>
      <c r="V16" s="4">
        <f xml:space="preserve"> SUMIFS(Daten!I:I,Daten!E:E,"BUY",Daten!F:F,"CRYPTO",Daten!G:G,"Render",Daten!H:H,"XF0RENDER015",Daten!B:B,"&gt;="&amp;DATE(2025,1,1),Daten!B:B,"&lt;="&amp;DATE(2025,12,31))</f>
        <v>24.9</v>
      </c>
    </row>
    <row r="17" spans="1:22" x14ac:dyDescent="0.25">
      <c r="A17" s="4" t="s">
        <v>444</v>
      </c>
      <c r="B17" s="5">
        <f xml:space="preserve"> SUMIFS(Daten!K:K,Daten!E:E,"BUY",Daten!F:F,"STOCK",Daten!G:G,"Draganfly",Daten!H:H,"CA26142Q3044",Daten!B:B,"&gt;="&amp;DATE(2025,1,1),Daten!B:B,"&lt;="&amp;DATE(2025,12,31))
+ SUMIFS(Daten!L:L,Daten!E:E,"BUY",Daten!F:F,"STOCK",Daten!G:G,"Draganfly",Daten!H:H,"CA26142Q3044",Daten!B:B,"&gt;="&amp;DATE(2025,1,1),Daten!B:B,"&lt;="&amp;DATE(2025,12,31))</f>
        <v>-80</v>
      </c>
      <c r="C17" s="4">
        <f xml:space="preserve"> SUMIFS(Daten!I:I,Daten!E:E,"BUY",Daten!F:F,"STOCK",Daten!G:G,"Draganfly",Daten!H:H,"CA26142Q3044",Daten!B:B,"&gt;="&amp;DATE(2025,1,1),Daten!B:B,"&lt;="&amp;DATE(2025,12,31))</f>
        <v>14.905659999999999</v>
      </c>
      <c r="T17" s="4" t="s">
        <v>82</v>
      </c>
      <c r="U17" s="5">
        <f xml:space="preserve"> SUMIFS(Daten!K:K,Daten!E:E,"BUY",Daten!F:F,"CRYPTO",Daten!G:G,"Solana",Daten!H:H,"SOL",Daten!B:B,"&gt;="&amp;DATE(2025,1,1),Daten!B:B,"&lt;="&amp;DATE(2025,12,31))
+ SUMIFS(Daten!L:L,Daten!E:E,"BUY",Daten!F:F,"CRYPTO",Daten!G:G,"Solana",Daten!H:H,"SOL",Daten!B:B,"&gt;="&amp;DATE(2025,1,1),Daten!B:B,"&lt;="&amp;DATE(2025,12,31))</f>
        <v>-189.02</v>
      </c>
      <c r="V17" s="4">
        <f xml:space="preserve"> SUMIFS(Daten!I:I,Daten!E:E,"BUY",Daten!F:F,"CRYPTO",Daten!G:G,"Solana",Daten!H:H,"SOL",Daten!B:B,"&gt;="&amp;DATE(2025,1,1),Daten!B:B,"&lt;="&amp;DATE(2025,12,31))</f>
        <v>1.004294</v>
      </c>
    </row>
    <row r="18" spans="1:22" x14ac:dyDescent="0.25">
      <c r="A18" s="4" t="s">
        <v>228</v>
      </c>
      <c r="B18" s="5">
        <f xml:space="preserve"> SUMIFS(Daten!K:K,Daten!E:E,"BUY",Daten!F:F,"STOCK",Daten!G:G,"DroneShield",Daten!H:H,"AU000000DRO2",Daten!B:B,"&gt;="&amp;DATE(2025,1,1),Daten!B:B,"&lt;="&amp;DATE(2025,12,31))
+ SUMIFS(Daten!L:L,Daten!E:E,"BUY",Daten!F:F,"STOCK",Daten!G:G,"DroneShield",Daten!H:H,"AU000000DRO2",Daten!B:B,"&gt;="&amp;DATE(2025,1,1),Daten!B:B,"&lt;="&amp;DATE(2025,12,31))</f>
        <v>-476.79999999999995</v>
      </c>
      <c r="C18" s="4">
        <f xml:space="preserve"> SUMIFS(Daten!I:I,Daten!E:E,"BUY",Daten!F:F,"STOCK",Daten!G:G,"DroneShield",Daten!H:H,"AU000000DRO2",Daten!B:B,"&gt;="&amp;DATE(2025,1,1),Daten!B:B,"&lt;="&amp;DATE(2025,12,31))</f>
        <v>232.002331</v>
      </c>
      <c r="D18" s="5">
        <f xml:space="preserve"> SUMIFS(Daten!K:K,Daten!E:E,"SELL",Daten!F:F,"STOCK",Daten!G:G,"DroneShield",Daten!H:H,"AU000000DRO2",Daten!B:B,"&gt;="&amp;DATE(2025,1,1),Daten!B:B,"&lt;="&amp;DATE(2025,12,31))
+ SUMIFS(Daten!L:L,Daten!E:E,"SELL",Daten!F:F,"STOCK",Daten!G:G,"DroneShield",Daten!H:H,"AU000000DRO2",Daten!B:B,"&gt;="&amp;DATE(2025,1,1),Daten!B:B,"&lt;="&amp;DATE(2025,12,31))</f>
        <v>446.31</v>
      </c>
      <c r="E18" s="7">
        <v>45938</v>
      </c>
      <c r="F18" s="5">
        <f xml:space="preserve"> SUMIFS(Daten!K:K,Daten!E:E,"SELL",Daten!F:F,"STOCK",Daten!G:G,"DroneShield",Daten!H:H,"AU000000DRO2",Daten!B:B,"="&amp;DATE(2025,10,8))
+ SUMIFS(Daten!L:L,Daten!E:E,"SELL",Daten!F:F,"STOCK",Daten!G:G,"DroneShield",Daten!H:H,"AU000000DRO2",Daten!B:B,"="&amp;DATE(2025,10,8))</f>
        <v>446.31</v>
      </c>
      <c r="G18" s="9">
        <f xml:space="preserve"> SUMIFS(Daten!I:I,Daten!E:E,"SELL",Daten!F:F,"STOCK",Daten!G:G,"DroneShield",Daten!H:H,"AU000000DRO2",Daten!B:B,"="&amp;DATE(2025,10,8))</f>
        <v>-123.227194</v>
      </c>
      <c r="H18" s="6">
        <f xml:space="preserve"> SUMIFS(Daten!I:I,Daten!E:E,"SELL",Daten!F:F,"STOCK",Daten!G:G,"DroneShield",Daten!H:H,"AU000000DRO2",Daten!B:B,"&gt;="&amp;DATE(2025,1,1),Daten!B:B,"&lt;="&amp;DATE(2025,12,31))</f>
        <v>-123.227194</v>
      </c>
      <c r="I18" s="5">
        <f xml:space="preserve"> SUMIFS(Daten!M:M,Daten!E:E,"SELL",Daten!F:F,"STOCK",Daten!G:G,"DroneShield",Daten!H:H,"AU000000DRO2",Daten!B:B,"="&amp;DATE(2025,10,8))</f>
        <v>-23.6</v>
      </c>
      <c r="J18" s="5">
        <f xml:space="preserve"> SUMIFS(Daten!M:M,Daten!E:E,"SELL",Daten!F:F,"STOCK",Daten!G:G,"DroneShield",Daten!H:H,"AU000000DRO2",Daten!B:B,"&gt;="&amp;DATE(2025,1,1),Daten!B:B,"&lt;="&amp;DATE(2025,12,31))</f>
        <v>-23.6</v>
      </c>
      <c r="K18" s="9">
        <f xml:space="preserve"> SUMIFS(Daten!I:I,Daten!E:E,"BUY",Daten!F:F,"STOCK",Daten!G:G,"DroneShield",Daten!H:H,"AU000000DRO2",Daten!B:B,"&gt;="&amp;DATE(2025,1,1),Daten!B:B,"&lt;="&amp;DATE(2025,10,8))
+ SUMIFS(Daten!I:I,Daten!E:E,"SELL",Daten!F:F,"STOCK",Daten!G:G,"DroneShield",Daten!H:H,"AU000000DRO2",Daten!B:B,"&gt;="&amp;DATE(2025,1,1),Daten!B:B,"&lt;="&amp;DATE(2025,10,8))</f>
        <v>0</v>
      </c>
      <c r="L18" s="6">
        <f xml:space="preserve"> SUMIFS(Daten!I:I,Daten!E:E,"BUY",Daten!F:F,"STOCK",Daten!G:G,"DroneShield",Daten!H:H,"AU000000DRO2",Daten!B:B,"&gt;="&amp;DATE(2025,1,1),Daten!B:B,"&lt;="&amp;DATE(2025,12,31))
+ SUMIFS(Daten!I:I,Daten!E:E,"SELL",Daten!F:F,"STOCK",Daten!G:G,"DroneShield",Daten!H:H,"AU000000DRO2",Daten!B:B,"&gt;="&amp;DATE(2025,1,1),Daten!B:B,"&lt;="&amp;DATE(2025,12,31))</f>
        <v>108.775137</v>
      </c>
      <c r="M18" s="5">
        <f xml:space="preserve"> SUMIFS(Daten!K:K,Daten!E:E,"BUY",Daten!F:F,"STOCK",Daten!G:G,"DroneShield",Daten!H:H,"AU000000DRO2",Daten!B:B,"&gt;="&amp;DATE(2025,1,1),Daten!B:B,"&lt;="&amp;DATE(2025,10,8))
+ SUMIFS(Daten!L:L,Daten!E:E,"BUY",Daten!F:F,"STOCK",Daten!G:G,"DroneShield",Daten!H:H,"AU000000DRO2",Daten!B:B,"&gt;="&amp;DATE(2025,1,1),Daten!B:B,"&lt;="&amp;DATE(2025,10,8))</f>
        <v>-356.79999999999995</v>
      </c>
      <c r="N18" s="5">
        <f xml:space="preserve"> SUMIFS(Daten!K:K,Daten!E:E,"SELL",Daten!F:F,"STOCK",Daten!G:G,"DroneShield",Daten!H:H,"AU000000DRO2",Daten!B:B,"="&amp;DATE(2025,10,8))
+ SUMIFS(Daten!L:L,Daten!E:E,"SELL",Daten!F:F,"STOCK",Daten!G:G,"DroneShield",Daten!H:H,"AU000000DRO2",Daten!B:B,"="&amp;DATE(2025,10,8))
+ SUMIFS(Daten!M:M,Daten!E:E,"SELL",Daten!F:F,"STOCK",Daten!G:G,"DroneShield",Daten!H:H,"AU000000DRO2",Daten!B:B,"="&amp;DATE(2025,10,8))</f>
        <v>422.71</v>
      </c>
      <c r="O18" s="5">
        <f xml:space="preserve"> SUMIFS(Daten!K:K,Daten!E:E,"BUY",Daten!F:F,"STOCK",Daten!G:G,"DroneShield",Daten!H:H,"AU000000DRO2",Daten!B:B,"&gt;="&amp;DATE(2025,1,1),Daten!B:B,"&lt;="&amp;DATE(2025,10,8))
+ SUMIFS(Daten!L:L,Daten!E:E,"BUY",Daten!F:F,"STOCK",Daten!G:G,"DroneShield",Daten!H:H,"AU000000DRO2",Daten!B:B,"&gt;="&amp;DATE(2025,1,1),Daten!B:B,"&lt;="&amp;DATE(2025,10,8))
+ SUMIFS(Daten!K:K,Daten!E:E,"SELL",Daten!F:F,"STOCK",Daten!G:G,"DroneShield",Daten!H:H,"AU000000DRO2",Daten!B:B,"="&amp;DATE(2025,10,8))
+ SUMIFS(Daten!L:L,Daten!E:E,"SELL",Daten!F:F,"STOCK",Daten!G:G,"DroneShield",Daten!H:H,"AU000000DRO2",Daten!B:B,"="&amp;DATE(2025,10,8))</f>
        <v>89.510000000000048</v>
      </c>
      <c r="P18" s="8">
        <f xml:space="preserve"> -(  SUMIFS(Daten!K:K,Daten!E:E,"BUY",Daten!F:F,"STOCK",Daten!G:G,"DroneShield",Daten!H:H,"AU000000DRO2",Daten!B:B,"&gt;="&amp;DATE(2025,1,1),Daten!B:B,"&lt;="&amp;DATE(2025,10,8))
   + SUMIFS(Daten!L:L,Daten!E:E,"BUY",Daten!F:F,"STOCK",Daten!G:G,"DroneShield",Daten!H:H,"AU000000DRO2",Daten!B:B,"&gt;="&amp;DATE(2025,1,1),Daten!B:B,"&lt;="&amp;DATE(2025,10,8))
   + SUMIFS(Daten!K:K,Daten!E:E,"SELL",Daten!F:F,"STOCK",Daten!G:G,"DroneShield",Daten!H:H,"AU000000DRO2",Daten!B:B,"="&amp;DATE(2025,10,8))
   + SUMIFS(Daten!L:L,Daten!E:E,"SELL",Daten!F:F,"STOCK",Daten!G:G,"DroneShield",Daten!H:H,"AU000000DRO2",Daten!B:B,"="&amp;DATE(2025,10,8))
   )
/
  (  SUMIFS(Daten!K:K,Daten!E:E,"BUY",Daten!F:F,"STOCK",Daten!G:G,"DroneShield",Daten!H:H,"AU000000DRO2",Daten!B:B,"&gt;="&amp;DATE(2025,1,1),Daten!B:B,"&lt;="&amp;DATE(2025,10,8))
   + SUMIFS(Daten!L:L,Daten!E:E,"BUY",Daten!F:F,"STOCK",Daten!G:G,"DroneShield",Daten!H:H,"AU000000DRO2",Daten!B:B,"&gt;="&amp;DATE(2025,1,1),Daten!B:B,"&lt;="&amp;DATE(2025,10,8))
   )</f>
        <v>0.25086883408071764</v>
      </c>
      <c r="T18" s="4" t="s">
        <v>87</v>
      </c>
      <c r="U18" s="5">
        <f xml:space="preserve"> SUMIFS(Daten!K:K,Daten!E:E,"BUY",Daten!F:F,"CRYPTO",Daten!G:G,"XRP",Daten!H:H,"XRP",Daten!B:B,"&gt;="&amp;DATE(2025,1,1),Daten!B:B,"&lt;="&amp;DATE(2025,12,31))
+ SUMIFS(Daten!L:L,Daten!E:E,"BUY",Daten!F:F,"CRYPTO",Daten!G:G,"XRP",Daten!H:H,"XRP",Daten!B:B,"&gt;="&amp;DATE(2025,1,1),Daten!B:B,"&lt;="&amp;DATE(2025,12,31))</f>
        <v>-86.009999999999991</v>
      </c>
      <c r="V18" s="4">
        <f xml:space="preserve"> SUMIFS(Daten!I:I,Daten!E:E,"BUY",Daten!F:F,"CRYPTO",Daten!G:G,"XRP",Daten!H:H,"XRP",Daten!B:B,"&gt;="&amp;DATE(2025,1,1),Daten!B:B,"&lt;="&amp;DATE(2025,12,31))</f>
        <v>41.012137000000003</v>
      </c>
    </row>
    <row r="19" spans="1:22" x14ac:dyDescent="0.25">
      <c r="A19" s="4" t="s">
        <v>208</v>
      </c>
      <c r="B19" s="5">
        <f xml:space="preserve"> SUMIFS(Daten!K:K,Daten!E:E,"BUY",Daten!F:F,"STOCK",Daten!G:G,"D-Wave Quantum",Daten!H:H,"US26740W1099",Daten!B:B,"&gt;="&amp;DATE(2025,1,1),Daten!B:B,"&lt;="&amp;DATE(2025,12,31))
+ SUMIFS(Daten!L:L,Daten!E:E,"BUY",Daten!F:F,"STOCK",Daten!G:G,"D-Wave Quantum",Daten!H:H,"US26740W1099",Daten!B:B,"&gt;="&amp;DATE(2025,1,1),Daten!B:B,"&lt;="&amp;DATE(2025,12,31))</f>
        <v>-526.86</v>
      </c>
      <c r="C19" s="4">
        <f xml:space="preserve"> SUMIFS(Daten!I:I,Daten!E:E,"BUY",Daten!F:F,"STOCK",Daten!G:G,"D-Wave Quantum",Daten!H:H,"US26740W1099",Daten!B:B,"&gt;="&amp;DATE(2025,1,1),Daten!B:B,"&lt;="&amp;DATE(2025,12,31))</f>
        <v>22.142168000000002</v>
      </c>
      <c r="D19" s="5">
        <f xml:space="preserve"> SUMIFS(Daten!K:K,Daten!E:E,"SELL",Daten!F:F,"STOCK",Daten!G:G,"D-Wave Quantum",Daten!H:H,"US26740W1099",Daten!B:B,"&gt;="&amp;DATE(2025,1,1),Daten!B:B,"&lt;="&amp;DATE(2025,12,31))
+ SUMIFS(Daten!L:L,Daten!E:E,"SELL",Daten!F:F,"STOCK",Daten!G:G,"D-Wave Quantum",Daten!H:H,"US26740W1099",Daten!B:B,"&gt;="&amp;DATE(2025,1,1),Daten!B:B,"&lt;="&amp;DATE(2025,12,31))</f>
        <v>209.03</v>
      </c>
      <c r="E19" s="7">
        <v>45938</v>
      </c>
      <c r="F19" s="5">
        <f xml:space="preserve">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</f>
        <v>209.03</v>
      </c>
      <c r="G19" s="9">
        <f xml:space="preserve"> SUMIFS(Daten!I:I,Daten!E:E,"SELL",Daten!F:F,"STOCK",Daten!G:G,"D-Wave Quantum",Daten!H:H,"US26740W1099",Daten!B:B,"="&amp;DATE(2025,10,8))</f>
        <v>-6.6993640000000001</v>
      </c>
      <c r="H19" s="6">
        <f xml:space="preserve"> SUMIFS(Daten!I:I,Daten!E:E,"SELL",Daten!F:F,"STOCK",Daten!G:G,"D-Wave Quantum",Daten!H:H,"US26740W1099",Daten!B:B,"&gt;="&amp;DATE(2025,1,1),Daten!B:B,"&lt;="&amp;DATE(2025,12,31))</f>
        <v>-6.6993640000000001</v>
      </c>
      <c r="I19" s="5">
        <f xml:space="preserve"> SUMIFS(Daten!M:M,Daten!E:E,"SELL",Daten!F:F,"STOCK",Daten!G:G,"D-Wave Quantum",Daten!H:H,"US26740W1099",Daten!B:B,"="&amp;DATE(2025,10,8))</f>
        <v>-15.58</v>
      </c>
      <c r="J19" s="5">
        <f xml:space="preserve"> SUMIFS(Daten!M:M,Daten!E:E,"SELL",Daten!F:F,"STOCK",Daten!G:G,"D-Wave Quantum",Daten!H:H,"US26740W1099",Daten!B:B,"&gt;="&amp;DATE(2025,1,1),Daten!B:B,"&lt;="&amp;DATE(2025,10,8))</f>
        <v>-15.58</v>
      </c>
      <c r="K19" s="9">
        <f xml:space="preserve"> SUMIFS(Daten!I:I,Daten!E:E,"BUY",Daten!F:F,"STOCK",Daten!G:G,"D-Wave Quantum",Daten!H:H,"US26740W1099",Daten!B:B,"&gt;="&amp;DATE(2025,1,1),Daten!B:B,"&lt;="&amp;DATE(2025,10,8))
+ SUMIFS(Daten!I:I,Daten!E:E,"SELL",Daten!F:F,"STOCK",Daten!G:G,"D-Wave Quantum",Daten!H:H,"US26740W1099",Daten!B:B,"&gt;="&amp;DATE(2025,1,1),Daten!B:B,"&lt;="&amp;DATE(2025,10,8))</f>
        <v>0</v>
      </c>
      <c r="L19" s="6">
        <f xml:space="preserve"> SUMIFS(Daten!I:I,Daten!E:E,"BUY",Daten!F:F,"STOCK",Daten!G:G,"D-Wave Quantum",Daten!H:H,"US26740W1099",Daten!B:B,"&gt;="&amp;DATE(2025,1,1),Daten!B:B,"&lt;="&amp;DATE(2025,12,31))
+ SUMIFS(Daten!I:I,Daten!E:E,"SELL",Daten!F:F,"STOCK",Daten!G:G,"D-Wave Quantum",Daten!H:H,"US26740W1099",Daten!B:B,"&gt;="&amp;DATE(2025,1,1),Daten!B:B,"&lt;="&amp;DATE(2025,12,31))</f>
        <v>15.442804000000002</v>
      </c>
      <c r="M19" s="5">
        <f xml:space="preserve"> SUMIFS(Daten!K:K,Daten!E:E,"BUY",Daten!F:F,"STOCK",Daten!G:G,"D-Wave Quantum",Daten!H:H,"US26740W1099",Daten!B:B,"&gt;="&amp;DATE(2025,1,1),Daten!B:B,"&lt;="&amp;DATE(2025,10,8))
+ SUMIFS(Daten!L:L,Daten!E:E,"BUY",Daten!F:F,"STOCK",Daten!G:G,"D-Wave Quantum",Daten!H:H,"US26740W1099",Daten!B:B,"&gt;="&amp;DATE(2025,1,1),Daten!B:B,"&lt;="&amp;DATE(2025,10,8))</f>
        <v>-149.95999999999998</v>
      </c>
      <c r="N19" s="5">
        <f xml:space="preserve">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
+ SUMIFS(Daten!M:M,Daten!E:E,"SELL",Daten!F:F,"STOCK",Daten!G:G,"D-Wave Quantum",Daten!H:H,"US26740W1099",Daten!B:B,"="&amp;DATE(2025,10,8))</f>
        <v>193.45</v>
      </c>
      <c r="O19" s="5">
        <f xml:space="preserve"> SUMIFS(Daten!K:K,Daten!E:E,"BUY",Daten!F:F,"STOCK",Daten!G:G,"D-Wave Quantum",Daten!H:H,"US26740W1099",Daten!B:B,"&gt;="&amp;DATE(2025,1,1),Daten!B:B,"&lt;="&amp;DATE(2025,10,8))
+ SUMIFS(Daten!L:L,Daten!E:E,"BUY",Daten!F:F,"STOCK",Daten!G:G,"D-Wave Quantum",Daten!H:H,"US26740W1099",Daten!B:B,"&gt;="&amp;DATE(2025,1,1),Daten!B:B,"&lt;="&amp;DATE(2025,10,8))
+ SUMIFS(Daten!K:K,Daten!E:E,"SELL",Daten!F:F,"STOCK",Daten!G:G,"D-Wave Quantum",Daten!H:H,"US26740W1099",Daten!B:B,"="&amp;DATE(2025,10,8))
+ SUMIFS(Daten!L:L,Daten!E:E,"SELL",Daten!F:F,"STOCK",Daten!G:G,"D-Wave Quantum",Daten!H:H,"US26740W1099",Daten!B:B,"="&amp;DATE(2025,10,8))</f>
        <v>59.070000000000022</v>
      </c>
      <c r="P19" s="8">
        <f xml:space="preserve"> -(  SUMIFS(Daten!K:K,Daten!E:E,"BUY",Daten!F:F,"STOCK",Daten!G:G,"D-Wave Quantum",Daten!H:H,"US26740W1099",Daten!B:B,"&gt;="&amp;DATE(2025,1,1),Daten!B:B,"&lt;="&amp;DATE(2025,10,8))
   + SUMIFS(Daten!L:L,Daten!E:E,"BUY",Daten!F:F,"STOCK",Daten!G:G,"D-Wave Quantum",Daten!H:H,"US26740W1099",Daten!B:B,"&gt;="&amp;DATE(2025,1,1),Daten!B:B,"&lt;="&amp;DATE(2025,10,8))
   + SUMIFS(Daten!K:K,Daten!E:E,"SELL",Daten!F:F,"STOCK",Daten!G:G,"D-Wave Quantum",Daten!H:H,"US26740W1099",Daten!B:B,"="&amp;DATE(2025,10,8))
   + SUMIFS(Daten!L:L,Daten!E:E,"SELL",Daten!F:F,"STOCK",Daten!G:G,"D-Wave Quantum",Daten!H:H,"US26740W1099",Daten!B:B,"="&amp;DATE(2025,10,8))
   )
/
  (  SUMIFS(Daten!K:K,Daten!E:E,"BUY",Daten!F:F,"STOCK",Daten!G:G,"D-Wave Quantum",Daten!H:H,"US26740W1099",Daten!B:B,"&gt;="&amp;DATE(2025,1,1),Daten!B:B,"&lt;="&amp;DATE(2025,10,8))
   + SUMIFS(Daten!L:L,Daten!E:E,"BUY",Daten!F:F,"STOCK",Daten!G:G,"D-Wave Quantum",Daten!H:H,"US26740W1099",Daten!B:B,"&gt;="&amp;DATE(2025,1,1),Daten!B:B,"&lt;="&amp;DATE(2025,10,8))
   )</f>
        <v>0.39390504134435872</v>
      </c>
    </row>
    <row r="20" spans="1:22" x14ac:dyDescent="0.25">
      <c r="A20" s="4" t="s">
        <v>477</v>
      </c>
      <c r="B20" s="5">
        <f xml:space="preserve"> SUMIFS(Daten!K:K,Daten!E:E,"BUY",Daten!F:F,"STOCK",Daten!G:G,"Evotec",Daten!H:H,"DE0005664809",Daten!B:B,"&gt;="&amp;DATE(2025,1,1),Daten!B:B,"&lt;="&amp;DATE(2025,12,31))
+ SUMIFS(Daten!L:L,Daten!E:E,"BUY",Daten!F:F,"STOCK",Daten!G:G,"Evotec",Daten!H:H,"DE0005664809",Daten!B:B,"&gt;="&amp;DATE(2025,1,1),Daten!B:B,"&lt;="&amp;DATE(2025,12,31))</f>
        <v>-100</v>
      </c>
      <c r="C20" s="4">
        <f xml:space="preserve"> SUMIFS(Daten!I:I,Daten!E:E,"BUY",Daten!F:F,"STOCK",Daten!G:G,"Evotec",Daten!H:H,"DE0005664809",Daten!B:B,"&gt;="&amp;DATE(2025,1,1),Daten!B:B,"&lt;="&amp;DATE(2025,12,31))</f>
        <v>18.553222999999999</v>
      </c>
    </row>
    <row r="21" spans="1:22" x14ac:dyDescent="0.25">
      <c r="A21" s="4" t="s">
        <v>36</v>
      </c>
      <c r="B21" s="5">
        <f xml:space="preserve"> SUMIFS(Daten!K:K,Daten!E:E,"BUY",Daten!F:F,"STOCK",Daten!G:G,"Hensoldt",Daten!H:H,"DE000HAG0005",Daten!B:B,"&gt;="&amp;DATE(2025,1,1),Daten!B:B,"&lt;="&amp;DATE(2025,12,31))
+ SUMIFS(Daten!L:L,Daten!E:E,"BUY",Daten!F:F,"STOCK",Daten!G:G,"Hensoldt",Daten!H:H,"DE000HAG0005",Daten!B:B,"&gt;="&amp;DATE(2025,1,1),Daten!B:B,"&lt;="&amp;DATE(2025,12,31))</f>
        <v>-93</v>
      </c>
      <c r="C21" s="4">
        <f xml:space="preserve"> SUMIFS(Daten!I:I,Daten!E:E,"BUY",Daten!F:F,"STOCK",Daten!G:G,"Hensoldt",Daten!H:H,"DE000HAG0005",Daten!B:B,"&gt;="&amp;DATE(2025,1,1),Daten!B:B,"&lt;="&amp;DATE(2025,12,31))</f>
        <v>1.009325</v>
      </c>
      <c r="D21" s="5">
        <f xml:space="preserve"> SUMIFS(Daten!K:K,Daten!E:E,"SELL",Daten!F:F,"STOCK",Daten!G:G,"Hensoldt",Daten!H:H,"DE000HAG0005",Daten!B:B,"&gt;="&amp;DATE(2025,1,1),Daten!B:B,"&lt;="&amp;DATE(2025,12,31))
+ SUMIFS(Daten!L:L,Daten!E:E,"SELL",Daten!F:F,"STOCK",Daten!G:G,"Hensoldt",Daten!H:H,"DE000HAG0005",Daten!B:B,"&gt;="&amp;DATE(2025,1,1),Daten!B:B,"&lt;="&amp;DATE(2025,12,31))</f>
        <v>101.7</v>
      </c>
      <c r="E21" s="7">
        <v>45924</v>
      </c>
      <c r="F21" s="5">
        <f xml:space="preserve"> SUMIFS(Daten!K:K,Daten!E:E,"SELL",Daten!F:F,"STOCK",Daten!G:G,"Hensoldt",Daten!H:H,"DE000HAG0005",Daten!B:B,"="&amp;DATE(2025,9,24))
+ SUMIFS(Daten!L:L,Daten!E:E,"SELL",Daten!F:F,"STOCK",Daten!G:G,"Hensoldt",Daten!H:H,"DE000HAG0005",Daten!B:B,"="&amp;DATE(2025,9,24))</f>
        <v>101.7</v>
      </c>
      <c r="G21" s="9">
        <f xml:space="preserve"> SUMIFS(Daten!I:I,Daten!E:E,"SELL",Daten!F:F,"STOCK",Daten!G:G,"Hensoldt",Daten!H:H,"DE000HAG0005",Daten!B:B,"="&amp;DATE(2025,9,24))</f>
        <v>-1.009325</v>
      </c>
      <c r="H21" s="6">
        <f xml:space="preserve"> SUMIFS(Daten!I:I,Daten!E:E,"SELL",Daten!F:F,"STOCK",Daten!G:G,"Hensoldt",Daten!H:H,"DE000HAG0005",Daten!B:B,"&gt;="&amp;DATE(2025,1,1),Daten!B:B,"&lt;="&amp;DATE(2025,12,31))</f>
        <v>-1.009325</v>
      </c>
      <c r="I21" s="5">
        <f xml:space="preserve"> SUMIFS(Daten!M:M,Daten!E:E,"SELL",Daten!F:F,"STOCK",Daten!G:G,"Hensoldt",Daten!H:H,"DE000HAG0005",Daten!B:B,"="&amp;DATE(2025,9,24))</f>
        <v>-2.29</v>
      </c>
      <c r="J21" s="5">
        <f xml:space="preserve"> SUMIFS(Daten!M:M,Daten!E:E,"SELL",Daten!F:F,"STOCK",Daten!G:G,"Hensoldt",Daten!H:H,"DE000HAG0005",Daten!B:B,"&gt;="&amp;DATE(2025,1,1),Daten!B:B,"&lt;="&amp;DATE(2025,12,31))</f>
        <v>-2.29</v>
      </c>
      <c r="K21" s="9">
        <f xml:space="preserve"> SUMIFS(Daten!I:I,Daten!E:E,"BUY",Daten!F:F,"STOCK",Daten!G:G,"Hensoldt",Daten!H:H,"DE000HAG0005",Daten!B:B,"&gt;="&amp;DATE(2025,1,1),Daten!B:B,"&lt;="&amp;DATE(2025,9,24))
+ SUMIFS(Daten!I:I,Daten!E:E,"SELL",Daten!F:F,"STOCK",Daten!G:G,"Hensoldt",Daten!H:H,"DE000HAG0005",Daten!B:B,"&gt;="&amp;DATE(2025,1,1),Daten!B:B,"&lt;="&amp;DATE(2025,9,24))</f>
        <v>0</v>
      </c>
      <c r="L21" s="6">
        <f xml:space="preserve"> SUMIFS(Daten!I:I,Daten!E:E,"BUY",Daten!F:F,"STOCK",Daten!G:G,"Hensoldt",Daten!H:H,"DE000HAG0005",Daten!B:B,"&gt;="&amp;DATE(2025,1,1),Daten!B:B,"&lt;="&amp;DATE(2025,12,31))
+ SUMIFS(Daten!I:I,Daten!E:E,"SELL",Daten!F:F,"STOCK",Daten!G:G,"Hensoldt",Daten!H:H,"DE000HAG0005",Daten!B:B,"&gt;="&amp;DATE(2025,1,1),Daten!B:B,"&lt;="&amp;DATE(2025,12,31))</f>
        <v>0</v>
      </c>
      <c r="M21" s="5">
        <f xml:space="preserve"> SUMIFS(Daten!K:K,Daten!E:E,"BUY",Daten!F:F,"STOCK",Daten!G:G,"Hensoldt",Daten!H:H,"DE000HAG0005",Daten!B:B,"&gt;="&amp;DATE(2025,1,1),Daten!B:B,"&lt;="&amp;DATE(2025,9,24))
+ SUMIFS(Daten!L:L,Daten!E:E,"BUY",Daten!F:F,"STOCK",Daten!G:G,"Hensoldt",Daten!H:H,"DE000HAG0005",Daten!B:B,"&gt;="&amp;DATE(2025,1,1),Daten!B:B,"&lt;="&amp;DATE(2025,9,24))</f>
        <v>-93</v>
      </c>
      <c r="N21" s="5">
        <f xml:space="preserve"> SUMIFS(Daten!K:K,Daten!E:E,"SELL",Daten!F:F,"STOCK",Daten!G:G,"Hensoldt",Daten!H:H,"DE000HAG0005",Daten!B:B,"="&amp;DATE(2025,9,24))
+ SUMIFS(Daten!L:L,Daten!E:E,"SELL",Daten!F:F,"STOCK",Daten!G:G,"Hensoldt",Daten!H:H,"DE000HAG0005",Daten!B:B,"="&amp;DATE(2025,9,24))
+ SUMIFS(Daten!M:M,Daten!E:E,"SELL",Daten!F:F,"STOCK",Daten!G:G,"Hensoldt",Daten!H:H,"DE000HAG0005",Daten!B:B,"="&amp;DATE(2025,9,24))</f>
        <v>99.41</v>
      </c>
      <c r="O21" s="5">
        <f xml:space="preserve"> SUMIFS(Daten!K:K,Daten!E:E,"BUY",Daten!F:F,"STOCK",Daten!G:G,"Hensoldt",Daten!H:H,"DE000HAG0005",Daten!B:B,"&gt;="&amp;DATE(2025,1,1),Daten!B:B,"&lt;="&amp;DATE(2025,9,24))
+ SUMIFS(Daten!L:L,Daten!E:E,"BUY",Daten!F:F,"STOCK",Daten!G:G,"Hensoldt",Daten!H:H,"DE000HAG0005",Daten!B:B,"&gt;="&amp;DATE(2025,1,1),Daten!B:B,"&lt;="&amp;DATE(2025,9,24))
+ SUMIFS(Daten!K:K,Daten!E:E,"SELL",Daten!F:F,"STOCK",Daten!G:G,"Hensoldt",Daten!H:H,"DE000HAG0005",Daten!B:B,"="&amp;DATE(2025,9,24))
+ SUMIFS(Daten!L:L,Daten!E:E,"SELL",Daten!F:F,"STOCK",Daten!G:G,"Hensoldt",Daten!H:H,"DE000HAG0005",Daten!B:B,"="&amp;DATE(2025,9,24))</f>
        <v>8.7000000000000028</v>
      </c>
      <c r="P21" s="8">
        <f xml:space="preserve"> -(  SUMIFS(Daten!K:K,Daten!E:E,"BUY",Daten!F:F,"STOCK",Daten!G:G,"Hensoldt",Daten!H:H,"DE000HAG0005",Daten!B:B,"&gt;="&amp;DATE(2025,1,1),Daten!B:B,"&lt;="&amp;DATE(2025,9,24))
   + SUMIFS(Daten!L:L,Daten!E:E,"BUY",Daten!F:F,"STOCK",Daten!G:G,"Hensoldt",Daten!H:H,"DE000HAG0005",Daten!B:B,"&gt;="&amp;DATE(2025,1,1),Daten!B:B,"&lt;="&amp;DATE(2025,9,24))
   + SUMIFS(Daten!K:K,Daten!E:E,"SELL",Daten!F:F,"STOCK",Daten!G:G,"Hensoldt",Daten!H:H,"DE000HAG0005",Daten!B:B,"="&amp;DATE(2025,9,24))
   + SUMIFS(Daten!L:L,Daten!E:E,"SELL",Daten!F:F,"STOCK",Daten!G:G,"Hensoldt",Daten!H:H,"DE000HAG0005",Daten!B:B,"="&amp;DATE(2025,9,24))
   )
/
  (  SUMIFS(Daten!K:K,Daten!E:E,"BUY",Daten!F:F,"STOCK",Daten!G:G,"Hensoldt",Daten!H:H,"DE000HAG0005",Daten!B:B,"&gt;="&amp;DATE(2025,1,1),Daten!B:B,"&lt;="&amp;DATE(2025,9,24))
   + SUMIFS(Daten!L:L,Daten!E:E,"BUY",Daten!F:F,"STOCK",Daten!G:G,"Hensoldt",Daten!H:H,"DE000HAG0005",Daten!B:B,"&gt;="&amp;DATE(2025,1,1),Daten!B:B,"&lt;="&amp;DATE(2025,9,24))
   )</f>
        <v>9.3548387096774224E-2</v>
      </c>
      <c r="T21" s="4" t="s">
        <v>1871</v>
      </c>
      <c r="U21" s="5">
        <f xml:space="preserve"> SUMIFS(Daten!K:K,Daten!E:E,"BUY",Daten!F:F,"CRYPTO",Daten!B:B,"&gt;="&amp;DATE(2025,1,1),Daten!B:B,"&lt;="&amp;DATE(2025,12,31))
+ SUMIFS(Daten!L:L,Daten!E:E,"BUY",Daten!F:F,"CRYPTO",Daten!B:B,"&gt;="&amp;DATE(2025,1,1),Daten!B:B,"&lt;="&amp;DATE(2025,12,31))</f>
        <v>-579.98</v>
      </c>
      <c r="V21" s="4">
        <f xml:space="preserve"> SUMIFS(Daten!I:I,Daten!E:E,"BUY",Daten!F:F,"CRYPTO",Daten!B:B,"&gt;="&amp;DATE(2025,1,1),Daten!B:B,"&lt;="&amp;DATE(2025,12,31))</f>
        <v>271.59996500000005</v>
      </c>
    </row>
    <row r="22" spans="1:22" x14ac:dyDescent="0.25">
      <c r="A22" s="4" t="s">
        <v>67</v>
      </c>
      <c r="B22" s="5">
        <f xml:space="preserve"> SUMIFS(Daten!K:K,Daten!E:E,"BUY",Daten!F:F,"STOCK",Daten!G:G,"Infineon Technologies",Daten!H:H,"DE0006231004",Daten!B:B,"&gt;="&amp;DATE(2025,1,1),Daten!B:B,"&lt;="&amp;DATE(2025,12,31))
+ SUMIFS(Daten!L:L,Daten!E:E,"BUY",Daten!F:F,"STOCK",Daten!G:G,"Infineon Technologies",Daten!H:H,"DE0006231004",Daten!B:B,"&gt;="&amp;DATE(2025,1,1),Daten!B:B,"&lt;="&amp;DATE(2025,12,31))</f>
        <v>-61</v>
      </c>
      <c r="C22" s="4">
        <f xml:space="preserve"> SUMIFS(Daten!I:I,Daten!E:E,"BUY",Daten!F:F,"STOCK",Daten!G:G,"Infineon Technologies",Daten!H:H,"DE0006231004",Daten!B:B,"&gt;="&amp;DATE(2025,1,1),Daten!B:B,"&lt;="&amp;DATE(2025,12,31))</f>
        <v>1.8711989999999998</v>
      </c>
      <c r="D22" s="5">
        <f xml:space="preserve"> SUMIFS(Daten!K:K,Daten!E:E,"SELL",Daten!F:F,"STOCK",Daten!G:G,"Infineon Technologies",Daten!H:H,"DE0006231004",Daten!B:B,"&gt;="&amp;DATE(2025,1,1),Daten!B:B,"&lt;="&amp;DATE(2025,12,31))
+ SUMIFS(Daten!L:L,Daten!E:E,"SELL",Daten!F:F,"STOCK",Daten!G:G,"Infineon Technologies",Daten!H:H,"DE0006231004",Daten!B:B,"&gt;="&amp;DATE(2025,1,1),Daten!B:B,"&lt;="&amp;DATE(2025,12,31))</f>
        <v>63.16</v>
      </c>
      <c r="E22" s="7">
        <v>45932</v>
      </c>
      <c r="F22" s="5">
        <f xml:space="preserve">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</f>
        <v>63.16</v>
      </c>
      <c r="G22" s="9">
        <f xml:space="preserve"> SUMIFS(Daten!I:I,Daten!E:E,"SELL",Daten!F:F,"STOCK",Daten!G:G,"Infineon Technologies",Daten!H:H,"DE0006231004",Daten!B:B,"="&amp;DATE(2025,10,2))</f>
        <v>-1.8711989999999998</v>
      </c>
      <c r="H22" s="6">
        <f xml:space="preserve"> SUMIFS(Daten!I:I,Daten!E:E,"SELL",Daten!F:F,"STOCK",Daten!G:G,"Infineon Technologies",Daten!H:H,"DE0006231004",Daten!B:B,"&gt;="&amp;DATE(2025,1,1),Daten!B:B,"&lt;="&amp;DATE(2025,12,31))</f>
        <v>-1.8711989999999998</v>
      </c>
      <c r="I22" s="5">
        <f xml:space="preserve"> SUMIFS(Daten!M:M,Daten!E:E,"SELL",Daten!F:F,"STOCK",Daten!G:G,"Infineon Technologies",Daten!H:H,"DE0006231004",Daten!B:B,"="&amp;DATE(2025,10,2))</f>
        <v>-0.57000000000000006</v>
      </c>
      <c r="J22" s="5">
        <f xml:space="preserve"> SUMIFS(Daten!M:M,Daten!E:E,"SELL",Daten!F:F,"STOCK",Daten!G:G,"Infineon Technologies",Daten!H:H,"DE0006231004",Daten!B:B,"&gt;="&amp;DATE(2025,1,1),Daten!B:B,"&lt;="&amp;DATE(2025,12,31))</f>
        <v>-0.57000000000000006</v>
      </c>
      <c r="K22" s="9">
        <f xml:space="preserve"> SUMIFS(Daten!I:I,Daten!E:E,"BUY",Daten!F:F,"STOCK",Daten!G:G,"Infineon Technologies",Daten!H:H,"DE0006231004",Daten!B:B,"&gt;="&amp;DATE(2025,1,1),Daten!B:B,"&lt;="&amp;DATE(2025,10,2))
+ SUMIFS(Daten!I:I,Daten!E:E,"SELL",Daten!F:F,"STOCK",Daten!G:G,"Infineon Technologies",Daten!H:H,"DE0006231004",Daten!B:B,"&gt;="&amp;DATE(2025,1,1),Daten!B:B,"&lt;="&amp;DATE(2025,10,2))</f>
        <v>0</v>
      </c>
      <c r="L22" s="6">
        <f xml:space="preserve"> SUMIFS(Daten!I:I,Daten!E:E,"BUY",Daten!F:F,"STOCK",Daten!G:G,"Infineon Technologies",Daten!H:H,"DE0006231004",Daten!B:B,"&gt;="&amp;DATE(2025,1,1),Daten!B:B,"&lt;="&amp;DATE(2025,12,31))
+ SUMIFS(Daten!I:I,Daten!E:E,"SELL",Daten!F:F,"STOCK",Daten!G:G,"Infineon Technologies",Daten!H:H,"DE0006231004",Daten!B:B,"&gt;="&amp;DATE(2025,1,1),Daten!B:B,"&lt;="&amp;DATE(2025,12,31))</f>
        <v>0</v>
      </c>
      <c r="M22" s="5">
        <f xml:space="preserve"> SUMIFS(Daten!K:K,Daten!E:E,"BUY",Daten!F:F,"STOCK",Daten!G:G,"Infineon Technologies",Daten!H:H,"DE0006231004",Daten!B:B,"&gt;="&amp;DATE(2025,1,1),Daten!B:B,"&lt;="&amp;DATE(2025,10,2))
+ SUMIFS(Daten!L:L,Daten!E:E,"BUY",Daten!F:F,"STOCK",Daten!G:G,"Infineon Technologies",Daten!H:H,"DE0006231004",Daten!B:B,"&gt;="&amp;DATE(2025,1,1),Daten!B:B,"&lt;="&amp;DATE(2025,10,2))</f>
        <v>-61</v>
      </c>
      <c r="N22" s="5">
        <f xml:space="preserve">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
+ SUMIFS(Daten!M:M,Daten!E:E,"SELL",Daten!F:F,"STOCK",Daten!G:G,"Infineon Technologies",Daten!H:H,"DE0006231004",Daten!B:B,"="&amp;DATE(2025,10,2))</f>
        <v>62.589999999999996</v>
      </c>
      <c r="O22" s="5">
        <f xml:space="preserve"> SUMIFS(Daten!K:K,Daten!E:E,"BUY",Daten!F:F,"STOCK",Daten!G:G,"Infineon Technologies",Daten!H:H,"DE0006231004",Daten!B:B,"&gt;="&amp;DATE(2025,1,1),Daten!B:B,"&lt;="&amp;DATE(2025,10,2))
+ SUMIFS(Daten!L:L,Daten!E:E,"BUY",Daten!F:F,"STOCK",Daten!G:G,"Infineon Technologies",Daten!H:H,"DE0006231004",Daten!B:B,"&gt;="&amp;DATE(2025,1,1),Daten!B:B,"&lt;="&amp;DATE(2025,10,2))
+ SUMIFS(Daten!K:K,Daten!E:E,"SELL",Daten!F:F,"STOCK",Daten!G:G,"Infineon Technologies",Daten!H:H,"DE0006231004",Daten!B:B,"="&amp;DATE(2025,10,2))
+ SUMIFS(Daten!L:L,Daten!E:E,"SELL",Daten!F:F,"STOCK",Daten!G:G,"Infineon Technologies",Daten!H:H,"DE0006231004",Daten!B:B,"="&amp;DATE(2025,10,2))</f>
        <v>2.1599999999999966</v>
      </c>
      <c r="P22" s="8">
        <f xml:space="preserve"> -(  SUMIFS(Daten!K:K,Daten!E:E,"BUY",Daten!F:F,"STOCK",Daten!G:G,"Infineon Technologies",Daten!H:H,"DE0006231004",Daten!B:B,"&gt;="&amp;DATE(2025,1,1),Daten!B:B,"&lt;="&amp;DATE(2025,10,2))
   + SUMIFS(Daten!L:L,Daten!E:E,"BUY",Daten!F:F,"STOCK",Daten!G:G,"Infineon Technologies",Daten!H:H,"DE0006231004",Daten!B:B,"&gt;="&amp;DATE(2025,1,1),Daten!B:B,"&lt;="&amp;DATE(2025,10,2))
   + SUMIFS(Daten!K:K,Daten!E:E,"SELL",Daten!F:F,"STOCK",Daten!G:G,"Infineon Technologies",Daten!H:H,"DE0006231004",Daten!B:B,"="&amp;DATE(2025,10,2))
   + SUMIFS(Daten!L:L,Daten!E:E,"SELL",Daten!F:F,"STOCK",Daten!G:G,"Infineon Technologies",Daten!H:H,"DE0006231004",Daten!B:B,"="&amp;DATE(2025,10,2))
   )
/
  (  SUMIFS(Daten!K:K,Daten!E:E,"BUY",Daten!F:F,"STOCK",Daten!G:G,"Infineon Technologies",Daten!H:H,"DE0006231004",Daten!B:B,"&gt;="&amp;DATE(2025,1,1),Daten!B:B,"&lt;="&amp;DATE(2025,10,2))
   + SUMIFS(Daten!L:L,Daten!E:E,"BUY",Daten!F:F,"STOCK",Daten!G:G,"Infineon Technologies",Daten!H:H,"DE0006231004",Daten!B:B,"&gt;="&amp;DATE(2025,1,1),Daten!B:B,"&lt;="&amp;DATE(2025,10,2))
   )</f>
        <v>3.5409836065573713E-2</v>
      </c>
    </row>
    <row r="23" spans="1:22" x14ac:dyDescent="0.25">
      <c r="A23" s="4" t="s">
        <v>45</v>
      </c>
      <c r="B23" s="5">
        <f xml:space="preserve"> SUMIFS(Daten!K:K,Daten!E:E,"BUY",Daten!F:F,"STOCK",Daten!G:G,"NVIDIA",Daten!H:H,"US67066G1040",Daten!B:B,"&gt;="&amp;DATE(2025,1,1),Daten!B:B,"&lt;="&amp;DATE(2025,12,31))
+ SUMIFS(Daten!L:L,Daten!E:E,"BUY",Daten!F:F,"STOCK",Daten!G:G,"NVIDIA",Daten!H:H,"US67066G1040",Daten!B:B,"&gt;="&amp;DATE(2025,1,1),Daten!B:B,"&lt;="&amp;DATE(2025,12,31))</f>
        <v>-198</v>
      </c>
      <c r="C23" s="4">
        <f xml:space="preserve"> SUMIFS(Daten!I:I,Daten!E:E,"BUY",Daten!F:F,"STOCK",Daten!G:G,"NVIDIA",Daten!H:H,"US67066G1040",Daten!B:B,"&gt;="&amp;DATE(2025,1,1),Daten!B:B,"&lt;="&amp;DATE(2025,12,31))</f>
        <v>1.3543989999999999</v>
      </c>
      <c r="D23" s="5">
        <f xml:space="preserve"> SUMIFS(Daten!K:K,Daten!E:E,"SELL",Daten!F:F,"STOCK",Daten!G:G,"NVIDIA",Daten!H:H,"US67066G1040",Daten!B:B,"&gt;="&amp;DATE(2025,1,1),Daten!B:B,"&lt;="&amp;DATE(2025,12,31))
+ SUMIFS(Daten!L:L,Daten!E:E,"SELL",Daten!F:F,"STOCK",Daten!G:G,"NVIDIA",Daten!H:H,"US67066G1040",Daten!B:B,"&gt;="&amp;DATE(2025,1,1),Daten!B:B,"&lt;="&amp;DATE(2025,12,31))</f>
        <v>203.19</v>
      </c>
      <c r="E23" s="7">
        <v>45910</v>
      </c>
      <c r="F23" s="5">
        <f xml:space="preserve"> SUMIFS(Daten!K:K,Daten!E:E,"SELL",Daten!F:F,"STOCK",Daten!G:G,"NVIDIA",Daten!H:H,"US67066G1040",Daten!B:B,"="&amp;DATE(2025,9,10))
+ SUMIFS(Daten!L:L,Daten!E:E,"SELL",Daten!F:F,"STOCK",Daten!G:G,"NVIDIA",Daten!H:H,"US67066G1040",Daten!B:B,"="&amp;DATE(2025,9,10))</f>
        <v>3</v>
      </c>
      <c r="G23" s="9">
        <f xml:space="preserve"> SUMIFS(Daten!I:I,Daten!E:E,"SELL",Daten!F:F,"STOCK",Daten!G:G,"NVIDIA",Daten!H:H,"US67066G1040",Daten!B:B,"="&amp;DATE(2025,9,10))</f>
        <v>-2.6956999999999998E-2</v>
      </c>
      <c r="H23" s="6">
        <f xml:space="preserve"> SUMIFS(Daten!I:I,Daten!E:E,"SELL",Daten!F:F,"STOCK",Daten!G:G,"NVIDIA",Daten!H:H,"US67066G1040",Daten!B:B,"&gt;="&amp;DATE(2025,1,1),Daten!B:B,"&lt;="&amp;DATE(2025,12,31))</f>
        <v>-1.3543989999999999</v>
      </c>
      <c r="I23" s="5">
        <f xml:space="preserve"> SUMIFS(Daten!M:M,Daten!E:E,"SELL",Daten!F:F,"STOCK",Daten!G:G,"NVIDIA",Daten!H:H,"US67066G1040",Daten!B:B,"="&amp;DATE(2025,9,10))</f>
        <v>0</v>
      </c>
      <c r="J23" s="5">
        <f xml:space="preserve"> SUMIFS(Daten!M:M,Daten!E:E,"SELL",Daten!F:F,"STOCK",Daten!G:G,"NVIDIA",Daten!H:H,"US67066G1040",Daten!B:B,"&gt;="&amp;DATE(2025,1,1),Daten!B:B,"&lt;="&amp;DATE(2025,12,31))</f>
        <v>-1.6</v>
      </c>
      <c r="K23" s="9">
        <f xml:space="preserve"> SUMIFS(Daten!I:I,Daten!E:E,"BUY",Daten!F:F,"STOCK",Daten!G:G,"NVIDIA",Daten!H:H,"US67066G1040",Daten!B:B,"&gt;="&amp;DATE(2025,1,1),Daten!B:B,"&lt;="&amp;DATE(2025,9,10))
+ SUMIFS(Daten!I:I,Daten!E:E,"SELL",Daten!F:F,"STOCK",Daten!G:G,"NVIDIA",Daten!H:H,"US67066G1040",Daten!B:B,"&gt;="&amp;DATE(2025,1,1),Daten!B:B,"&lt;="&amp;DATE(2025,9,10))</f>
        <v>1.327442</v>
      </c>
      <c r="L23" s="6">
        <f xml:space="preserve"> SUMIFS(Daten!I:I,Daten!E:E,"BUY",Daten!F:F,"STOCK",Daten!G:G,"NVIDIA",Daten!H:H,"US67066G1040",Daten!B:B,"&gt;="&amp;DATE(2025,1,1),Daten!B:B,"&lt;="&amp;DATE(2025,12,31))
+ SUMIFS(Daten!I:I,Daten!E:E,"SELL",Daten!F:F,"STOCK",Daten!G:G,"NVIDIA",Daten!H:H,"US67066G1040",Daten!B:B,"&gt;="&amp;DATE(2025,1,1),Daten!B:B,"&lt;="&amp;DATE(2025,12,31))</f>
        <v>0</v>
      </c>
      <c r="M23" s="5">
        <f xml:space="preserve"> SUMIFS(Daten!K:K,Daten!E:E,"BUY",Daten!F:F,"STOCK",Daten!G:G,"NVIDIA",Daten!H:H,"US67066G1040",Daten!B:B,"&gt;="&amp;DATE(2025,1,1),Daten!B:B,"&lt;="&amp;DATE(2025,9,10))
+ SUMIFS(Daten!L:L,Daten!E:E,"BUY",Daten!F:F,"STOCK",Daten!G:G,"NVIDIA",Daten!H:H,"US67066G1040",Daten!B:B,"&gt;="&amp;DATE(2025,1,1),Daten!B:B,"&lt;="&amp;DATE(2025,9,10))</f>
        <v>-198</v>
      </c>
      <c r="N23" s="5">
        <f xml:space="preserve"> SUMIFS(Daten!K:K,Daten!E:E,"SELL",Daten!F:F,"STOCK",Daten!G:G,"NVIDIA",Daten!H:H,"US67066G1040",Daten!B:B,"="&amp;DATE(2025,9,10))
+ SUMIFS(Daten!L:L,Daten!E:E,"SELL",Daten!F:F,"STOCK",Daten!G:G,"NVIDIA",Daten!H:H,"US67066G1040",Daten!B:B,"="&amp;DATE(2025,9,10))
+ SUMIFS(Daten!M:M,Daten!E:E,"SELL",Daten!F:F,"STOCK",Daten!G:G,"NVIDIA",Daten!H:H,"US67066G1040",Daten!B:B,"="&amp;DATE(2025,9,10))</f>
        <v>3</v>
      </c>
      <c r="O23" s="5">
        <f xml:space="preserve"> SUMIFS(Daten!K:K,Daten!E:E,"BUY",Daten!F:F,"STOCK",Daten!G:G,"NVIDIA",Daten!H:H,"US67066G1040",Daten!B:B,"&gt;="&amp;DATE(2025,1,1),Daten!B:B,"&lt;="&amp;DATE(2025,9,10))
+ SUMIFS(Daten!L:L,Daten!E:E,"BUY",Daten!F:F,"STOCK",Daten!G:G,"NVIDIA",Daten!H:H,"US67066G1040",Daten!B:B,"&gt;="&amp;DATE(2025,1,1),Daten!B:B,"&lt;="&amp;DATE(2025,9,10))
+ SUMIFS(Daten!K:K,Daten!E:E,"SELL",Daten!F:F,"STOCK",Daten!G:G,"NVIDIA",Daten!H:H,"US67066G1040",Daten!B:B,"="&amp;DATE(2025,9,10))
+ SUMIFS(Daten!L:L,Daten!E:E,"SELL",Daten!F:F,"STOCK",Daten!G:G,"NVIDIA",Daten!H:H,"US67066G1040",Daten!B:B,"="&amp;DATE(2025,9,10))</f>
        <v>-195</v>
      </c>
      <c r="P23" s="8">
        <f xml:space="preserve"> -(  SUMIFS(Daten!K:K,Daten!E:E,"BUY",Daten!F:F,"STOCK",Daten!G:G,"NVIDIA",Daten!H:H,"US67066G1040",Daten!B:B,"&gt;="&amp;DATE(2025,1,1),Daten!B:B,"&lt;="&amp;DATE(2025,9,10))
   + SUMIFS(Daten!L:L,Daten!E:E,"BUY",Daten!F:F,"STOCK",Daten!G:G,"NVIDIA",Daten!H:H,"US67066G1040",Daten!B:B,"&gt;="&amp;DATE(2025,1,1),Daten!B:B,"&lt;="&amp;DATE(2025,9,10))
   + SUMIFS(Daten!K:K,Daten!E:E,"SELL",Daten!F:F,"STOCK",Daten!G:G,"NVIDIA",Daten!H:H,"US67066G1040",Daten!B:B,"="&amp;DATE(2025,9,10))
   + SUMIFS(Daten!L:L,Daten!E:E,"SELL",Daten!F:F,"STOCK",Daten!G:G,"NVIDIA",Daten!H:H,"US67066G1040",Daten!B:B,"="&amp;DATE(2025,9,10))
   )
/
  (  SUMIFS(Daten!K:K,Daten!E:E,"BUY",Daten!F:F,"STOCK",Daten!G:G,"NVIDIA",Daten!H:H,"US67066G1040",Daten!B:B,"&gt;="&amp;DATE(2025,1,1),Daten!B:B,"&lt;="&amp;DATE(2025,9,10))
   + SUMIFS(Daten!L:L,Daten!E:E,"BUY",Daten!F:F,"STOCK",Daten!G:G,"NVIDIA",Daten!H:H,"US67066G1040",Daten!B:B,"&gt;="&amp;DATE(2025,1,1),Daten!B:B,"&lt;="&amp;DATE(2025,9,10))
   )</f>
        <v>-0.98484848484848486</v>
      </c>
    </row>
    <row r="24" spans="1:22" x14ac:dyDescent="0.25">
      <c r="A24" s="4" t="s">
        <v>45</v>
      </c>
      <c r="E24" s="7">
        <v>45924</v>
      </c>
      <c r="F24" s="5">
        <f xml:space="preserve"> SUMIFS(Daten!K:K,Daten!E:E,"SELL",Daten!F:F,"STOCK",Daten!G:G,"NVIDIA",Daten!H:H,"US67066G1040",Daten!B:B,"="&amp;DATE(2025,9,24))
+ SUMIFS(Daten!L:L,Daten!E:E,"SELL",Daten!F:F,"STOCK",Daten!G:G,"NVIDIA",Daten!H:H,"US67066G1040",Daten!B:B,"="&amp;DATE(2025,9,24))</f>
        <v>200.19</v>
      </c>
      <c r="G24" s="9">
        <f xml:space="preserve"> SUMIFS(Daten!I:I,Daten!E:E,"SELL",Daten!F:F,"STOCK",Daten!G:G,"NVIDIA",Daten!H:H,"US67066G1040",Daten!B:B,"="&amp;DATE(2025,9,24))</f>
        <v>-1.327442</v>
      </c>
      <c r="I24" s="5">
        <f xml:space="preserve"> SUMIFS(Daten!M:M,Daten!E:E,"SELL",Daten!F:F,"STOCK",Daten!G:G,"NVIDIA",Daten!H:H,"US67066G1040",Daten!B:B,"="&amp;DATE(2025,9,24))</f>
        <v>-1.6</v>
      </c>
      <c r="K24" s="9">
        <f xml:space="preserve"> SUMIFS(Daten!I:I,Daten!E:E,"BUY",Daten!F:F,"STOCK",Daten!G:G,"NVIDIA",Daten!H:H,"US67066G1040",Daten!B:B,"&gt;="&amp;DATE(2025,1,1),Daten!B:B,"&lt;="&amp;DATE(2025,9,24))
+ SUMIFS(Daten!I:I,Daten!E:E,"SELL",Daten!F:F,"STOCK",Daten!G:G,"NVIDIA",Daten!H:H,"US67066G1040",Daten!B:B,"&gt;="&amp;DATE(2025,1,1),Daten!B:B,"&lt;="&amp;DATE(2025,9,24))</f>
        <v>0</v>
      </c>
      <c r="M24" s="5">
        <f xml:space="preserve"> SUMIFS(Daten!K:K,Daten!E:E,"BUY",Daten!F:F,"STOCK",Daten!G:G,"NVIDIA",Daten!H:H,"US67066G1040",Daten!B:B,"&gt;="&amp;DATE(2025,1,1),Daten!B:B,"&lt;="&amp;DATE(2025,9,24))
+ SUMIFS(Daten!L:L,Daten!E:E,"BUY",Daten!F:F,"STOCK",Daten!G:G,"NVIDIA",Daten!H:H,"US67066G1040",Daten!B:B,"&gt;="&amp;DATE(2025,1,1),Daten!B:B,"&lt;="&amp;DATE(2025,9,24))</f>
        <v>-198</v>
      </c>
      <c r="N24" s="5">
        <f xml:space="preserve"> SUMIFS(Daten!K:K,Daten!E:E,"SELL",Daten!F:F,"STOCK",Daten!G:G,"NVIDIA",Daten!H:H,"US67066G1040",Daten!B:B,"="&amp;DATE(2025,9,24))
+ SUMIFS(Daten!L:L,Daten!E:E,"SELL",Daten!F:F,"STOCK",Daten!G:G,"NVIDIA",Daten!H:H,"US67066G1040",Daten!B:B,"="&amp;DATE(2025,9,24))
+ SUMIFS(Daten!M:M,Daten!E:E,"SELL",Daten!F:F,"STOCK",Daten!G:G,"NVIDIA",Daten!H:H,"US67066G1040",Daten!B:B,"="&amp;DATE(2025,9,24))</f>
        <v>198.59</v>
      </c>
      <c r="O24" s="5">
        <f xml:space="preserve"> SUMIFS(Daten!K:K,Daten!E:E,"BUY",Daten!F:F,"STOCK",Daten!G:G,"NVIDIA",Daten!H:H,"US67066G1040",Daten!B:B,"&gt;="&amp;DATE(2025,1,1),Daten!B:B,"&lt;="&amp;DATE(2025,9,24))
+ SUMIFS(Daten!L:L,Daten!E:E,"BUY",Daten!F:F,"STOCK",Daten!G:G,"NVIDIA",Daten!H:H,"US67066G1040",Daten!B:B,"&gt;="&amp;DATE(2025,1,1),Daten!B:B,"&lt;="&amp;DATE(2025,9,24))
+ SUMIFS(Daten!K:K,Daten!E:E,"SELL",Daten!F:F,"STOCK",Daten!G:G,"NVIDIA",Daten!H:H,"US67066G1040",Daten!B:B,"="&amp;DATE(2025,9,24))
+ SUMIFS(Daten!L:L,Daten!E:E,"SELL",Daten!F:F,"STOCK",Daten!G:G,"NVIDIA",Daten!H:H,"US67066G1040",Daten!B:B,"="&amp;DATE(2025,9,24))</f>
        <v>2.1899999999999977</v>
      </c>
      <c r="P24" s="8" t="s">
        <v>1894</v>
      </c>
    </row>
    <row r="25" spans="1:22" x14ac:dyDescent="0.25">
      <c r="A25" s="4" t="s">
        <v>123</v>
      </c>
      <c r="B25" s="5">
        <f xml:space="preserve"> SUMIFS(Daten!K:K,Daten!E:E,"BUY",Daten!F:F,"STOCK",Daten!G:G,"Palantir Technologies",Daten!H:H,"US69608A1088",Daten!B:B,"&gt;="&amp;DATE(2025,1,1),Daten!B:B,"&lt;="&amp;DATE(2025,12,31))
+ SUMIFS(Daten!L:L,Daten!E:E,"BUY",Daten!F:F,"STOCK",Daten!G:G,"Palantir Technologies",Daten!H:H,"US69608A1088",Daten!B:B,"&gt;="&amp;DATE(2025,1,1),Daten!B:B,"&lt;="&amp;DATE(2025,12,31))</f>
        <v>-150</v>
      </c>
      <c r="C25" s="4">
        <f xml:space="preserve"> SUMIFS(Daten!I:I,Daten!E:E,"BUY",Daten!F:F,"STOCK",Daten!G:G,"Palantir Technologies",Daten!H:H,"US69608A1088",Daten!B:B,"&gt;="&amp;DATE(2025,1,1),Daten!B:B,"&lt;="&amp;DATE(2025,12,31))</f>
        <v>1.052408</v>
      </c>
    </row>
    <row r="26" spans="1:22" x14ac:dyDescent="0.25">
      <c r="A26" s="4" t="s">
        <v>283</v>
      </c>
      <c r="B26" s="5">
        <f xml:space="preserve"> SUMIFS(Daten!K:K,Daten!E:E,"BUY",Daten!F:F,"STOCK",Daten!G:G,"Plug Power",Daten!H:H,"US72919P2020",Daten!B:B,"&gt;="&amp;DATE(2025,1,1),Daten!B:B,"&lt;="&amp;DATE(2025,12,31))
+ SUMIFS(Daten!L:L,Daten!E:E,"BUY",Daten!F:F,"STOCK",Daten!G:G,"Plug Power",Daten!H:H,"US72919P2020",Daten!B:B,"&gt;="&amp;DATE(2025,1,1),Daten!B:B,"&lt;="&amp;DATE(2025,12,31))</f>
        <v>-101</v>
      </c>
      <c r="C26" s="4">
        <f xml:space="preserve"> SUMIFS(Daten!I:I,Daten!E:E,"BUY",Daten!F:F,"STOCK",Daten!G:G,"Plug Power",Daten!H:H,"US72919P2020",Daten!B:B,"&gt;="&amp;DATE(2025,1,1),Daten!B:B,"&lt;="&amp;DATE(2025,12,31))</f>
        <v>30.562346999999999</v>
      </c>
    </row>
    <row r="27" spans="1:22" x14ac:dyDescent="0.25">
      <c r="A27" s="4" t="s">
        <v>489</v>
      </c>
      <c r="B27" s="5">
        <f xml:space="preserve"> SUMIFS(Daten!K:K,Daten!E:E,"BUY",Daten!F:F,"STOCK",Daten!G:G,"Quantum eMotion",Daten!H:H,"CA74767K1030",Daten!B:B,"&gt;="&amp;DATE(2025,1,1),Daten!B:B,"&lt;="&amp;DATE(2025,12,31))
+ SUMIFS(Daten!L:L,Daten!E:E,"BUY",Daten!F:F,"STOCK",Daten!G:G,"Quantum eMotion",Daten!H:H,"CA74767K1030",Daten!B:B,"&gt;="&amp;DATE(2025,1,1),Daten!B:B,"&lt;="&amp;DATE(2025,12,31))</f>
        <v>-90</v>
      </c>
      <c r="C27" s="4">
        <f xml:space="preserve"> SUMIFS(Daten!I:I,Daten!E:E,"BUY",Daten!F:F,"STOCK",Daten!G:G,"Quantum eMotion",Daten!H:H,"CA74767K1030",Daten!B:B,"&gt;="&amp;DATE(2025,1,1),Daten!B:B,"&lt;="&amp;DATE(2025,12,31))</f>
        <v>28.343948999999999</v>
      </c>
    </row>
    <row r="28" spans="1:22" x14ac:dyDescent="0.25">
      <c r="A28" s="4" t="s">
        <v>462</v>
      </c>
      <c r="B28" s="5">
        <f xml:space="preserve"> SUMIFS(Daten!K:K,Daten!E:E,"BUY",Daten!F:F,"STOCK",Daten!G:G,"Red Cat",Daten!H:H,"US75644T1007",Daten!B:B,"&gt;="&amp;DATE(2025,1,1),Daten!B:B,"&lt;="&amp;DATE(2025,12,31))
+ SUMIFS(Daten!L:L,Daten!E:E,"BUY",Daten!F:F,"STOCK",Daten!G:G,"Red Cat",Daten!H:H,"US75644T1007",Daten!B:B,"&gt;="&amp;DATE(2025,1,1),Daten!B:B,"&lt;="&amp;DATE(2025,12,31))</f>
        <v>-99.71</v>
      </c>
      <c r="C28" s="4">
        <f xml:space="preserve"> SUMIFS(Daten!I:I,Daten!E:E,"BUY",Daten!F:F,"STOCK",Daten!G:G,"Red Cat",Daten!H:H,"US75644T1007",Daten!B:B,"&gt;="&amp;DATE(2025,1,1),Daten!B:B,"&lt;="&amp;DATE(2025,12,31))</f>
        <v>14.265129</v>
      </c>
    </row>
    <row r="29" spans="1:22" x14ac:dyDescent="0.25">
      <c r="A29" s="4" t="s">
        <v>115</v>
      </c>
      <c r="B29" s="5">
        <f xml:space="preserve"> SUMIFS(Daten!K:K,Daten!E:E,"BUY",Daten!F:F,"STOCK",Daten!G:G,"RENK Group",Daten!H:H,"DE000RENK730",Daten!B:B,"&gt;="&amp;DATE(2025,1,1),Daten!B:B,"&lt;="&amp;DATE(2025,12,31))
+ SUMIFS(Daten!L:L,Daten!E:E,"BUY",Daten!F:F,"STOCK",Daten!G:G,"RENK Group",Daten!H:H,"DE000RENK730",Daten!B:B,"&gt;="&amp;DATE(2025,1,1),Daten!B:B,"&lt;="&amp;DATE(2025,12,31))</f>
        <v>-80</v>
      </c>
      <c r="C29" s="4">
        <f xml:space="preserve"> SUMIFS(Daten!I:I,Daten!E:E,"BUY",Daten!F:F,"STOCK",Daten!G:G,"RENK Group",Daten!H:H,"DE000RENK730",Daten!B:B,"&gt;="&amp;DATE(2025,1,1),Daten!B:B,"&lt;="&amp;DATE(2025,12,31))</f>
        <v>1.1348940000000001</v>
      </c>
    </row>
    <row r="30" spans="1:22" x14ac:dyDescent="0.25">
      <c r="A30" s="4" t="s">
        <v>131</v>
      </c>
      <c r="B30" s="5">
        <f xml:space="preserve"> SUMIFS(Daten!K:K,Daten!E:E,"BUY",Daten!F:F,"STOCK",Daten!G:G,"RWE",Daten!H:H,"DE0007037129",Daten!B:B,"&gt;="&amp;DATE(2025,1,1),Daten!B:B,"&lt;="&amp;DATE(2025,12,31))
+ SUMIFS(Daten!L:L,Daten!E:E,"BUY",Daten!F:F,"STOCK",Daten!G:G,"RWE",Daten!H:H,"DE0007037129",Daten!B:B,"&gt;="&amp;DATE(2025,1,1),Daten!B:B,"&lt;="&amp;DATE(2025,12,31))</f>
        <v>-50</v>
      </c>
      <c r="C30" s="4">
        <f xml:space="preserve"> SUMIFS(Daten!I:I,Daten!E:E,"BUY",Daten!F:F,"STOCK",Daten!G:G,"RWE",Daten!H:H,"DE0007037129",Daten!B:B,"&gt;="&amp;DATE(2025,1,1),Daten!B:B,"&lt;="&amp;DATE(2025,12,31))</f>
        <v>1.3683320000000001</v>
      </c>
    </row>
    <row r="31" spans="1:22" x14ac:dyDescent="0.25">
      <c r="A31" s="4" t="s">
        <v>55</v>
      </c>
      <c r="B31" s="5">
        <f xml:space="preserve"> SUMIFS(Daten!K:K,Daten!E:E,"BUY",Daten!F:F,"STOCK",Daten!G:G,"Siemens Energy",Daten!H:H,"DE000ENER6Y0",Daten!B:B,"&gt;="&amp;DATE(2025,1,1),Daten!B:B,"&lt;="&amp;DATE(2025,12,31))
+ SUMIFS(Daten!L:L,Daten!E:E,"BUY",Daten!F:F,"STOCK",Daten!G:G,"Siemens Energy",Daten!H:H,"DE000ENER6Y0",Daten!B:B,"&gt;="&amp;DATE(2025,1,1),Daten!B:B,"&lt;="&amp;DATE(2025,12,31))</f>
        <v>-91</v>
      </c>
      <c r="C31" s="4">
        <f xml:space="preserve"> SUMIFS(Daten!I:I,Daten!E:E,"BUY",Daten!F:F,"STOCK",Daten!G:G,"Siemens Energy",Daten!H:H,"DE000ENER6Y0",Daten!B:B,"&gt;="&amp;DATE(2025,1,1),Daten!B:B,"&lt;="&amp;DATE(2025,12,31))</f>
        <v>1.0174080000000001</v>
      </c>
    </row>
    <row r="32" spans="1:22" x14ac:dyDescent="0.25">
      <c r="A32" s="4" t="s">
        <v>162</v>
      </c>
      <c r="B32" s="5">
        <f xml:space="preserve"> SUMIFS(Daten!K:K,Daten!E:E,"BUY",Daten!F:F,"STOCK",Daten!G:G,"Siltronic",Daten!H:H,"DE000WAF3001",Daten!B:B,"&gt;="&amp;DATE(2025,1,1),Daten!B:B,"&lt;="&amp;DATE(2025,12,31))
+ SUMIFS(Daten!L:L,Daten!E:E,"BUY",Daten!F:F,"STOCK",Daten!G:G,"Siltronic",Daten!H:H,"DE000WAF3001",Daten!B:B,"&gt;="&amp;DATE(2025,1,1),Daten!B:B,"&lt;="&amp;DATE(2025,12,31))</f>
        <v>-81</v>
      </c>
      <c r="C32" s="4">
        <f xml:space="preserve"> SUMIFS(Daten!I:I,Daten!E:E,"BUY",Daten!F:F,"STOCK",Daten!G:G,"Siltronic",Daten!H:H,"DE000WAF3001",Daten!B:B,"&gt;="&amp;DATE(2025,1,1),Daten!B:B,"&lt;="&amp;DATE(2025,12,31))</f>
        <v>2</v>
      </c>
    </row>
    <row r="33" spans="1:16" x14ac:dyDescent="0.25">
      <c r="A33" s="4" t="s">
        <v>470</v>
      </c>
      <c r="B33" s="5">
        <f xml:space="preserve"> SUMIFS(Daten!K:K,Daten!E:E,"BUY",Daten!F:F,"STOCK",Daten!G:G,"TeamViewer",Daten!H:H,"DE000A2YN900",Daten!B:B,"&gt;="&amp;DATE(2025,1,1),Daten!B:B,"&lt;="&amp;DATE(2025,12,31))
+ SUMIFS(Daten!L:L,Daten!E:E,"BUY",Daten!F:F,"STOCK",Daten!G:G,"TeamViewer",Daten!H:H,"DE000A2YN900",Daten!B:B,"&gt;="&amp;DATE(2025,1,1),Daten!B:B,"&lt;="&amp;DATE(2025,12,31))</f>
        <v>-100</v>
      </c>
      <c r="C33" s="4">
        <f xml:space="preserve"> SUMIFS(Daten!I:I,Daten!E:E,"BUY",Daten!F:F,"STOCK",Daten!G:G,"TeamViewer",Daten!H:H,"DE000A2YN900",Daten!B:B,"&gt;="&amp;DATE(2025,1,1),Daten!B:B,"&lt;="&amp;DATE(2025,12,31))</f>
        <v>16.737109</v>
      </c>
    </row>
    <row r="34" spans="1:16" x14ac:dyDescent="0.25">
      <c r="A34" s="4" t="s">
        <v>96</v>
      </c>
      <c r="B34" s="5">
        <f xml:space="preserve"> SUMIFS(Daten!K:K,Daten!E:E,"BUY",Daten!F:F,"STOCK",Daten!G:G,"ThyssenKrupp",Daten!H:H,"DE0007500001",Daten!B:B,"&gt;="&amp;DATE(2025,1,1),Daten!B:B,"&lt;="&amp;DATE(2025,12,31))
+ SUMIFS(Daten!L:L,Daten!E:E,"BUY",Daten!F:F,"STOCK",Daten!G:G,"ThyssenKrupp",Daten!H:H,"DE0007500001",Daten!B:B,"&gt;="&amp;DATE(2025,1,1),Daten!B:B,"&lt;="&amp;DATE(2025,12,31))</f>
        <v>-22.99</v>
      </c>
      <c r="C34" s="4">
        <f xml:space="preserve"> SUMIFS(Daten!I:I,Daten!E:E,"BUY",Daten!F:F,"STOCK",Daten!G:G,"ThyssenKrupp",Daten!H:H,"DE0007500001",Daten!B:B,"&gt;="&amp;DATE(2025,1,1),Daten!B:B,"&lt;="&amp;DATE(2025,12,31))</f>
        <v>2.1868780000000001</v>
      </c>
    </row>
    <row r="35" spans="1:16" x14ac:dyDescent="0.25">
      <c r="A35" s="4" t="s">
        <v>1869</v>
      </c>
      <c r="B35" s="5">
        <f xml:space="preserve"> SUMIFS(Daten!K:K,Daten!E:E,"BUY",Daten!F:F,"STOCK",Daten!H:H,"US90364P1057",Daten!B:B,"&gt;="&amp;DATE(2025,1,1),Daten!B:B,"&lt;="&amp;DATE(2025,12,31))
+ SUMIFS(Daten!L:L,Daten!E:E,"BUY",Daten!F:F,"STOCK",Daten!H:H,"US90364P1057",Daten!B:B,"&gt;="&amp;DATE(2025,1,1),Daten!B:B,"&lt;="&amp;DATE(2025,12,31))</f>
        <v>-116.99000000000001</v>
      </c>
      <c r="C35" s="4">
        <f xml:space="preserve"> SUMIFS(Daten!I:I,Daten!E:E,"BUY",Daten!F:F,"STOCK",Daten!H:H,"US90364P1057",Daten!B:B,"&gt;="&amp;DATE(2025,1,1),Daten!B:B,"&lt;="&amp;DATE(2025,12,31))</f>
        <v>7.211239</v>
      </c>
    </row>
    <row r="36" spans="1:16" x14ac:dyDescent="0.25">
      <c r="A36" s="4" t="s">
        <v>429</v>
      </c>
      <c r="B36" s="5">
        <f xml:space="preserve"> SUMIFS(Daten!K:K,Daten!E:E,"BUY",Daten!F:F,"STOCK",Daten!G:G,"Volatus Aerospace",Daten!H:H,"CA92865M1023",Daten!B:B,"&gt;="&amp;DATE(2025,1,1),Daten!B:B,"&lt;="&amp;DATE(2025,12,31))
+ SUMIFS(Daten!L:L,Daten!E:E,"BUY",Daten!F:F,"STOCK",Daten!G:G,"Volatus Aerospace",Daten!H:H,"CA92865M1023",Daten!B:B,"&gt;="&amp;DATE(2025,1,1),Daten!B:B,"&lt;="&amp;DATE(2025,12,31))</f>
        <v>-18.8</v>
      </c>
      <c r="C36" s="4">
        <f xml:space="preserve"> SUMIFS(Daten!I:I,Daten!E:E,"BUY",Daten!F:F,"STOCK",Daten!G:G,"Volatus Aerospace",Daten!H:H,"CA92865M1023",Daten!B:B,"&gt;="&amp;DATE(2025,1,1),Daten!B:B,"&lt;="&amp;DATE(2025,12,31))</f>
        <v>50</v>
      </c>
    </row>
    <row r="37" spans="1:16" x14ac:dyDescent="0.25">
      <c r="A37" s="4" t="s">
        <v>452</v>
      </c>
      <c r="B37" s="5">
        <f xml:space="preserve"> SUMIFS(Daten!K:K,Daten!E:E,"BUY",Daten!F:F,"STOCK",Daten!G:G,"Voltabox",Daten!H:H,"DE000A2E4LE9",Daten!B:B,"&gt;="&amp;DATE(2025,1,1),Daten!B:B,"&lt;="&amp;DATE(2025,12,31))
+ SUMIFS(Daten!L:L,Daten!E:E,"BUY",Daten!F:F,"STOCK",Daten!G:G,"Voltabox",Daten!H:H,"DE000A2E4LE9",Daten!B:B,"&gt;="&amp;DATE(2025,1,1),Daten!B:B,"&lt;="&amp;DATE(2025,12,31))</f>
        <v>-70</v>
      </c>
      <c r="C37" s="4">
        <f xml:space="preserve"> SUMIFS(Daten!I:I,Daten!E:E,"BUY",Daten!F:F,"STOCK",Daten!G:G,"Voltabox",Daten!H:H,"DE000A2E4LE9",Daten!B:B,"&gt;="&amp;DATE(2025,1,1),Daten!B:B,"&lt;="&amp;DATE(2025,12,31))</f>
        <v>15.401785</v>
      </c>
    </row>
    <row r="38" spans="1:16" x14ac:dyDescent="0.25">
      <c r="A38" s="4" t="s">
        <v>434</v>
      </c>
      <c r="B38" s="5">
        <f xml:space="preserve"> SUMIFS(Daten!K:K,Daten!E:E,"BUY",Daten!F:F,"STOCK",Daten!G:G,"Vulcan Energy Resources",Daten!H:H,"AU0000066086",Daten!B:B,"&gt;="&amp;DATE(2025,1,1),Daten!B:B,"&lt;="&amp;DATE(2025,12,31))
+ SUMIFS(Daten!L:L,Daten!E:E,"BUY",Daten!F:F,"STOCK",Daten!G:G,"Vulcan Energy Resources",Daten!H:H,"AU0000066086",Daten!B:B,"&gt;="&amp;DATE(2025,1,1),Daten!B:B,"&lt;="&amp;DATE(2025,12,31))</f>
        <v>-29</v>
      </c>
      <c r="C38" s="4">
        <f xml:space="preserve"> SUMIFS(Daten!I:I,Daten!E:E,"BUY",Daten!F:F,"STOCK",Daten!G:G,"Vulcan Energy Resources",Daten!H:H,"AU0000066086",Daten!B:B,"&gt;="&amp;DATE(2025,1,1),Daten!B:B,"&lt;="&amp;DATE(2025,12,31))</f>
        <v>12.345679000000001</v>
      </c>
    </row>
    <row r="40" spans="1:16" x14ac:dyDescent="0.25">
      <c r="A40" s="4" t="s">
        <v>1870</v>
      </c>
      <c r="B40" s="5">
        <f xml:space="preserve"> SUMIFS(Daten!K:K,Daten!E:E,"BUY",Daten!F:F,"STOCK",Daten!B:B,"&gt;="&amp;DATE(2025,1,1),Daten!B:B,"&lt;="&amp;DATE(2025,12,31))
+ SUMIFS(Daten!L:L,Daten!E:E,"BUY",Daten!F:F,"STOCK",Daten!B:B,"&gt;="&amp;DATE(2025,1,1),Daten!B:B,"&lt;="&amp;DATE(2025,12,31))</f>
        <v>-3210.97</v>
      </c>
      <c r="C40" s="4">
        <f xml:space="preserve"> SUMIFS(Daten!I:I,Daten!E:E,"BUY",Daten!F:F,"STOCK",Daten!B:B,"&gt;="&amp;DATE(2025,1,1),Daten!B:B,"&lt;="&amp;DATE(2025,12,31))</f>
        <v>561.73148199999991</v>
      </c>
    </row>
    <row r="43" spans="1:16" x14ac:dyDescent="0.25">
      <c r="A43" s="7" t="b">
        <f>ISNUMBER(Daten!B2)</f>
        <v>1</v>
      </c>
    </row>
    <row r="44" spans="1:16" x14ac:dyDescent="0.25">
      <c r="N44" s="5">
        <f>D18+I18</f>
        <v>422.71</v>
      </c>
      <c r="O44" s="5">
        <f>M18+F18</f>
        <v>89.510000000000048</v>
      </c>
      <c r="P44" s="8">
        <f>-O18/M18</f>
        <v>0.25086883408071764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055E-1D25-42AA-B122-1099F743CA8F}">
  <dimension ref="A1:B8"/>
  <sheetViews>
    <sheetView workbookViewId="0">
      <selection activeCell="C6" sqref="C6"/>
    </sheetView>
  </sheetViews>
  <sheetFormatPr baseColWidth="10" defaultColWidth="10.85546875" defaultRowHeight="15" x14ac:dyDescent="0.25"/>
  <cols>
    <col min="1" max="1" width="27.85546875" style="4" bestFit="1" customWidth="1"/>
    <col min="2" max="2" width="10.85546875" style="5"/>
    <col min="3" max="16384" width="10.85546875" style="4"/>
  </cols>
  <sheetData>
    <row r="1" spans="1:2" x14ac:dyDescent="0.25">
      <c r="A1" s="4" t="s">
        <v>1862</v>
      </c>
      <c r="B1" s="5">
        <f>SUMIFS(Daten!K:K,Daten!E:E,"TRANSFER_INSTANT_INBOUND",Daten!B:B,"&gt;="&amp;DATE(2026,1,1),Daten!B:B,"&lt;="&amp;DATE(2026,12,31)) + SUMIFS(Daten!K:K,Daten!E:E,"TRANSFER_IN",Daten!B:B,"&gt;="&amp;DATE(2026,1,1),Daten!B:B,"&lt;="&amp;DATE(2026,12,31)) + SUMIFS(Daten!K:K,Daten!E:E,"GIFT",Daten!B:B,"&gt;="&amp;DATE(2026,1,1),Daten!B:B,"&lt;="&amp;DATE(2026,12,31)) + SUMIFS(Daten!K:K,Daten!E:E,"DIVIDEND",Daten!B:B,"&gt;="&amp;DATE(2026,1,1),Daten!B:B,"&lt;="&amp;DATE(2026,12,31)) + SUMIFS(Daten!K:K,Daten!E:E,"CUSTOMER_INPAYMENT",Daten!B:B,"&gt;="&amp;DATE(2026,1,1),Daten!B:B,"&lt;="&amp;DATE(2026,12,31))</f>
        <v>18337.03</v>
      </c>
    </row>
    <row r="2" spans="1:2" x14ac:dyDescent="0.25">
      <c r="A2" s="4" t="s">
        <v>1863</v>
      </c>
      <c r="B2" s="5">
        <f xml:space="preserve"> SUMIFS(Daten!L:L,Daten!E:E,"BUY",Daten!B:B,"&gt;="&amp;DATE(2026,1,1),Daten!B:B,"&lt;="&amp;DATE(2026,12,31))</f>
        <v>-161</v>
      </c>
    </row>
    <row r="3" spans="1:2" x14ac:dyDescent="0.25">
      <c r="A3" s="4" t="s">
        <v>1864</v>
      </c>
      <c r="B3" s="5">
        <f xml:space="preserve"> SUMIFS(Daten!L:L,Daten!E:E,"SELL",Daten!B:B,"&gt;="&amp;DATE(2026,1,1),Daten!B:B,"&lt;="&amp;DATE(2026,12,31))</f>
        <v>-46</v>
      </c>
    </row>
    <row r="4" spans="1:2" x14ac:dyDescent="0.25">
      <c r="A4" s="4" t="s">
        <v>1865</v>
      </c>
      <c r="B4" s="5">
        <f xml:space="preserve"> SUMIFS(Daten!L:L,Daten!B:B,"&gt;="&amp;DATE(2026,1,1),Daten!B:B,"&lt;="&amp;DATE(2026,12,31))</f>
        <v>-207</v>
      </c>
    </row>
    <row r="5" spans="1:2" x14ac:dyDescent="0.25">
      <c r="A5" s="4" t="s">
        <v>1908</v>
      </c>
      <c r="B5" s="5">
        <f xml:space="preserve"> SUMIFS(Daten!M:M,Daten!F:F,"STOCK",Daten!B:B,"&gt;="&amp;DATE(2026,1,1),Daten!B:B,"&lt;="&amp;DATE(2026,12,31))</f>
        <v>-16.470000000000002</v>
      </c>
    </row>
    <row r="6" spans="1:2" x14ac:dyDescent="0.25">
      <c r="A6" s="4" t="s">
        <v>1909</v>
      </c>
      <c r="B6" s="5">
        <f xml:space="preserve"> SUMIFS(Daten!M:M,Daten!F:F,"CRYPTO",Daten!B:B,"&gt;="&amp;DATE(2026,1,1),Daten!B:B,"&lt;="&amp;DATE(2026,12,31))</f>
        <v>0</v>
      </c>
    </row>
    <row r="7" spans="1:2" x14ac:dyDescent="0.25">
      <c r="A7" s="4" t="s">
        <v>1910</v>
      </c>
      <c r="B7" s="5">
        <f xml:space="preserve"> SUMIFS(Daten!M:M,Daten!B:B,"&gt;="&amp;DATE(2026,1,1),Daten!B:B,"&lt;="&amp;DATE(2026,12,31))</f>
        <v>0</v>
      </c>
    </row>
    <row r="8" spans="1:2" x14ac:dyDescent="0.25">
      <c r="A8" s="4" t="s">
        <v>1911</v>
      </c>
      <c r="B8" s="5">
        <f xml:space="preserve"> SUMIFS(Daten!K:K,Daten!E:E,"TRANSFER_INSTANT_OUTBOUND",Daten!B:B,"&gt;="&amp;DATE(2026,1,1),Daten!B:B,"&lt;="&amp;DATE(2026,12,31))
+ SUMIFS(Daten!K:K,Daten!E:E,"TRANSFER_OUT",Daten!B:B,"&gt;="&amp;DATE(2026,1,1),Daten!B:B,"&lt;="&amp;DATE(2026,12,31))
+ SUMIFS(Daten!K:K,Daten!E:E,"TRANSFER_OUTBOUND",Daten!B:B,"&gt;="&amp;DATE(2026,1,1),Daten!B:B,"&lt;="&amp;DATE(2026,12,31))</f>
        <v>-7382.6799999999985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5A8A-A66B-4D97-9814-94DC621D0F63}">
  <dimension ref="A1:B1"/>
  <sheetViews>
    <sheetView workbookViewId="0">
      <selection activeCell="B2" sqref="B2"/>
    </sheetView>
  </sheetViews>
  <sheetFormatPr baseColWidth="10" defaultRowHeight="15" x14ac:dyDescent="0.25"/>
  <cols>
    <col min="1" max="1" width="14.28515625" bestFit="1" customWidth="1"/>
  </cols>
  <sheetData>
    <row r="1" spans="1:2" x14ac:dyDescent="0.25">
      <c r="A1" t="s">
        <v>1855</v>
      </c>
      <c r="B1" s="3">
        <f>SUMIFS(Daten!K:K,Daten!E:E,"TRANSFER_INSTANT_INBOUND") + SUMIFS(Daten!K:K,Daten!E:E,"TRANSFER_IN")</f>
        <v>21829.119999999999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A9F7-9712-4C78-8EC6-43B54D3D8825}">
  <dimension ref="A1"/>
  <sheetViews>
    <sheetView workbookViewId="0">
      <selection activeCell="B1" sqref="B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89B6-30CC-45BA-B798-8F801A85F5A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130A-DEE2-42A1-92A6-2992A3E9EA9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80F4-345E-45C8-A22E-D682190FFEA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Daten</vt:lpstr>
      <vt:lpstr>2025</vt:lpstr>
      <vt:lpstr>2026</vt:lpstr>
      <vt:lpstr>Einnahmen</vt:lpstr>
      <vt:lpstr>Käufe</vt:lpstr>
      <vt:lpstr>Verkäufe</vt:lpstr>
      <vt:lpstr>Ausgaben</vt:lpstr>
      <vt:lpstr>Dividende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2026-08-24T08:28:22Z</dcterms:created>
  <dcterms:modified xsi:type="dcterms:W3CDTF">2026-08-31T09:43:20Z</dcterms:modified>
</cp:coreProperties>
</file>