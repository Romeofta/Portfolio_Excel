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Documents\Portfolio_Excel\Auswertung\"/>
    </mc:Choice>
  </mc:AlternateContent>
  <xr:revisionPtr revIDLastSave="0" documentId="13_ncr:1_{695AAC8A-1675-452D-88B4-4EC548D686C4}" xr6:coauthVersionLast="47" xr6:coauthVersionMax="47" xr10:uidLastSave="{00000000-0000-0000-0000-000000000000}"/>
  <bookViews>
    <workbookView xWindow="-120" yWindow="-120" windowWidth="38640" windowHeight="21120" activeTab="4" xr2:uid="{00000000-000D-0000-FFFF-FFFF00000000}"/>
  </bookViews>
  <sheets>
    <sheet name="Daten" sheetId="1" r:id="rId1"/>
    <sheet name="Auswertung" sheetId="2" r:id="rId2"/>
    <sheet name="Dashboard" sheetId="4" r:id="rId3"/>
    <sheet name="Pivot" sheetId="7" r:id="rId4"/>
    <sheet name="Portfolio" sheetId="8" r:id="rId5"/>
    <sheet name="Auswertung_2026" sheetId="6" r:id="rId6"/>
    <sheet name="Auswertung_2025" sheetId="5" r:id="rId7"/>
    <sheet name="Definitions" sheetId="3" r:id="rId8"/>
  </sheets>
  <definedNames>
    <definedName name="_xlnm._FilterDatabase" localSheetId="1" hidden="1">Auswertung!$A$1:$W$62</definedName>
    <definedName name="_xlnm._FilterDatabase" localSheetId="0" hidden="1">Daten!$A$1:$W$669</definedName>
    <definedName name="Datenschnitt_Asset">#N/A</definedName>
    <definedName name="Datenschnitt_Klasse">#N/A</definedName>
  </definedNames>
  <calcPr calcId="191029"/>
  <pivotCaches>
    <pivotCache cacheId="234"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 i="2" l="1"/>
  <c r="C6" i="4"/>
  <c r="C5" i="4"/>
  <c r="C4" i="4"/>
  <c r="C3" i="4"/>
  <c r="I2" i="2"/>
  <c r="H2" i="2"/>
  <c r="G2" i="2"/>
  <c r="E2" i="2"/>
  <c r="D2" i="2"/>
  <c r="L6" i="7"/>
  <c r="J6" i="7"/>
  <c r="E6" i="7"/>
  <c r="G6" i="7"/>
  <c r="I6" i="7" l="1"/>
  <c r="B55" i="4"/>
  <c r="B54" i="4"/>
  <c r="T2" i="2"/>
  <c r="U2" i="2"/>
  <c r="B97" i="4"/>
  <c r="B85" i="4"/>
  <c r="B87" i="4"/>
  <c r="B86" i="4"/>
  <c r="B84" i="4"/>
  <c r="C42" i="4"/>
  <c r="D40" i="4"/>
  <c r="D34" i="4"/>
  <c r="D39" i="4"/>
  <c r="D33" i="4"/>
  <c r="D38" i="4"/>
  <c r="D32" i="4"/>
  <c r="D37" i="4"/>
  <c r="D31" i="4"/>
  <c r="D36" i="4"/>
  <c r="D30" i="4"/>
  <c r="C43" i="4"/>
  <c r="C44" i="4"/>
  <c r="C45" i="4"/>
  <c r="B57" i="4"/>
  <c r="B56" i="4"/>
  <c r="D28" i="4"/>
  <c r="D22" i="4"/>
  <c r="D27" i="4"/>
  <c r="D21" i="4"/>
  <c r="D26" i="4"/>
  <c r="D20" i="4"/>
  <c r="D25" i="4"/>
  <c r="D19" i="4"/>
  <c r="D24" i="4"/>
  <c r="D18" i="4"/>
  <c r="B49" i="4"/>
  <c r="B48" i="4"/>
  <c r="B51" i="4"/>
  <c r="B50" i="4"/>
  <c r="C46" i="4"/>
  <c r="D44" i="4" l="1"/>
  <c r="D45" i="4"/>
  <c r="D43" i="4"/>
  <c r="D46" i="4"/>
  <c r="C49" i="4"/>
  <c r="C51" i="4"/>
  <c r="C50" i="4"/>
  <c r="C55" i="4"/>
  <c r="C58" i="4"/>
  <c r="C57" i="4"/>
  <c r="C56" i="4"/>
  <c r="B70" i="4"/>
  <c r="B69" i="4"/>
  <c r="B68" i="4"/>
  <c r="B66" i="4"/>
  <c r="B67" i="4"/>
  <c r="B63" i="4"/>
  <c r="B62" i="4"/>
  <c r="B64" i="4"/>
  <c r="B60" i="4"/>
  <c r="B61" i="4"/>
  <c r="B58" i="4"/>
  <c r="B52" i="4"/>
  <c r="C52" i="4" s="1"/>
  <c r="AC83" i="2"/>
  <c r="AD84" i="2" s="1"/>
  <c r="AC84" i="2"/>
  <c r="AC85" i="2"/>
  <c r="AD83" i="2"/>
  <c r="B108" i="4"/>
  <c r="B107" i="4"/>
  <c r="B106" i="4"/>
  <c r="B105" i="4"/>
  <c r="B103" i="4"/>
  <c r="B102" i="4"/>
  <c r="B101" i="4"/>
  <c r="B100" i="4"/>
  <c r="B89" i="4"/>
  <c r="B88" i="4"/>
  <c r="B6" i="4"/>
  <c r="B5" i="4"/>
  <c r="B4" i="4"/>
  <c r="B3" i="4"/>
  <c r="B98" i="4"/>
  <c r="C68" i="4" l="1"/>
  <c r="C69" i="4"/>
  <c r="C67" i="4"/>
  <c r="C70" i="4"/>
  <c r="C64" i="4"/>
  <c r="C63" i="4"/>
  <c r="C62" i="4"/>
  <c r="C61" i="4"/>
  <c r="C107" i="4"/>
  <c r="C106" i="4"/>
  <c r="C108" i="4"/>
  <c r="C103" i="4"/>
  <c r="C102" i="4"/>
  <c r="C101" i="4"/>
  <c r="J2" i="2"/>
  <c r="S2" i="2"/>
  <c r="V2" i="2" s="1"/>
  <c r="B43" i="4" l="1"/>
  <c r="B42" i="4"/>
  <c r="B24" i="4"/>
  <c r="B18" i="4"/>
  <c r="B28" i="4"/>
  <c r="B22" i="4"/>
  <c r="B37" i="4"/>
  <c r="B32" i="4"/>
  <c r="B38" i="4"/>
  <c r="B31" i="4"/>
  <c r="B44" i="4"/>
  <c r="B21" i="4"/>
  <c r="B27" i="4"/>
  <c r="B39" i="4"/>
  <c r="B33" i="4"/>
  <c r="B34" i="4"/>
  <c r="B36" i="4"/>
  <c r="B30" i="4"/>
  <c r="B40" i="4"/>
  <c r="B26" i="4"/>
  <c r="B20" i="4"/>
  <c r="B25" i="4"/>
  <c r="B19" i="4"/>
  <c r="B45" i="4"/>
  <c r="AC78" i="2"/>
  <c r="B46" i="4"/>
  <c r="F2" i="2"/>
  <c r="O2" i="2" s="1"/>
  <c r="C20" i="4" l="1"/>
  <c r="C21" i="4"/>
  <c r="C19" i="4"/>
  <c r="C22" i="4"/>
  <c r="C26" i="4"/>
  <c r="C28" i="4"/>
  <c r="C27" i="4"/>
  <c r="C25" i="4"/>
  <c r="C34" i="4"/>
  <c r="C33" i="4"/>
  <c r="C32" i="4"/>
  <c r="C31" i="4"/>
  <c r="C40" i="4"/>
  <c r="C39" i="4"/>
  <c r="C38" i="4"/>
  <c r="C37" i="4"/>
  <c r="K2" i="2"/>
  <c r="P2" i="2"/>
  <c r="B72" i="4"/>
  <c r="B73" i="4"/>
  <c r="AC86" i="2"/>
  <c r="AD86" i="2"/>
  <c r="AC77" i="2"/>
  <c r="B75" i="4"/>
  <c r="B74" i="4"/>
  <c r="B76" i="4"/>
  <c r="C144" i="4" l="1"/>
  <c r="B144" i="4"/>
  <c r="C76" i="4"/>
  <c r="C75" i="4"/>
  <c r="C73" i="4"/>
  <c r="C74" i="4"/>
  <c r="N2" i="2"/>
  <c r="R2" i="2"/>
  <c r="B110" i="4"/>
  <c r="B91" i="4"/>
  <c r="B8" i="4"/>
  <c r="B92" i="4"/>
  <c r="AB76" i="2"/>
  <c r="AC76" i="2"/>
  <c r="B111" i="4"/>
  <c r="B114" i="4"/>
  <c r="B95" i="4"/>
  <c r="B113" i="4"/>
  <c r="B94" i="4"/>
  <c r="B112" i="4"/>
  <c r="B93" i="4"/>
  <c r="B15" i="4"/>
  <c r="B10" i="4"/>
  <c r="B16" i="4"/>
  <c r="B11" i="4"/>
  <c r="B13" i="4"/>
  <c r="B14" i="4"/>
  <c r="B9" i="4"/>
  <c r="C93" i="4" l="1"/>
  <c r="C92" i="4"/>
  <c r="C95" i="4"/>
  <c r="C94" i="4"/>
  <c r="C128" i="4"/>
  <c r="C11" i="4"/>
  <c r="C10" i="4"/>
  <c r="C9" i="4"/>
  <c r="C8" i="4"/>
  <c r="C111" i="4"/>
  <c r="C114" i="4"/>
  <c r="C113" i="4"/>
  <c r="C112" i="4"/>
  <c r="B138" i="4"/>
  <c r="B142" i="4" s="1"/>
  <c r="B129" i="4"/>
  <c r="B139" i="4"/>
  <c r="B143" i="4" s="1"/>
  <c r="C129" i="4"/>
  <c r="B78" i="4"/>
  <c r="Q2" i="2"/>
  <c r="B122" i="4"/>
  <c r="B116" i="4"/>
  <c r="B117" i="4"/>
  <c r="B128" i="4"/>
  <c r="B140" i="4"/>
  <c r="C130" i="4"/>
  <c r="B131" i="4"/>
  <c r="B132" i="4"/>
  <c r="B130" i="4"/>
  <c r="C131" i="4"/>
  <c r="C132" i="4"/>
  <c r="B124" i="4"/>
  <c r="B118" i="4"/>
  <c r="B119" i="4"/>
  <c r="B125" i="4"/>
  <c r="B123" i="4"/>
  <c r="B81" i="4"/>
  <c r="B82" i="4"/>
  <c r="B80" i="4"/>
  <c r="B126" i="4"/>
  <c r="B79" i="4"/>
  <c r="B120" i="4"/>
  <c r="D129" i="4" l="1"/>
  <c r="E130" i="4"/>
  <c r="E131" i="4"/>
  <c r="E129" i="4"/>
  <c r="E132" i="4"/>
  <c r="C118" i="4"/>
  <c r="C117" i="4"/>
  <c r="C120" i="4"/>
  <c r="C119" i="4"/>
  <c r="C123" i="4"/>
  <c r="C126" i="4"/>
  <c r="C125" i="4"/>
  <c r="C124" i="4"/>
  <c r="C80" i="4"/>
  <c r="C82" i="4"/>
  <c r="C81" i="4"/>
  <c r="C79" i="4"/>
  <c r="B136" i="4"/>
  <c r="B134" i="4"/>
  <c r="C142" i="4" s="1"/>
  <c r="B135" i="4"/>
  <c r="C143" i="4" s="1"/>
  <c r="D130" i="4"/>
  <c r="D131" i="4"/>
  <c r="D128" i="4"/>
  <c r="D13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8FF8D45-C25D-4E71-81A2-5166D9ABB2D9}" keepAlive="1" name="Abfrage - transactions_2026-09-02_2026-09-16" description="Verbindung mit der Abfrage 'transactions_2026-09-02_2026-09-16' in der Arbeitsmappe." type="5" refreshedVersion="0" background="1">
    <dbPr connection="Provider=Microsoft.Mashup.OleDb.1;Data Source=$Workbook$;Location=transactions_2026-09-02_2026-09-16;Extended Properties=&quot;&quot;" command="SELECT * FROM [transactions_2026-09-02_2026-09-16]"/>
  </connection>
</connections>
</file>

<file path=xl/sharedStrings.xml><?xml version="1.0" encoding="utf-8"?>
<sst xmlns="http://schemas.openxmlformats.org/spreadsheetml/2006/main" count="545" uniqueCount="250">
  <si>
    <t>datetime</t>
  </si>
  <si>
    <t>date</t>
  </si>
  <si>
    <t>account_type</t>
  </si>
  <si>
    <t>category</t>
  </si>
  <si>
    <t>type</t>
  </si>
  <si>
    <t>asset_class</t>
  </si>
  <si>
    <t>name</t>
  </si>
  <si>
    <t>symbol</t>
  </si>
  <si>
    <t>shares</t>
  </si>
  <si>
    <t>price</t>
  </si>
  <si>
    <t>amount</t>
  </si>
  <si>
    <t>fee</t>
  </si>
  <si>
    <t>tax</t>
  </si>
  <si>
    <t>currency</t>
  </si>
  <si>
    <t>original_amount</t>
  </si>
  <si>
    <t>original_currency</t>
  </si>
  <si>
    <t>fx_rate</t>
  </si>
  <si>
    <t>description</t>
  </si>
  <si>
    <t>transaction_id</t>
  </si>
  <si>
    <t>counterparty_name</t>
  </si>
  <si>
    <t>counterparty_iban</t>
  </si>
  <si>
    <t>payment_reference</t>
  </si>
  <si>
    <t>mcc_code</t>
  </si>
  <si>
    <t>CASH</t>
  </si>
  <si>
    <t>TRANSFER_INSTANT_INBOUND</t>
  </si>
  <si>
    <t>EUR</t>
  </si>
  <si>
    <t>TRADING</t>
  </si>
  <si>
    <t>BUY</t>
  </si>
  <si>
    <t>FUND</t>
  </si>
  <si>
    <t>Incoming transfer from Romeo Talla Fotsing und Josiane Tefouemewe Tsamo (DE04731500000040868242)</t>
  </si>
  <si>
    <t>TRANSFER_IN</t>
  </si>
  <si>
    <t>Roméo Talla Fotsing</t>
  </si>
  <si>
    <t>Asset</t>
  </si>
  <si>
    <t>Klasse</t>
  </si>
  <si>
    <t>Käufe Stück</t>
  </si>
  <si>
    <t>Verkäufe Stück</t>
  </si>
  <si>
    <t>Bestand</t>
  </si>
  <si>
    <t>Investiert €</t>
  </si>
  <si>
    <t>Verkauft €</t>
  </si>
  <si>
    <t>Gebühren €</t>
  </si>
  <si>
    <t>Netto P&amp;L €</t>
  </si>
  <si>
    <t>Status</t>
  </si>
  <si>
    <t>Portfolio KPIs</t>
  </si>
  <si>
    <t>Anzahl Assets</t>
  </si>
  <si>
    <t>Gebühren</t>
  </si>
  <si>
    <t>Aktueller Kurs €</t>
  </si>
  <si>
    <t>Aktuelle Position €</t>
  </si>
  <si>
    <t>KPI</t>
  </si>
  <si>
    <t>Bedeutung</t>
  </si>
  <si>
    <t>Portfolio-Wert</t>
  </si>
  <si>
    <t>Aktueller Gesamtwert aller Positionen</t>
  </si>
  <si>
    <t>Investiertes Kapital</t>
  </si>
  <si>
    <t>Summe aller Einzahlungen und Käufe</t>
  </si>
  <si>
    <t>Gewinn/Verlust (P&amp;L)</t>
  </si>
  <si>
    <t>Rendite (%)</t>
  </si>
  <si>
    <t>Anzahl Positionen</t>
  </si>
  <si>
    <t>Wie viele Wertpapiere/Kryptos im Portfolio sind</t>
  </si>
  <si>
    <t>Asset-Allokation</t>
  </si>
  <si>
    <t>Verteilung auf Aktien, ETFs, Krypto usw.</t>
  </si>
  <si>
    <t>Cash-Bestand</t>
  </si>
  <si>
    <t>Nicht investiertes Guthaben</t>
  </si>
  <si>
    <t>Summe aller Handelskosten</t>
  </si>
  <si>
    <t>Realisierte Gewinne</t>
  </si>
  <si>
    <t>Gewinne aus bereits verkauften Positionen</t>
  </si>
  <si>
    <t>Nicht realisierte Gewinne</t>
  </si>
  <si>
    <t>Gewinne/Verluste aus aktuellen Positionen</t>
  </si>
  <si>
    <t>Steuer</t>
  </si>
  <si>
    <t>Aktueller Portfolio-Wert</t>
  </si>
  <si>
    <t>Einstandskurs €</t>
  </si>
  <si>
    <t>Alle Portfolio Einzahlungen</t>
  </si>
  <si>
    <t>Alle Portfolio Auszahlungen</t>
  </si>
  <si>
    <t>Alle Portfolio Käufe</t>
  </si>
  <si>
    <t>Alle Portfolio Verkäufe</t>
  </si>
  <si>
    <t>Aktueller Portfolio-Wert STOCK&amp;FUND</t>
  </si>
  <si>
    <t>Aktueller Portfolio-Wert CRYPTO</t>
  </si>
  <si>
    <t>Anzahl STOCK</t>
  </si>
  <si>
    <t>Anzahl FUND</t>
  </si>
  <si>
    <t>Anzahl CRYPTO</t>
  </si>
  <si>
    <t>Offene STOCK</t>
  </si>
  <si>
    <t>Offene FUND</t>
  </si>
  <si>
    <t>Offene CRYPTO</t>
  </si>
  <si>
    <t>Offene Assets</t>
  </si>
  <si>
    <t>Closed Assets</t>
  </si>
  <si>
    <t>Closed STOCK</t>
  </si>
  <si>
    <t>Closed FUND</t>
  </si>
  <si>
    <t>Closed CRYPTO</t>
  </si>
  <si>
    <t>Realisierte Netto P&amp;L</t>
  </si>
  <si>
    <t>Realisierte Netto P&amp;L STOCK&amp;FUND</t>
  </si>
  <si>
    <t>Realisierte Netto P&amp;L CRYPTO</t>
  </si>
  <si>
    <t>Gebüren STOCK</t>
  </si>
  <si>
    <t>Gebüren FUND</t>
  </si>
  <si>
    <t>Gebühren CRYPTO</t>
  </si>
  <si>
    <t>Steuer STOCK</t>
  </si>
  <si>
    <t>Steuer FUND</t>
  </si>
  <si>
    <t>Steuer CRYPTO</t>
  </si>
  <si>
    <t>Steuerkorrektur</t>
  </si>
  <si>
    <t>Alle Portfolio Käufe STOCK</t>
  </si>
  <si>
    <t>Alle Portfolio Käufe FUND</t>
  </si>
  <si>
    <t>Alle Portfolio Käufe CRYPTO</t>
  </si>
  <si>
    <t>Alle Portfolio Verkäufe STOCK</t>
  </si>
  <si>
    <t>Alle Portfolio Verkäufe FUND</t>
  </si>
  <si>
    <t>Alle Portfolio Verkäufe CRYPTO</t>
  </si>
  <si>
    <t>Aktuelle Rendite</t>
  </si>
  <si>
    <r>
      <t>Wie viel Gewinn(</t>
    </r>
    <r>
      <rPr>
        <b/>
        <sz val="11"/>
        <color theme="1"/>
        <rFont val="Segoe UI"/>
        <family val="2"/>
      </rPr>
      <t>P</t>
    </r>
    <r>
      <rPr>
        <sz val="11"/>
        <color theme="1"/>
        <rFont val="Segoe UI"/>
        <family val="2"/>
      </rPr>
      <t>roft) oder Verlust(</t>
    </r>
    <r>
      <rPr>
        <b/>
        <sz val="11"/>
        <color theme="1"/>
        <rFont val="Segoe UI"/>
        <family val="2"/>
      </rPr>
      <t>L</t>
    </r>
    <r>
      <rPr>
        <sz val="11"/>
        <color theme="1"/>
        <rFont val="Segoe UI"/>
        <family val="2"/>
      </rPr>
      <t>ost) erzielt wurde</t>
    </r>
  </si>
  <si>
    <t>Gewinn oder Verlust im Verhältnis zum eingesetzten Kapital</t>
  </si>
  <si>
    <t>Aktueller Portfolio-Wert STOCK</t>
  </si>
  <si>
    <t>Aktueller Portfolio-Wert FUND</t>
  </si>
  <si>
    <t>Realisierte Netto P&amp;L STOCK</t>
  </si>
  <si>
    <t>Realisierte Netto P&amp;L FUND</t>
  </si>
  <si>
    <t>Aktuell Investiert €</t>
  </si>
  <si>
    <t>Aktuell Portofolio Investiert</t>
  </si>
  <si>
    <t>Aktuell Portfolio Investiert STOCK&amp;FUND</t>
  </si>
  <si>
    <t>Aktuell Portfolio Investiert STOCK</t>
  </si>
  <si>
    <t>Aktuell Portfolio Investiert FUND</t>
  </si>
  <si>
    <t>Aktuell Portfolio Investiert CRYPTO</t>
  </si>
  <si>
    <t>Gesamte Performance STOCK&amp;FUND</t>
  </si>
  <si>
    <t>Gesamte Performance CRYPTO</t>
  </si>
  <si>
    <t>Gesamte Performance</t>
  </si>
  <si>
    <t>Gesamte Rendite STOCK&amp;FUND</t>
  </si>
  <si>
    <t>Gesamte Rendite CRYPTO</t>
  </si>
  <si>
    <t>Gesamte Rendite Portfolio</t>
  </si>
  <si>
    <t>Realisierte P&amp;L Verkäufe</t>
  </si>
  <si>
    <t>Realisierte  P&amp;L STOCK&amp;FUND Verkäufe</t>
  </si>
  <si>
    <t>Realisierte P&amp;L STOCK Verkäufe</t>
  </si>
  <si>
    <t>Realisierte P&amp;L FUND Verkäufe</t>
  </si>
  <si>
    <t>Realisierte  P&amp;L CRYPTO Verkäufe</t>
  </si>
  <si>
    <t>Realisierte P&amp;L Verkäufe €</t>
  </si>
  <si>
    <t>Aktuell Nicht realisierte Lost</t>
  </si>
  <si>
    <t>Aktuell Nicht realisierte Lost STOCK&amp;FUND</t>
  </si>
  <si>
    <t>Aktuell Nicht realisierte Lost CRYPTO</t>
  </si>
  <si>
    <t>Aktuell Nicht realisierte Profit</t>
  </si>
  <si>
    <t>Aktuell Nicht realisierte Profit STOCK&amp;FUND</t>
  </si>
  <si>
    <t>Aktuell Nicht realisierte Profit CRYPTO</t>
  </si>
  <si>
    <t>Aktuell Nicht realisierte P&amp;L</t>
  </si>
  <si>
    <t>Aktuell Nicht realisierte P&amp;L STOCK&amp;FUND</t>
  </si>
  <si>
    <t>Aktuell Nicht realisierte P&amp;L CRYPTO</t>
  </si>
  <si>
    <t>Aktuell nicht realisierte P&amp;L €</t>
  </si>
  <si>
    <t>Investiertes Kapital Verkäufe €</t>
  </si>
  <si>
    <t>Gebühren Käufe</t>
  </si>
  <si>
    <t>Gebüren Käufe STOCK</t>
  </si>
  <si>
    <t>Gebüren Käufe FUND</t>
  </si>
  <si>
    <t>Gebüren Käufe CRYPTO</t>
  </si>
  <si>
    <t>Gebüren Verkäufe STOCK</t>
  </si>
  <si>
    <t>Gebühren Verkäufe</t>
  </si>
  <si>
    <t>Gebüren Verkäufe FUND</t>
  </si>
  <si>
    <t>Gebüren Verkäufe CRYPTO</t>
  </si>
  <si>
    <t>Aktuell Nicht realisierte Lost STOCK</t>
  </si>
  <si>
    <t>Aktuell Nicht realisierte Lost FUND</t>
  </si>
  <si>
    <t>Aktuell Nicht realisierte Profit STOCK</t>
  </si>
  <si>
    <t>Aktuell Nicht realisierte Profit FUND</t>
  </si>
  <si>
    <t>Rendite Verkäufe</t>
  </si>
  <si>
    <t>Gesamte Rendite</t>
  </si>
  <si>
    <t>Aktuell Nicht realisierte P&amp;L STOCK</t>
  </si>
  <si>
    <t>Aktuell Nicht realisierte P&amp;L FUND</t>
  </si>
  <si>
    <t>Gebüren STOCK&amp;FUND</t>
  </si>
  <si>
    <t>Gebüren Käufe STOCK&amp;FUND</t>
  </si>
  <si>
    <t>Gebüren Verkäufe STOCK&amp;FUND</t>
  </si>
  <si>
    <t>Aktuell Brutto Nicht realisierte P&amp;L</t>
  </si>
  <si>
    <t>Aktuell Brutto Nicht realisierte P&amp;L STOCK&amp;FUND</t>
  </si>
  <si>
    <t>Aktuell Brutto Nicht realisierte P&amp;L CRYPTO</t>
  </si>
  <si>
    <t>Brutto Investiert</t>
  </si>
  <si>
    <t>Brutto Investiert STOCK&amp;FUND</t>
  </si>
  <si>
    <t>Brutto Investiert STOCK</t>
  </si>
  <si>
    <t>Brutto Investiert FUND</t>
  </si>
  <si>
    <t>Brutto Investiert CRYPTO</t>
  </si>
  <si>
    <t>Netto  Investiert</t>
  </si>
  <si>
    <t>Netto Investiert STOCK&amp;FUND</t>
  </si>
  <si>
    <t>Netto  Investiert STOCK</t>
  </si>
  <si>
    <t>Netto Investiert FUND</t>
  </si>
  <si>
    <t>Netto Investiert CRYPTO</t>
  </si>
  <si>
    <t>Brutto Verkauft STOCK&amp;FUND</t>
  </si>
  <si>
    <t>Brutto Verkauft STOCK</t>
  </si>
  <si>
    <t>Brutto Verkauft FUND</t>
  </si>
  <si>
    <t>Brutto Verkauft CRYPTO</t>
  </si>
  <si>
    <t>Brutto Verkauft</t>
  </si>
  <si>
    <t>Netto Verkauft</t>
  </si>
  <si>
    <t>Netto Verkauft STOCK&amp;FUND</t>
  </si>
  <si>
    <t>Netto Verkauft STOCK</t>
  </si>
  <si>
    <t>Netto Verkauft FUND</t>
  </si>
  <si>
    <t>Netto Verkauft CRYPTO</t>
  </si>
  <si>
    <t>Steur STOCK&amp;FUND</t>
  </si>
  <si>
    <t>Symbol</t>
  </si>
  <si>
    <t>Anzahl Käufe mit Gebühren</t>
  </si>
  <si>
    <t>Anzahl Käufe STOCK&amp;FUND mit Gebühren</t>
  </si>
  <si>
    <t>Anzahl Käufe STOCK mit Gebühren</t>
  </si>
  <si>
    <t>Anzahl Käufe FUND mit Gebühren</t>
  </si>
  <si>
    <t>Anzahl Käufe CRYPTO mit Gebühren</t>
  </si>
  <si>
    <t>Anzahl Verkäufe mit Gebühren</t>
  </si>
  <si>
    <t>Anzahl Verkäufe STOCK&amp;FUND mit Gebühren</t>
  </si>
  <si>
    <t>Anzahl Verkäufe STOCK mit Gebühren</t>
  </si>
  <si>
    <t>Anzahl Verkäufe FUND mit Gebühren</t>
  </si>
  <si>
    <t>Anzahl Verkäufe CRYPTO mit Gebühren</t>
  </si>
  <si>
    <t>Anzahl Kauforders</t>
  </si>
  <si>
    <t>Anzahl Verkaufsorders</t>
  </si>
  <si>
    <t>Gesamtergebnis</t>
  </si>
  <si>
    <t>Assets</t>
  </si>
  <si>
    <t>Aktueller Wert</t>
  </si>
  <si>
    <t>Einkaufswert</t>
  </si>
  <si>
    <t>G/V:</t>
  </si>
  <si>
    <t>Kurswert</t>
  </si>
  <si>
    <t>FUND Ergebnis</t>
  </si>
  <si>
    <t xml:space="preserve">Bestand </t>
  </si>
  <si>
    <t>Verkaufserlöse Gewinn/Verlust</t>
  </si>
  <si>
    <t>JUNIOR</t>
  </si>
  <si>
    <t/>
  </si>
  <si>
    <t>Incoming transfer from Roméo Talla Fotsing (DE96100123455602601111)</t>
  </si>
  <si>
    <t>FTSE All-World USD (Acc)</t>
  </si>
  <si>
    <t>IE00BK5BQT80</t>
  </si>
  <si>
    <t>Buy trade IE00BK5BQT80 Vanguard Funds PLC - Vanguard FTSE All-World UCITS ETF (USD) Accumulating, quantity: 1</t>
  </si>
  <si>
    <t>Savings plan execution IE00BK5BQT80 Vanguard Funds PLC - Vanguard FTSE All-World UCITS ETF (USD) Accumulating, quantity: 0.000128</t>
  </si>
  <si>
    <t>DE96100123455602601111</t>
  </si>
  <si>
    <t>Buy trade IE00BK5BQT80 Vanguard Funds PLC - Vanguard FTSE All-World UCITS ETF (USD) Accumulating, quantity: 0.311293</t>
  </si>
  <si>
    <t>Savings plan execution IE00BK5BQT80 Vanguard Funds PLC - Vanguard FTSE All-World UCITS ETF (USD) Accumulating, quantity: 0.000242</t>
  </si>
  <si>
    <t>Savings plan execution IE00BK5BQT80 Vanguard Funds PLC - Vanguard FTSE All-World UCITS ETF (USD) Accumulating, quantity: 0.000302</t>
  </si>
  <si>
    <t>Savings plan execution IE00BK5BQT80 Vanguard Funds PLC - Vanguard FTSE All-World UCITS ETF (USD) Accumulating, quantity: 0.000363</t>
  </si>
  <si>
    <t>Savings plan execution IE00BK5BQT80 Vanguard Funds PLC - Vanguard FTSE All-World UCITS ETF (USD) Accumulating, quantity: 0.000299</t>
  </si>
  <si>
    <t>(Leer)</t>
  </si>
  <si>
    <t>(Leer) Ergebnis</t>
  </si>
  <si>
    <t>019d9578-9464-7066-b494-7d7ac268c592</t>
  </si>
  <si>
    <t>019d95ae-d14b-7ce5-9883-9075f8f497d4</t>
  </si>
  <si>
    <t>d9eaa861-91fb-45f4-acd7-b1b533f8c8b0</t>
  </si>
  <si>
    <t>Buy trade IE00BK5BQT80 Vanguard Funds PLC - Vanguard FTSE All-World UCITS ETF (USD) Accumulating, quantity: 0.31787</t>
  </si>
  <si>
    <t>44551e93-932b-4042-bce5-98723e5fb807</t>
  </si>
  <si>
    <t xml:space="preserve"> Kindergeld cash reward f0137a7c-f51f-4cbc-a3ab-c5840f6567af for reservation: dcbe6208-c733-4cb7-a3fe-c2437f4788a9</t>
  </si>
  <si>
    <t>019de129-ee19-7a66-bb90-2fdd54a6cb7b</t>
  </si>
  <si>
    <t>050d3eb5-35ec-4240-9436-6aab52752344</t>
  </si>
  <si>
    <t>Buy trade IE00BK5BQT80 Vanguard Funds PLC - Vanguard FTSE All-World UCITS ETF (USD) Accumulating, quantity: 0.315696</t>
  </si>
  <si>
    <t>18c05775-3699-469a-bdb8-37f71e68fa0d</t>
  </si>
  <si>
    <t>019e01ba-e286-79b3-8ddb-5e62f083226b</t>
  </si>
  <si>
    <t>019e6b28-e107-75c0-9352-b746b4e26a47</t>
  </si>
  <si>
    <t>019e6b28-1757-76f2-966d-e3c21525330a</t>
  </si>
  <si>
    <t>Buy trade IE00BK5BQT80 Vanguard Funds PLC - Vanguard FTSE All-World UCITS ETF (USD) Accumulating, quantity: 0.307012</t>
  </si>
  <si>
    <t>20544b6f-9fba-4929-9599-bc1bcee23b68</t>
  </si>
  <si>
    <t xml:space="preserve"> Kindergeld cash reward d3526df3-cfef-4382-88ef-2ac6f467847b for reservation: 9d2d0c67-b16e-4b64-a09a-565b3eda42f7</t>
  </si>
  <si>
    <t>019e8159-e26c-7cbd-b04e-a5847cf30331</t>
  </si>
  <si>
    <t>e9db5bfb-b872-4d5b-b992-76abf489b7f7</t>
  </si>
  <si>
    <t>Buy trade IE00BK5BQT80 Vanguard Funds PLC - Vanguard FTSE All-World UCITS ETF (USD) Accumulating, quantity: 0.30656</t>
  </si>
  <si>
    <t>aface5e1-5949-467c-bc1d-83b0cb743731</t>
  </si>
  <si>
    <t>019f044a-0bbd-74ea-bbce-e1dd99586a97</t>
  </si>
  <si>
    <t xml:space="preserve"> Kindergeld cash reward f80d1401-18a2-41c1-a61b-c663837bc8c4 for reservation: caef7b51-c0a4-436f-beb3-21eba9270f8d</t>
  </si>
  <si>
    <t>019f1bf1-99ea-7a67-bc47-a5229c698d9b</t>
  </si>
  <si>
    <t>a352de68-a694-4141-97d1-d0c77c5aa306</t>
  </si>
  <si>
    <t>019fafa6-64d6-770e-98c7-80d506bc35bd</t>
  </si>
  <si>
    <t>bcdfc290-4bb4-47e7-b4ee-65b1acb4411a</t>
  </si>
  <si>
    <t xml:space="preserve"> Kindergeld cash reward 719268aa-ecb8-489a-83fe-8e57eb695941 for reservation: 7c9117b3-b83a-4f74-9968-a7cbaf44d458</t>
  </si>
  <si>
    <t>019fc552-b875-733e-b79c-090eb869efaf</t>
  </si>
  <si>
    <t>b2d934f7-b091-4be5-86fe-791b8d089507</t>
  </si>
  <si>
    <t xml:space="preserve"> Kindergeld cash reward e24fd1ba-ac78-4878-aa65-c7b545fade5a for reservation: cd2ec422-4fbd-4dc0-9dc0-61206c8b41cc</t>
  </si>
  <si>
    <t>01a05ac6-c260-7b22-9178-9edffc0c30ef</t>
  </si>
  <si>
    <t>efb1c7fd-2a9e-4536-884f-4d1a66aa44ba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</si>
</sst>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0.00\ &quot;€&quot;_-;\-* #,##0.00\ &quot;€&quot;_-;_-* &quot;-&quot;??\ &quot;€&quot;_-;_-@_-"/>
    <numFmt numFmtId="164" formatCode="#,##0.00\ &quot;€&quot;"/>
    <numFmt numFmtId="165" formatCode="#,##0.00000\ &quot;€&quot;"/>
    <numFmt numFmtId="166" formatCode="#,##0.000\ &quot;€&quot;"/>
    <numFmt numFmtId="167" formatCode="0.000000"/>
  </numFmts>
  <fonts count="8" x14ac:knownFonts="1">
    <font>
      <sz val="11"/>
      <color theme="1"/>
      <name val="Calibri"/>
      <family val="2"/>
      <scheme val="minor"/>
    </font>
    <font>
      <b/>
      <sz val="11"/>
      <color rgb="FFFFFFFF"/>
      <name val="Calibri"/>
      <family val="2"/>
    </font>
    <font>
      <sz val="11"/>
      <color theme="1"/>
      <name val="Segoe UI"/>
      <family val="2"/>
    </font>
    <font>
      <b/>
      <sz val="11"/>
      <color theme="1"/>
      <name val="Segoe UI"/>
      <family val="2"/>
    </font>
    <font>
      <b/>
      <sz val="12"/>
      <name val="Times New Roman"/>
      <family val="1"/>
    </font>
    <font>
      <sz val="12"/>
      <color theme="1"/>
      <name val="Times New Roman"/>
      <family val="1"/>
    </font>
    <font>
      <b/>
      <sz val="11"/>
      <color rgb="FFFFFFFF"/>
      <name val="Calibri"/>
      <family val="2"/>
    </font>
    <font>
      <sz val="11"/>
      <color theme="1"/>
      <name val="Calibri"/>
      <family val="2"/>
      <scheme val="minor"/>
    </font>
  </fonts>
  <fills count="6">
    <fill>
      <patternFill patternType="none"/>
    </fill>
    <fill>
      <patternFill patternType="gray125"/>
    </fill>
    <fill>
      <patternFill patternType="solid">
        <fgColor theme="3"/>
        <bgColor indexed="64"/>
      </patternFill>
    </fill>
    <fill>
      <patternFill patternType="solid">
        <fgColor rgb="FF1F4E78"/>
      </patternFill>
    </fill>
    <fill>
      <patternFill patternType="solid">
        <fgColor rgb="FFF5F5F5"/>
        <bgColor indexed="64"/>
      </patternFill>
    </fill>
    <fill>
      <patternFill patternType="solid">
        <fgColor rgb="FF4472C4"/>
      </patternFill>
    </fill>
  </fills>
  <borders count="3">
    <border>
      <left/>
      <right/>
      <top/>
      <bottom/>
      <diagonal/>
    </border>
    <border>
      <left style="thin">
        <color auto="1"/>
      </left>
      <right style="thin">
        <color auto="1"/>
      </right>
      <top style="thin">
        <color auto="1"/>
      </top>
      <bottom style="thin">
        <color auto="1"/>
      </bottom>
      <diagonal/>
    </border>
    <border>
      <left style="medium">
        <color rgb="FFE6E6E6"/>
      </left>
      <right style="medium">
        <color rgb="FFE6E6E6"/>
      </right>
      <top style="medium">
        <color rgb="FFE6E6E6"/>
      </top>
      <bottom style="medium">
        <color rgb="FFE6E6E6"/>
      </bottom>
      <diagonal/>
    </border>
  </borders>
  <cellStyleXfs count="2">
    <xf numFmtId="0" fontId="0" fillId="0" borderId="0"/>
    <xf numFmtId="44" fontId="7" fillId="0" borderId="0" applyFont="0" applyFill="0" applyBorder="0" applyAlignment="0" applyProtection="0"/>
  </cellStyleXfs>
  <cellXfs count="42">
    <xf numFmtId="0" fontId="0" fillId="0" borderId="0" xfId="0"/>
    <xf numFmtId="14" fontId="0" fillId="0" borderId="0" xfId="0" applyNumberFormat="1" applyAlignment="1">
      <alignment horizontal="center"/>
    </xf>
    <xf numFmtId="0" fontId="3" fillId="4" borderId="2" xfId="0" applyFont="1" applyFill="1" applyBorder="1" applyAlignment="1">
      <alignment horizontal="center" vertical="center" wrapText="1"/>
    </xf>
    <xf numFmtId="0" fontId="2" fillId="0" borderId="2" xfId="0" applyFont="1" applyBorder="1" applyAlignment="1">
      <alignment vertical="center" wrapText="1"/>
    </xf>
    <xf numFmtId="0" fontId="1" fillId="3" borderId="0" xfId="0" applyFont="1" applyFill="1" applyAlignment="1">
      <alignment horizontal="center"/>
    </xf>
    <xf numFmtId="0" fontId="0" fillId="0" borderId="0" xfId="0" applyAlignment="1">
      <alignment horizontal="center"/>
    </xf>
    <xf numFmtId="164" fontId="0" fillId="0" borderId="0" xfId="0" applyNumberFormat="1" applyAlignment="1">
      <alignment horizontal="center"/>
    </xf>
    <xf numFmtId="10" fontId="0" fillId="0" borderId="0" xfId="0" applyNumberFormat="1" applyAlignment="1">
      <alignment horizontal="center"/>
    </xf>
    <xf numFmtId="0" fontId="1" fillId="3" borderId="0" xfId="0" applyFont="1" applyFill="1" applyAlignment="1">
      <alignment horizontal="left"/>
    </xf>
    <xf numFmtId="0" fontId="0" fillId="0" borderId="0" xfId="0" applyAlignment="1">
      <alignment horizontal="left"/>
    </xf>
    <xf numFmtId="0" fontId="4" fillId="0" borderId="0" xfId="0" applyFont="1" applyAlignment="1">
      <alignment horizontal="left"/>
    </xf>
    <xf numFmtId="0" fontId="5" fillId="0" borderId="0" xfId="0" applyFont="1" applyAlignment="1">
      <alignment horizontal="center"/>
    </xf>
    <xf numFmtId="0" fontId="5" fillId="0" borderId="0" xfId="0" applyFont="1"/>
    <xf numFmtId="0" fontId="5" fillId="0" borderId="0" xfId="0" applyFont="1" applyAlignment="1">
      <alignment horizontal="left"/>
    </xf>
    <xf numFmtId="164" fontId="5" fillId="0" borderId="0" xfId="0" applyNumberFormat="1" applyFont="1" applyAlignment="1">
      <alignment horizontal="center"/>
    </xf>
    <xf numFmtId="10" fontId="5" fillId="0" borderId="0" xfId="0" applyNumberFormat="1" applyFont="1" applyAlignment="1">
      <alignment horizontal="center"/>
    </xf>
    <xf numFmtId="164" fontId="1" fillId="3" borderId="0" xfId="0" applyNumberFormat="1" applyFont="1" applyFill="1" applyAlignment="1">
      <alignment horizontal="center"/>
    </xf>
    <xf numFmtId="10" fontId="1" fillId="2" borderId="0" xfId="0" applyNumberFormat="1" applyFont="1" applyFill="1" applyAlignment="1">
      <alignment horizontal="center"/>
    </xf>
    <xf numFmtId="10" fontId="1" fillId="3" borderId="0" xfId="0" applyNumberFormat="1" applyFont="1" applyFill="1" applyAlignment="1">
      <alignment horizontal="center"/>
    </xf>
    <xf numFmtId="165" fontId="0" fillId="0" borderId="0" xfId="0" applyNumberFormat="1"/>
    <xf numFmtId="166" fontId="1" fillId="3" borderId="0" xfId="0" applyNumberFormat="1" applyFont="1" applyFill="1" applyAlignment="1">
      <alignment horizontal="center"/>
    </xf>
    <xf numFmtId="166" fontId="0" fillId="0" borderId="0" xfId="0" applyNumberFormat="1" applyAlignment="1">
      <alignment horizontal="center"/>
    </xf>
    <xf numFmtId="164" fontId="5" fillId="0" borderId="0" xfId="0" applyNumberFormat="1" applyFont="1"/>
    <xf numFmtId="10" fontId="5" fillId="0" borderId="0" xfId="0" applyNumberFormat="1" applyFont="1"/>
    <xf numFmtId="0" fontId="6" fillId="5" borderId="1" xfId="0" applyFont="1" applyFill="1" applyBorder="1" applyAlignment="1">
      <alignment horizontal="center" vertical="top"/>
    </xf>
    <xf numFmtId="4" fontId="1" fillId="3" borderId="0" xfId="0" applyNumberFormat="1" applyFont="1" applyFill="1" applyAlignment="1">
      <alignment horizontal="center"/>
    </xf>
    <xf numFmtId="4" fontId="0" fillId="0" borderId="0" xfId="0" applyNumberFormat="1" applyAlignment="1">
      <alignment horizontal="center"/>
    </xf>
    <xf numFmtId="2" fontId="6" fillId="5" borderId="1" xfId="0" applyNumberFormat="1" applyFont="1" applyFill="1" applyBorder="1" applyAlignment="1">
      <alignment horizontal="center" vertical="top"/>
    </xf>
    <xf numFmtId="2" fontId="0" fillId="0" borderId="0" xfId="0" applyNumberFormat="1"/>
    <xf numFmtId="2" fontId="5" fillId="0" borderId="0" xfId="0" applyNumberFormat="1" applyFont="1" applyAlignment="1">
      <alignment horizontal="center"/>
    </xf>
    <xf numFmtId="167" fontId="0" fillId="0" borderId="0" xfId="0" applyNumberFormat="1"/>
    <xf numFmtId="14" fontId="6" fillId="5" borderId="1" xfId="0" applyNumberFormat="1" applyFont="1" applyFill="1" applyBorder="1" applyAlignment="1">
      <alignment horizontal="center" vertical="top"/>
    </xf>
    <xf numFmtId="22" fontId="6" fillId="5" borderId="1" xfId="0" applyNumberFormat="1" applyFont="1" applyFill="1" applyBorder="1" applyAlignment="1">
      <alignment horizontal="center" vertical="top"/>
    </xf>
    <xf numFmtId="22" fontId="0" fillId="0" borderId="0" xfId="0" applyNumberFormat="1" applyAlignment="1">
      <alignment horizontal="center"/>
    </xf>
    <xf numFmtId="0" fontId="0" fillId="0" borderId="0" xfId="0" pivotButton="1"/>
    <xf numFmtId="0" fontId="0" fillId="0" borderId="0" xfId="0" applyAlignment="1">
      <alignment horizontal="left" indent="1"/>
    </xf>
    <xf numFmtId="44" fontId="0" fillId="0" borderId="0" xfId="0" applyNumberFormat="1"/>
    <xf numFmtId="44" fontId="0" fillId="0" borderId="0" xfId="1" applyFont="1"/>
    <xf numFmtId="44" fontId="0" fillId="0" borderId="0" xfId="0" applyNumberFormat="1" applyAlignment="1">
      <alignment horizontal="center"/>
    </xf>
    <xf numFmtId="2" fontId="0" fillId="0" borderId="0" xfId="0" applyNumberFormat="1" applyAlignment="1">
      <alignment horizontal="center"/>
    </xf>
    <xf numFmtId="22" fontId="0" fillId="0" borderId="0" xfId="0" applyNumberFormat="1"/>
    <xf numFmtId="14" fontId="0" fillId="0" borderId="0" xfId="0" applyNumberFormat="1"/>
  </cellXfs>
  <cellStyles count="2">
    <cellStyle name="Standard" xfId="0" builtinId="0"/>
    <cellStyle name="Währung" xfId="1" builtinId="4"/>
  </cellStyles>
  <dxfs count="46">
    <dxf>
      <numFmt numFmtId="34" formatCode="_-* #,##0.00\ &quot;€&quot;_-;\-* #,##0.00\ &quot;€&quot;_-;_-* &quot;-&quot;??\ &quot;€&quot;_-;_-@_-"/>
    </dxf>
    <dxf>
      <alignment horizontal="center"/>
    </dxf>
    <dxf>
      <alignment horizontal="center"/>
    </dxf>
    <dxf>
      <alignment horizontal="center"/>
    </dxf>
    <dxf>
      <alignment horizontal="center"/>
    </dxf>
    <dxf>
      <numFmt numFmtId="2" formatCode="0.00"/>
    </dxf>
    <dxf>
      <numFmt numFmtId="2" formatCode="0.00"/>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alignment horizontal="center"/>
    </dxf>
    <dxf>
      <alignment horizontal="center"/>
    </dxf>
    <dxf>
      <alignment horizontal="center"/>
    </dxf>
    <dxf>
      <alignment horizontal="center"/>
    </dxf>
    <dxf>
      <numFmt numFmtId="2" formatCode="0.00"/>
    </dxf>
    <dxf>
      <numFmt numFmtId="2" formatCode="0.00"/>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92D050"/>
        </patternFill>
      </fill>
    </dxf>
    <dxf>
      <fill>
        <patternFill>
          <bgColor rgb="FF00B050"/>
        </patternFill>
      </fill>
    </dxf>
    <dxf>
      <fill>
        <patternFill>
          <bgColor rgb="FFFF0000"/>
        </patternFill>
      </fill>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2" formatCode="0.00"/>
    </dxf>
    <dxf>
      <numFmt numFmtId="2" formatCode="0.00"/>
    </dxf>
    <dxf>
      <alignment horizontal="center"/>
    </dxf>
    <dxf>
      <alignment horizontal="center"/>
    </dxf>
    <dxf>
      <alignment horizontal="center"/>
    </dxf>
    <dxf>
      <alignment horizontal="center"/>
    </dxf>
    <dxf>
      <numFmt numFmtId="34" formatCode="_-* #,##0.00\ &quot;€&quot;_-;\-* #,##0.00\ &quot;€&quot;_-;_-* &quot;-&quot;??\ &quot;€&quot;_-;_-@_-"/>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[Portfolio_Profi_Analyse_B - Klever.xlsx]Pivot!PivotTable6</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65"/>
        <c:spPr>
          <a:solidFill>
            <a:schemeClr val="accent1"/>
          </a:solidFill>
          <a:ln w="19050">
            <a:solidFill>
              <a:schemeClr val="lt1"/>
            </a:solidFill>
          </a:ln>
          <a:effectLst/>
        </c:spPr>
        <c:dLbl>
          <c:idx val="0"/>
          <c:layout>
            <c:manualLayout>
              <c:x val="-0.10300257345880551"/>
              <c:y val="-9.71098265895953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66"/>
        <c:spPr>
          <a:solidFill>
            <a:schemeClr val="accent1"/>
          </a:solidFill>
          <a:ln w="19050">
            <a:solidFill>
              <a:schemeClr val="lt1"/>
            </a:solidFill>
          </a:ln>
          <a:effectLst/>
        </c:spPr>
        <c:dLbl>
          <c:idx val="0"/>
          <c:layout>
            <c:manualLayout>
              <c:x val="-6.7799807950835456E-2"/>
              <c:y val="-0.1818882466281310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67"/>
        <c:spPr>
          <a:solidFill>
            <a:schemeClr val="accent1"/>
          </a:solidFill>
          <a:ln w="19050">
            <a:solidFill>
              <a:schemeClr val="lt1"/>
            </a:solidFill>
          </a:ln>
          <a:effectLst/>
        </c:spPr>
        <c:dLbl>
          <c:idx val="0"/>
          <c:layout>
            <c:manualLayout>
              <c:x val="-5.7502080532616348E-4"/>
              <c:y val="-0.1356454720616570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68"/>
        <c:spPr>
          <a:solidFill>
            <a:schemeClr val="accent1"/>
          </a:solidFill>
          <a:ln w="19050">
            <a:solidFill>
              <a:schemeClr val="lt1"/>
            </a:solidFill>
          </a:ln>
          <a:effectLst/>
        </c:spPr>
        <c:dLbl>
          <c:idx val="0"/>
          <c:layout>
            <c:manualLayout>
              <c:x val="2.4113180974329334E-2"/>
              <c:y val="-0.1757225433526011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69"/>
        <c:spPr>
          <a:solidFill>
            <a:schemeClr val="accent1"/>
          </a:solidFill>
          <a:ln w="19050">
            <a:solidFill>
              <a:schemeClr val="lt1"/>
            </a:solidFill>
          </a:ln>
          <a:effectLst/>
        </c:spPr>
        <c:dLbl>
          <c:idx val="0"/>
          <c:layout>
            <c:manualLayout>
              <c:x val="0.20305906151974906"/>
              <c:y val="-0.194219653179190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70"/>
        <c:spPr>
          <a:solidFill>
            <a:schemeClr val="accent1"/>
          </a:solidFill>
          <a:ln w="19050">
            <a:solidFill>
              <a:schemeClr val="lt1"/>
            </a:solidFill>
          </a:ln>
          <a:effectLst/>
        </c:spPr>
        <c:dLbl>
          <c:idx val="0"/>
          <c:layout>
            <c:manualLayout>
              <c:x val="0.27393780167722936"/>
              <c:y val="-0.1603082851637764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71"/>
        <c:spPr>
          <a:solidFill>
            <a:schemeClr val="accent1"/>
          </a:solidFill>
          <a:ln w="19050">
            <a:solidFill>
              <a:schemeClr val="lt1"/>
            </a:solidFill>
          </a:ln>
          <a:effectLst/>
        </c:spPr>
        <c:dLbl>
          <c:idx val="0"/>
          <c:layout>
            <c:manualLayout>
              <c:x val="3.1404493950451313E-2"/>
              <c:y val="-0.2219653179190751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72"/>
        <c:spPr>
          <a:solidFill>
            <a:schemeClr val="accent1"/>
          </a:solidFill>
          <a:ln w="19050">
            <a:solidFill>
              <a:schemeClr val="lt1"/>
            </a:solidFill>
          </a:ln>
          <a:effectLst/>
        </c:spPr>
        <c:dLbl>
          <c:idx val="0"/>
          <c:layout>
            <c:manualLayout>
              <c:x val="-0.23953590679213885"/>
              <c:y val="-0.1726396917148362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73"/>
        <c:spPr>
          <a:solidFill>
            <a:schemeClr val="accent1"/>
          </a:solidFill>
          <a:ln w="19050">
            <a:solidFill>
              <a:schemeClr val="lt1"/>
            </a:solidFill>
          </a:ln>
          <a:effectLst/>
        </c:spPr>
        <c:dLbl>
          <c:idx val="0"/>
          <c:layout>
            <c:manualLayout>
              <c:x val="0.24328347737020678"/>
              <c:y val="-0.1263969171483622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74"/>
        <c:spPr>
          <a:solidFill>
            <a:schemeClr val="accent1"/>
          </a:solidFill>
          <a:ln w="19050">
            <a:solidFill>
              <a:schemeClr val="lt1"/>
            </a:solidFill>
          </a:ln>
          <a:effectLst/>
        </c:spPr>
        <c:dLbl>
          <c:idx val="0"/>
          <c:layout>
            <c:manualLayout>
              <c:x val="0.15850959605659048"/>
              <c:y val="-9.556840077071290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75"/>
        <c:spPr>
          <a:solidFill>
            <a:schemeClr val="accent1"/>
          </a:solidFill>
          <a:ln w="19050">
            <a:solidFill>
              <a:schemeClr val="lt1"/>
            </a:solidFill>
          </a:ln>
          <a:effectLst/>
        </c:spPr>
        <c:dLbl>
          <c:idx val="0"/>
          <c:layout>
            <c:manualLayout>
              <c:x val="0.13892058126880472"/>
              <c:y val="-2.465443842641057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76"/>
        <c:spPr>
          <a:solidFill>
            <a:schemeClr val="accent1"/>
          </a:solidFill>
          <a:ln w="19050">
            <a:solidFill>
              <a:schemeClr val="lt1"/>
            </a:solidFill>
          </a:ln>
          <a:effectLst/>
        </c:spPr>
        <c:dLbl>
          <c:idx val="0"/>
          <c:layout>
            <c:manualLayout>
              <c:x val="0.12588817617310022"/>
              <c:y val="9.668660203601717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77"/>
        <c:spPr>
          <a:solidFill>
            <a:schemeClr val="accent1"/>
          </a:solidFill>
          <a:ln w="19050">
            <a:solidFill>
              <a:schemeClr val="lt1"/>
            </a:solidFill>
          </a:ln>
          <a:effectLst/>
        </c:spPr>
        <c:dLbl>
          <c:idx val="0"/>
          <c:layout>
            <c:manualLayout>
              <c:x val="0.19569185834246064"/>
              <c:y val="5.46448087431693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78"/>
        <c:spPr>
          <a:solidFill>
            <a:schemeClr val="accent1"/>
          </a:solidFill>
          <a:ln w="19050">
            <a:solidFill>
              <a:schemeClr val="lt1"/>
            </a:solidFill>
          </a:ln>
          <a:effectLst/>
        </c:spPr>
        <c:dLbl>
          <c:idx val="0"/>
          <c:layout>
            <c:manualLayout>
              <c:x val="0.15480102227090178"/>
              <c:y val="7.46812386156647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79"/>
        <c:spPr>
          <a:solidFill>
            <a:schemeClr val="accent1"/>
          </a:solidFill>
          <a:ln w="19050">
            <a:solidFill>
              <a:schemeClr val="lt1"/>
            </a:solidFill>
          </a:ln>
          <a:effectLst/>
        </c:spPr>
        <c:dLbl>
          <c:idx val="0"/>
          <c:layout>
            <c:manualLayout>
              <c:x val="3.2128514056224897E-2"/>
              <c:y val="0.1165755919854280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80"/>
        <c:spPr>
          <a:solidFill>
            <a:schemeClr val="accent1"/>
          </a:solidFill>
          <a:ln w="19050">
            <a:solidFill>
              <a:schemeClr val="lt1"/>
            </a:solidFill>
          </a:ln>
          <a:effectLst/>
        </c:spPr>
        <c:dLbl>
          <c:idx val="0"/>
          <c:layout>
            <c:manualLayout>
              <c:x val="-3.5049288061336309E-2"/>
              <c:y val="0.1366120218579233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81"/>
        <c:spPr>
          <a:solidFill>
            <a:schemeClr val="accent1"/>
          </a:solidFill>
          <a:ln w="19050">
            <a:solidFill>
              <a:schemeClr val="lt1"/>
            </a:solidFill>
          </a:ln>
          <a:effectLst/>
        </c:spPr>
        <c:dLbl>
          <c:idx val="0"/>
          <c:layout>
            <c:manualLayout>
              <c:x val="-0.19102777030919915"/>
              <c:y val="0.1339524524752324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82"/>
        <c:spPr>
          <a:solidFill>
            <a:schemeClr val="accent1"/>
          </a:solidFill>
          <a:ln w="19050">
            <a:solidFill>
              <a:schemeClr val="lt1"/>
            </a:solidFill>
          </a:ln>
          <a:effectLst/>
        </c:spPr>
        <c:dLbl>
          <c:idx val="0"/>
          <c:layout>
            <c:manualLayout>
              <c:x val="-0.20818016772293707"/>
              <c:y val="0.1238658231304899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83"/>
        <c:spPr>
          <a:solidFill>
            <a:schemeClr val="accent1"/>
          </a:solidFill>
          <a:ln w="19050">
            <a:solidFill>
              <a:schemeClr val="lt1"/>
            </a:solidFill>
          </a:ln>
          <a:effectLst/>
        </c:spPr>
        <c:dLbl>
          <c:idx val="0"/>
          <c:layout>
            <c:manualLayout>
              <c:x val="-0.20005254465143077"/>
              <c:y val="8.659778799326384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84"/>
        <c:spPr>
          <a:solidFill>
            <a:schemeClr val="accent1"/>
          </a:solidFill>
          <a:ln w="19050">
            <a:solidFill>
              <a:schemeClr val="lt1"/>
            </a:solidFill>
          </a:ln>
          <a:effectLst/>
        </c:spPr>
        <c:dLbl>
          <c:idx val="0"/>
          <c:layout>
            <c:manualLayout>
              <c:x val="-0.16762716855515011"/>
              <c:y val="5.39499036608862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85"/>
        <c:spPr>
          <a:solidFill>
            <a:schemeClr val="accent1"/>
          </a:solidFill>
          <a:ln w="19050">
            <a:solidFill>
              <a:schemeClr val="lt1"/>
            </a:solidFill>
          </a:ln>
          <a:effectLst/>
        </c:spPr>
        <c:dLbl>
          <c:idx val="0"/>
          <c:layout>
            <c:manualLayout>
              <c:x val="-0.1497248063504257"/>
              <c:y val="1.07899807321772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86"/>
        <c:spPr>
          <a:solidFill>
            <a:schemeClr val="accent1"/>
          </a:solidFill>
          <a:ln w="19050">
            <a:solidFill>
              <a:schemeClr val="lt1"/>
            </a:solidFill>
          </a:ln>
          <a:effectLst/>
        </c:spPr>
        <c:dLbl>
          <c:idx val="0"/>
          <c:layout>
            <c:manualLayout>
              <c:x val="-0.14078674948240166"/>
              <c:y val="-3.85356454720616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87"/>
        <c:spPr>
          <a:solidFill>
            <a:schemeClr val="accent1"/>
          </a:solidFill>
          <a:ln w="19050">
            <a:solidFill>
              <a:schemeClr val="lt1"/>
            </a:solidFill>
          </a:ln>
          <a:effectLst/>
        </c:spPr>
        <c:dLbl>
          <c:idx val="0"/>
          <c:layout>
            <c:manualLayout>
              <c:x val="-0.13526566221475836"/>
              <c:y val="-0.117148362235067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88"/>
        <c:spPr>
          <a:solidFill>
            <a:schemeClr val="accent1"/>
          </a:solidFill>
          <a:ln w="19050">
            <a:solidFill>
              <a:schemeClr val="lt1"/>
            </a:solidFill>
          </a:ln>
          <a:effectLst/>
        </c:spPr>
        <c:dLbl>
          <c:idx val="0"/>
          <c:layout>
            <c:manualLayout>
              <c:x val="-0.13526570048309183"/>
              <c:y val="-0.1603082851637765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89"/>
        <c:spPr>
          <a:solidFill>
            <a:schemeClr val="accent1"/>
          </a:solidFill>
          <a:ln w="19050">
            <a:solidFill>
              <a:schemeClr val="lt1"/>
            </a:solidFill>
          </a:ln>
          <a:effectLst/>
        </c:spPr>
        <c:dLbl>
          <c:idx val="0"/>
          <c:layout>
            <c:manualLayout>
              <c:x val="-0.14492753623188409"/>
              <c:y val="-6.01156069364162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90"/>
        <c:spPr>
          <a:solidFill>
            <a:schemeClr val="accent1"/>
          </a:solidFill>
          <a:ln w="19050">
            <a:solidFill>
              <a:schemeClr val="lt1"/>
            </a:solidFill>
          </a:ln>
          <a:effectLst/>
        </c:spPr>
        <c:dLbl>
          <c:idx val="0"/>
          <c:layout>
            <c:manualLayout>
              <c:x val="-4.2788129744651481E-2"/>
              <c:y val="-0.1803468208092485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91"/>
        <c:spPr>
          <a:solidFill>
            <a:schemeClr val="accent1"/>
          </a:solidFill>
          <a:ln w="19050">
            <a:solidFill>
              <a:schemeClr val="lt1"/>
            </a:solidFill>
          </a:ln>
          <a:effectLst/>
        </c:spPr>
        <c:dLbl>
          <c:idx val="0"/>
          <c:layout>
            <c:manualLayout>
              <c:x val="9.7998619737750176E-2"/>
              <c:y val="-0.1849710982658959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92"/>
        <c:spPr>
          <a:solidFill>
            <a:schemeClr val="accent1"/>
          </a:solidFill>
          <a:ln w="19050">
            <a:solidFill>
              <a:schemeClr val="lt1"/>
            </a:solidFill>
          </a:ln>
          <a:effectLst/>
        </c:spPr>
        <c:dLbl>
          <c:idx val="0"/>
          <c:layout>
            <c:manualLayout>
              <c:x val="-0.42097998619737759"/>
              <c:y val="-0.1387283236994219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93"/>
        <c:spPr>
          <a:solidFill>
            <a:schemeClr val="accent1"/>
          </a:solidFill>
          <a:ln w="19050">
            <a:solidFill>
              <a:schemeClr val="lt1"/>
            </a:solidFill>
          </a:ln>
          <a:effectLst/>
        </c:spPr>
        <c:dLbl>
          <c:idx val="0"/>
          <c:layout>
            <c:manualLayout>
              <c:x val="-0.13813241654652322"/>
              <c:y val="-3.08285163776498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94"/>
        <c:spPr>
          <a:solidFill>
            <a:schemeClr val="accent1"/>
          </a:solidFill>
          <a:ln w="19050">
            <a:solidFill>
              <a:schemeClr val="lt1"/>
            </a:solidFill>
          </a:ln>
          <a:effectLst/>
        </c:spPr>
        <c:dLbl>
          <c:idx val="0"/>
          <c:layout>
            <c:manualLayout>
              <c:x val="-0.45548654244306419"/>
              <c:y val="-5.240847784200385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95"/>
        <c:spPr>
          <a:solidFill>
            <a:schemeClr val="accent1"/>
          </a:solidFill>
          <a:ln w="19050">
            <a:solidFill>
              <a:schemeClr val="lt1"/>
            </a:solidFill>
          </a:ln>
          <a:effectLst/>
        </c:spPr>
        <c:dLbl>
          <c:idx val="0"/>
          <c:layout>
            <c:manualLayout>
              <c:x val="-0.15971771333461365"/>
              <c:y val="-0.1895953757225433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96"/>
        <c:spPr>
          <a:solidFill>
            <a:schemeClr val="accent1"/>
          </a:solidFill>
          <a:ln w="19050">
            <a:solidFill>
              <a:schemeClr val="lt1"/>
            </a:solidFill>
          </a:ln>
          <a:effectLst/>
        </c:spPr>
        <c:dLbl>
          <c:idx val="0"/>
          <c:layout>
            <c:manualLayout>
              <c:x val="-0.16517231931374432"/>
              <c:y val="-0.2096339113680154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97"/>
        <c:spPr>
          <a:solidFill>
            <a:schemeClr val="accent1"/>
          </a:solidFill>
          <a:ln w="19050">
            <a:solidFill>
              <a:schemeClr val="lt1"/>
            </a:solidFill>
          </a:ln>
          <a:effectLst/>
        </c:spPr>
        <c:dLbl>
          <c:idx val="0"/>
          <c:layout>
            <c:manualLayout>
              <c:x val="3.036576949620428E-2"/>
              <c:y val="0.1633911368015414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98"/>
        <c:spPr>
          <a:solidFill>
            <a:schemeClr val="accent1"/>
          </a:solidFill>
          <a:ln w="19050">
            <a:solidFill>
              <a:schemeClr val="lt1"/>
            </a:solidFill>
          </a:ln>
          <a:effectLst/>
        </c:spPr>
        <c:dLbl>
          <c:idx val="0"/>
          <c:layout>
            <c:manualLayout>
              <c:x val="9.1097308488612833E-2"/>
              <c:y val="7.398843930635838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99"/>
        <c:spPr>
          <a:solidFill>
            <a:schemeClr val="accent1"/>
          </a:solidFill>
          <a:ln w="19050">
            <a:solidFill>
              <a:schemeClr val="lt1"/>
            </a:solidFill>
          </a:ln>
          <a:effectLst/>
        </c:spPr>
        <c:dLbl>
          <c:idx val="0"/>
          <c:layout>
            <c:manualLayout>
              <c:x val="7.7294685990338161E-2"/>
              <c:y val="0.1171483622350674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00"/>
        <c:spPr>
          <a:solidFill>
            <a:schemeClr val="accent1"/>
          </a:solidFill>
          <a:ln w="19050">
            <a:solidFill>
              <a:schemeClr val="lt1"/>
            </a:solidFill>
          </a:ln>
          <a:effectLst/>
        </c:spPr>
        <c:dLbl>
          <c:idx val="0"/>
          <c:layout>
            <c:manualLayout>
              <c:x val="0.22222222222222213"/>
              <c:y val="0.1788053949903659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01"/>
        <c:spPr>
          <a:solidFill>
            <a:schemeClr val="accent1"/>
          </a:solidFill>
          <a:ln w="19050">
            <a:solidFill>
              <a:schemeClr val="lt1"/>
            </a:solidFill>
          </a:ln>
          <a:effectLst/>
        </c:spPr>
        <c:dLbl>
          <c:idx val="0"/>
          <c:layout>
            <c:manualLayout>
              <c:x val="-0.13502910185007361"/>
              <c:y val="-9.710982658959536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02"/>
        <c:spPr>
          <a:solidFill>
            <a:schemeClr val="accent1"/>
          </a:solidFill>
          <a:ln w="19050">
            <a:solidFill>
              <a:schemeClr val="lt1"/>
            </a:solidFill>
          </a:ln>
          <a:effectLst/>
        </c:spPr>
        <c:dLbl>
          <c:idx val="0"/>
          <c:layout>
            <c:manualLayout>
              <c:x val="-0.11180124223602485"/>
              <c:y val="8.32369942196531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03"/>
        <c:spPr>
          <a:solidFill>
            <a:schemeClr val="accent1"/>
          </a:solidFill>
          <a:ln w="19050">
            <a:solidFill>
              <a:schemeClr val="lt1"/>
            </a:solidFill>
          </a:ln>
          <a:effectLst/>
        </c:spPr>
        <c:dLbl>
          <c:idx val="0"/>
          <c:layout>
            <c:manualLayout>
              <c:x val="-0.30232594584213557"/>
              <c:y val="-0.1911368015414258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04"/>
        <c:spPr>
          <a:solidFill>
            <a:schemeClr val="accent1"/>
          </a:solidFill>
          <a:ln w="19050">
            <a:solidFill>
              <a:schemeClr val="lt1"/>
            </a:solidFill>
          </a:ln>
          <a:effectLst/>
        </c:spPr>
        <c:dLbl>
          <c:idx val="0"/>
          <c:layout>
            <c:manualLayout>
              <c:x val="-0.14078674948240166"/>
              <c:y val="-7.861271676300578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05"/>
        <c:spPr>
          <a:solidFill>
            <a:schemeClr val="accent1"/>
          </a:solidFill>
          <a:ln w="19050">
            <a:solidFill>
              <a:schemeClr val="lt1"/>
            </a:solidFill>
          </a:ln>
          <a:effectLst/>
        </c:spPr>
        <c:dLbl>
          <c:idx val="0"/>
          <c:layout>
            <c:manualLayout>
              <c:x val="-0.15596963423050381"/>
              <c:y val="-0.357610789980732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06"/>
        <c:spPr>
          <a:solidFill>
            <a:schemeClr val="accent1"/>
          </a:solidFill>
          <a:ln w="19050">
            <a:solidFill>
              <a:schemeClr val="lt1"/>
            </a:solidFill>
          </a:ln>
          <a:effectLst/>
        </c:spPr>
        <c:dLbl>
          <c:idx val="0"/>
          <c:layout>
            <c:manualLayout>
              <c:x val="-0.14216701173222912"/>
              <c:y val="-0.312909441233140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07"/>
        <c:spPr>
          <a:solidFill>
            <a:schemeClr val="accent1"/>
          </a:solidFill>
          <a:ln w="19050">
            <a:solidFill>
              <a:schemeClr val="lt1"/>
            </a:solidFill>
          </a:ln>
          <a:effectLst/>
        </c:spPr>
        <c:dLbl>
          <c:idx val="0"/>
          <c:layout>
            <c:manualLayout>
              <c:x val="-0.14354727398205658"/>
              <c:y val="-0.243545279383429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08"/>
        <c:spPr>
          <a:solidFill>
            <a:schemeClr val="accent1"/>
          </a:solidFill>
          <a:ln w="19050">
            <a:solidFill>
              <a:schemeClr val="lt1"/>
            </a:solidFill>
          </a:ln>
          <a:effectLst/>
        </c:spPr>
        <c:dLbl>
          <c:idx val="0"/>
          <c:layout>
            <c:manualLayout>
              <c:x val="-0.15734989648033126"/>
              <c:y val="-0.1957610789980732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09"/>
        <c:spPr>
          <a:solidFill>
            <a:schemeClr val="accent1"/>
          </a:solidFill>
          <a:ln w="19050">
            <a:solidFill>
              <a:schemeClr val="lt1"/>
            </a:solidFill>
          </a:ln>
          <a:effectLst/>
        </c:spPr>
        <c:dLbl>
          <c:idx val="0"/>
          <c:layout>
            <c:manualLayout>
              <c:x val="-0.13664596273291929"/>
              <c:y val="-0.1618497109826590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10"/>
        <c:spPr>
          <a:solidFill>
            <a:schemeClr val="accent1"/>
          </a:solidFill>
          <a:ln w="19050">
            <a:solidFill>
              <a:schemeClr val="lt1"/>
            </a:solidFill>
          </a:ln>
          <a:effectLst/>
        </c:spPr>
        <c:dLbl>
          <c:idx val="0"/>
          <c:layout>
            <c:manualLayout>
              <c:x val="-0.12008281573498965"/>
              <c:y val="-0.1310211946050096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11"/>
        <c:spPr>
          <a:solidFill>
            <a:schemeClr val="accent1"/>
          </a:solidFill>
          <a:ln w="19050">
            <a:solidFill>
              <a:schemeClr val="lt1"/>
            </a:solidFill>
          </a:ln>
          <a:effectLst/>
        </c:spPr>
        <c:dLbl>
          <c:idx val="0"/>
          <c:layout>
            <c:manualLayout>
              <c:x val="-0.13664596273291926"/>
              <c:y val="-7.398843930635838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12"/>
        <c:spPr>
          <a:solidFill>
            <a:schemeClr val="accent1"/>
          </a:solidFill>
          <a:ln w="19050">
            <a:solidFill>
              <a:schemeClr val="lt1"/>
            </a:solidFill>
          </a:ln>
          <a:effectLst/>
        </c:spPr>
        <c:dLbl>
          <c:idx val="0"/>
          <c:layout>
            <c:manualLayout>
              <c:x val="-0.15734989648033126"/>
              <c:y val="-6.1657032755298652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13"/>
        <c:spPr>
          <a:solidFill>
            <a:schemeClr val="accent1"/>
          </a:solidFill>
          <a:ln w="19050">
            <a:solidFill>
              <a:schemeClr val="lt1"/>
            </a:solidFill>
          </a:ln>
          <a:effectLst/>
        </c:spPr>
        <c:dLbl>
          <c:idx val="0"/>
          <c:layout>
            <c:manualLayout>
              <c:x val="-0.16149068322981369"/>
              <c:y val="5.086705202312133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14"/>
        <c:spPr>
          <a:solidFill>
            <a:schemeClr val="accent1"/>
          </a:solidFill>
          <a:ln w="19050">
            <a:solidFill>
              <a:schemeClr val="lt1"/>
            </a:solidFill>
          </a:ln>
          <a:effectLst/>
        </c:spPr>
        <c:dLbl>
          <c:idx val="0"/>
          <c:layout>
            <c:manualLayout>
              <c:x val="-0.14078674948240166"/>
              <c:y val="-2.77456647398844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15"/>
        <c:spPr>
          <a:solidFill>
            <a:schemeClr val="accent1"/>
          </a:solidFill>
          <a:ln w="19050">
            <a:solidFill>
              <a:schemeClr val="lt1"/>
            </a:solidFill>
          </a:ln>
          <a:effectLst/>
        </c:spPr>
        <c:dLbl>
          <c:idx val="0"/>
          <c:layout>
            <c:manualLayout>
              <c:x val="-8.9717046238785375E-2"/>
              <c:y val="7.707129094412330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16"/>
        <c:spPr>
          <a:solidFill>
            <a:schemeClr val="accent1"/>
          </a:solidFill>
          <a:ln w="19050">
            <a:solidFill>
              <a:schemeClr val="lt1"/>
            </a:solidFill>
          </a:ln>
          <a:effectLst/>
        </c:spPr>
        <c:dLbl>
          <c:idx val="0"/>
          <c:layout>
            <c:manualLayout>
              <c:x val="-0.12836438923395446"/>
              <c:y val="-4.77842003853564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17"/>
        <c:spPr>
          <a:solidFill>
            <a:schemeClr val="accent1"/>
          </a:solidFill>
          <a:ln w="19050">
            <a:solidFill>
              <a:schemeClr val="lt1"/>
            </a:solidFill>
          </a:ln>
          <a:effectLst/>
        </c:spPr>
        <c:dLbl>
          <c:idx val="0"/>
          <c:layout>
            <c:manualLayout>
              <c:x val="-0.12284334023464458"/>
              <c:y val="-0.100192678227360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18"/>
        <c:spPr>
          <a:solidFill>
            <a:schemeClr val="accent1"/>
          </a:solidFill>
          <a:ln w="19050">
            <a:solidFill>
              <a:schemeClr val="lt1"/>
            </a:solidFill>
          </a:ln>
          <a:effectLst/>
        </c:spPr>
        <c:dLbl>
          <c:idx val="0"/>
          <c:layout>
            <c:manualLayout>
              <c:x val="-0.16011042097998621"/>
              <c:y val="2.6204238921001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19"/>
        <c:spPr>
          <a:solidFill>
            <a:schemeClr val="accent1"/>
          </a:solidFill>
          <a:ln w="19050">
            <a:solidFill>
              <a:schemeClr val="lt1"/>
            </a:solidFill>
          </a:ln>
          <a:effectLst/>
        </c:spPr>
        <c:dLbl>
          <c:idx val="0"/>
          <c:layout>
            <c:manualLayout>
              <c:x val="-0.23269742013955572"/>
              <c:y val="-0.1722936598243138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20"/>
        <c:spPr>
          <a:solidFill>
            <a:schemeClr val="accent1"/>
          </a:solidFill>
          <a:ln w="19050">
            <a:solidFill>
              <a:schemeClr val="lt1"/>
            </a:solidFill>
          </a:ln>
          <a:effectLst/>
        </c:spPr>
        <c:dLbl>
          <c:idx val="0"/>
          <c:layout>
            <c:manualLayout>
              <c:x val="0.19047619047619047"/>
              <c:y val="-0.1633911368015414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21"/>
        <c:spPr>
          <a:solidFill>
            <a:schemeClr val="accent1"/>
          </a:solidFill>
          <a:ln w="19050">
            <a:solidFill>
              <a:schemeClr val="lt1"/>
            </a:solidFill>
          </a:ln>
          <a:effectLst/>
        </c:spPr>
        <c:dLbl>
          <c:idx val="0"/>
          <c:layout>
            <c:manualLayout>
              <c:x val="0.27053140096618356"/>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22"/>
        <c:spPr>
          <a:solidFill>
            <a:schemeClr val="accent1"/>
          </a:solidFill>
          <a:ln w="19050">
            <a:solidFill>
              <a:schemeClr val="lt1"/>
            </a:solidFill>
          </a:ln>
          <a:effectLst/>
        </c:spPr>
        <c:dLbl>
          <c:idx val="0"/>
          <c:layout>
            <c:manualLayout>
              <c:x val="0.21532091097308489"/>
              <c:y val="-3.2369942196531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23"/>
        <c:spPr>
          <a:solidFill>
            <a:schemeClr val="accent1"/>
          </a:solidFill>
          <a:ln w="19050">
            <a:solidFill>
              <a:schemeClr val="lt1"/>
            </a:solidFill>
          </a:ln>
          <a:effectLst/>
        </c:spPr>
        <c:dLbl>
          <c:idx val="0"/>
          <c:layout>
            <c:manualLayout>
              <c:x val="0.18909592822636301"/>
              <c:y val="-0.1217726396917148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24"/>
        <c:spPr>
          <a:solidFill>
            <a:schemeClr val="accent1"/>
          </a:solidFill>
          <a:ln w="19050">
            <a:solidFill>
              <a:schemeClr val="lt1"/>
            </a:solidFill>
          </a:ln>
          <a:effectLst/>
        </c:spPr>
        <c:dLbl>
          <c:idx val="0"/>
          <c:layout>
            <c:manualLayout>
              <c:x val="0.19875776397515527"/>
              <c:y val="-7.552986512524086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25"/>
        <c:spPr>
          <a:solidFill>
            <a:schemeClr val="accent1"/>
          </a:solidFill>
          <a:ln w="19050">
            <a:solidFill>
              <a:schemeClr val="lt1"/>
            </a:solidFill>
          </a:ln>
          <a:effectLst/>
        </c:spPr>
        <c:dLbl>
          <c:idx val="0"/>
          <c:layout>
            <c:manualLayout>
              <c:x val="-0.14768806073153901"/>
              <c:y val="-0.1202312138728323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19050">
            <a:solidFill>
              <a:schemeClr val="lt1"/>
            </a:solidFill>
          </a:ln>
          <a:effectLst/>
        </c:spPr>
      </c:pivotFmt>
    </c:pivotFmts>
    <c:plotArea>
      <c:layout>
        <c:manualLayout>
          <c:layoutTarget val="inner"/>
          <c:xMode val="edge"/>
          <c:yMode val="edge"/>
          <c:x val="0.21032271941617053"/>
          <c:y val="0.16062009011879294"/>
          <c:w val="0.61885497609622453"/>
          <c:h val="0.77187785952985388"/>
        </c:manualLayout>
      </c:layout>
      <c:doughnutChart>
        <c:varyColors val="1"/>
        <c:ser>
          <c:idx val="0"/>
          <c:order val="0"/>
          <c:tx>
            <c:strRef>
              <c:f>Pivot!$B$13</c:f>
              <c:strCache>
                <c:ptCount val="1"/>
                <c:pt idx="0">
                  <c:v>Ergebnis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106-4142-BE23-5B37F030CEB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106-4142-BE23-5B37F030CEB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106-4142-BE23-5B37F030CEB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106-4142-BE23-5B37F030CEB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106-4142-BE23-5B37F030CEB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106-4142-BE23-5B37F030CEB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106-4142-BE23-5B37F030CEB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106-4142-BE23-5B37F030CEB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106-4142-BE23-5B37F030CEBC}"/>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B106-4142-BE23-5B37F030CEBC}"/>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B106-4142-BE23-5B37F030CEBC}"/>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B106-4142-BE23-5B37F030CEBC}"/>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B106-4142-BE23-5B37F030CEBC}"/>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B106-4142-BE23-5B37F030CEBC}"/>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B106-4142-BE23-5B37F030CEBC}"/>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B106-4142-BE23-5B37F030CEBC}"/>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B106-4142-BE23-5B37F030CEBC}"/>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B106-4142-BE23-5B37F030CEBC}"/>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B106-4142-BE23-5B37F030CEBC}"/>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B106-4142-BE23-5B37F030CEBC}"/>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B106-4142-BE23-5B37F030CEBC}"/>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B106-4142-BE23-5B37F030CEBC}"/>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B106-4142-BE23-5B37F030CEBC}"/>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B106-4142-BE23-5B37F030CEBC}"/>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B106-4142-BE23-5B37F030CEBC}"/>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B106-4142-BE23-5B37F030CEBC}"/>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B106-4142-BE23-5B37F030CEBC}"/>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B106-4142-BE23-5B37F030CEBC}"/>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B106-4142-BE23-5B37F030CEBC}"/>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B106-4142-BE23-5B37F030CEBC}"/>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B106-4142-BE23-5B37F030CEBC}"/>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B106-4142-BE23-5B37F030CEBC}"/>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B106-4142-BE23-5B37F030CEBC}"/>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B106-4142-BE23-5B37F030CEBC}"/>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B106-4142-BE23-5B37F030CEBC}"/>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B106-4142-BE23-5B37F030CEBC}"/>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B106-4142-BE23-5B37F030CEBC}"/>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B106-4142-BE23-5B37F030CEBC}"/>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B106-4142-BE23-5B37F030CEBC}"/>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B106-4142-BE23-5B37F030CEBC}"/>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B106-4142-BE23-5B37F030CEBC}"/>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B106-4142-BE23-5B37F030CEBC}"/>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B106-4142-BE23-5B37F030CEBC}"/>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B106-4142-BE23-5B37F030CEBC}"/>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B106-4142-BE23-5B37F030CEBC}"/>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B106-4142-BE23-5B37F030CEBC}"/>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B106-4142-BE23-5B37F030CEBC}"/>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B106-4142-BE23-5B37F030CEBC}"/>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B106-4142-BE23-5B37F030CEBC}"/>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63-B106-4142-BE23-5B37F030CEBC}"/>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65-B106-4142-BE23-5B37F030CEBC}"/>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67-B106-4142-BE23-5B37F030CEBC}"/>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69-B106-4142-BE23-5B37F030CEBC}"/>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6B-B106-4142-BE23-5B37F030CEBC}"/>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06D-B106-4142-BE23-5B37F030CEBC}"/>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06F-B106-4142-BE23-5B37F030CEBC}"/>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071-B106-4142-BE23-5B37F030CEBC}"/>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073-B106-4142-BE23-5B37F030CEBC}"/>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075-B106-4142-BE23-5B37F030CEBC}"/>
              </c:ext>
            </c:extLst>
          </c:dPt>
          <c:dPt>
            <c:idx val="59"/>
            <c:bubble3D val="0"/>
            <c:spPr>
              <a:solidFill>
                <a:schemeClr val="accent6"/>
              </a:solidFill>
              <a:ln w="19050">
                <a:solidFill>
                  <a:schemeClr val="lt1"/>
                </a:solidFill>
              </a:ln>
              <a:effectLst/>
            </c:spPr>
            <c:extLst>
              <c:ext xmlns:c16="http://schemas.microsoft.com/office/drawing/2014/chart" uri="{C3380CC4-5D6E-409C-BE32-E72D297353CC}">
                <c16:uniqueId val="{00000077-B106-4142-BE23-5B37F030CEBC}"/>
              </c:ext>
            </c:extLst>
          </c:dPt>
          <c:dPt>
            <c:idx val="6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9-B106-4142-BE23-5B37F030CEBC}"/>
              </c:ext>
            </c:extLst>
          </c:dPt>
          <c:dPt>
            <c:idx val="6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B-B106-4142-BE23-5B37F030CEB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Pivot!$A$14:$A$18</c:f>
              <c:multiLvlStrCache>
                <c:ptCount val="2"/>
                <c:lvl>
                  <c:pt idx="0">
                    <c:v>FTSE All-World USD (Acc)</c:v>
                  </c:pt>
                  <c:pt idx="1">
                    <c:v>(Leer)</c:v>
                  </c:pt>
                </c:lvl>
                <c:lvl>
                  <c:pt idx="0">
                    <c:v>FUND</c:v>
                  </c:pt>
                  <c:pt idx="1">
                    <c:v>(Leer)</c:v>
                  </c:pt>
                </c:lvl>
              </c:multiLvlStrCache>
            </c:multiLvlStrRef>
          </c:cat>
          <c:val>
            <c:numRef>
              <c:f>Pivot!$B$14:$B$18</c:f>
              <c:numCache>
                <c:formatCode>_("€"* #,##0.00_);_("€"* \(#,##0.00\);_("€"* "-"??_);_(@_)</c:formatCode>
                <c:ptCount val="2"/>
                <c:pt idx="0">
                  <c:v>434.49451110000012</c:v>
                </c:pt>
              </c:numCache>
            </c:numRef>
          </c:val>
          <c:extLst>
            <c:ext xmlns:c16="http://schemas.microsoft.com/office/drawing/2014/chart" uri="{C3380CC4-5D6E-409C-BE32-E72D297353CC}">
              <c16:uniqueId val="{0000007C-B106-4142-BE23-5B37F030CEBC}"/>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[Portfolio_Profi_Analyse_B - Klever.xlsx]Pivot!PivotTable5</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Pivot!$B$3</c:f>
              <c:strCache>
                <c:ptCount val="1"/>
                <c:pt idx="0">
                  <c:v>Einkaufswert</c:v>
                </c:pt>
              </c:strCache>
            </c:strRef>
          </c:tx>
          <c:spPr>
            <a:solidFill>
              <a:schemeClr val="accent1"/>
            </a:solidFill>
            <a:ln>
              <a:noFill/>
            </a:ln>
            <a:effectLst/>
            <a:sp3d/>
          </c:spPr>
          <c:invertIfNegative val="0"/>
          <c:cat>
            <c:strRef>
              <c:f>Pivot!$A$4:$A$6</c:f>
              <c:strCache>
                <c:ptCount val="2"/>
                <c:pt idx="0">
                  <c:v>FUND</c:v>
                </c:pt>
                <c:pt idx="1">
                  <c:v>(Leer)</c:v>
                </c:pt>
              </c:strCache>
            </c:strRef>
          </c:cat>
          <c:val>
            <c:numRef>
              <c:f>Pivot!$B$4:$B$6</c:f>
              <c:numCache>
                <c:formatCode>_("€"* #,##0.00_);_("€"* \(#,##0.00\);_("€"* "-"??_);_(@_)</c:formatCode>
                <c:ptCount val="2"/>
                <c:pt idx="0">
                  <c:v>404.9804206500001</c:v>
                </c:pt>
              </c:numCache>
            </c:numRef>
          </c:val>
          <c:extLst>
            <c:ext xmlns:c16="http://schemas.microsoft.com/office/drawing/2014/chart" uri="{C3380CC4-5D6E-409C-BE32-E72D297353CC}">
              <c16:uniqueId val="{00000000-4563-4BB0-988F-946FB36922EA}"/>
            </c:ext>
          </c:extLst>
        </c:ser>
        <c:ser>
          <c:idx val="1"/>
          <c:order val="1"/>
          <c:tx>
            <c:strRef>
              <c:f>Pivot!$C$3</c:f>
              <c:strCache>
                <c:ptCount val="1"/>
                <c:pt idx="0">
                  <c:v>Aktueller Wert</c:v>
                </c:pt>
              </c:strCache>
            </c:strRef>
          </c:tx>
          <c:spPr>
            <a:solidFill>
              <a:schemeClr val="accent2"/>
            </a:solidFill>
            <a:ln>
              <a:noFill/>
            </a:ln>
            <a:effectLst/>
            <a:sp3d/>
          </c:spPr>
          <c:invertIfNegative val="0"/>
          <c:cat>
            <c:strRef>
              <c:f>Pivot!$A$4:$A$6</c:f>
              <c:strCache>
                <c:ptCount val="2"/>
                <c:pt idx="0">
                  <c:v>FUND</c:v>
                </c:pt>
                <c:pt idx="1">
                  <c:v>(Leer)</c:v>
                </c:pt>
              </c:strCache>
            </c:strRef>
          </c:cat>
          <c:val>
            <c:numRef>
              <c:f>Pivot!$C$4:$C$6</c:f>
              <c:numCache>
                <c:formatCode>_("€"* #,##0.00_);_("€"* \(#,##0.00\);_("€"* "-"??_);_(@_)</c:formatCode>
                <c:ptCount val="2"/>
                <c:pt idx="0">
                  <c:v>434.49451110000012</c:v>
                </c:pt>
              </c:numCache>
            </c:numRef>
          </c:val>
          <c:extLst>
            <c:ext xmlns:c16="http://schemas.microsoft.com/office/drawing/2014/chart" uri="{C3380CC4-5D6E-409C-BE32-E72D297353CC}">
              <c16:uniqueId val="{00000001-4563-4BB0-988F-946FB36922EA}"/>
            </c:ext>
          </c:extLst>
        </c:ser>
        <c:dLbls>
          <c:showLegendKey val="0"/>
          <c:showVal val="0"/>
          <c:showCatName val="0"/>
          <c:showSerName val="0"/>
          <c:showPercent val="0"/>
          <c:showBubbleSize val="0"/>
        </c:dLbls>
        <c:gapWidth val="150"/>
        <c:shape val="box"/>
        <c:axId val="1802496351"/>
        <c:axId val="1954608"/>
        <c:axId val="0"/>
      </c:bar3DChart>
      <c:catAx>
        <c:axId val="18024963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954608"/>
        <c:crosses val="autoZero"/>
        <c:auto val="1"/>
        <c:lblAlgn val="ctr"/>
        <c:lblOffset val="100"/>
        <c:noMultiLvlLbl val="0"/>
      </c:catAx>
      <c:valAx>
        <c:axId val="195460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80249635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de-DE"/>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[Portfolio_Profi_Analyse_B - Klever.xlsx]Pivot!PivotTable10</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Pivot!$F$13</c:f>
              <c:strCache>
                <c:ptCount val="1"/>
                <c:pt idx="0">
                  <c:v>Ergebnis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1D5-4739-B812-0A23089317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1D5-4739-B812-0A230893178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1D5-4739-B812-0A230893178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1D5-4739-B812-0A230893178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de-DE"/>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Pivot!$E$14:$E$16</c:f>
              <c:strCache>
                <c:ptCount val="2"/>
                <c:pt idx="0">
                  <c:v>FUND</c:v>
                </c:pt>
                <c:pt idx="1">
                  <c:v>(Leer)</c:v>
                </c:pt>
              </c:strCache>
            </c:strRef>
          </c:cat>
          <c:val>
            <c:numRef>
              <c:f>Pivot!$F$14:$F$16</c:f>
              <c:numCache>
                <c:formatCode>_("€"* #,##0.00_);_("€"* \(#,##0.00\);_("€"* "-"??_);_(@_)</c:formatCode>
                <c:ptCount val="2"/>
                <c:pt idx="0">
                  <c:v>434.49451110000012</c:v>
                </c:pt>
              </c:numCache>
            </c:numRef>
          </c:val>
          <c:extLst>
            <c:ext xmlns:c16="http://schemas.microsoft.com/office/drawing/2014/chart" uri="{C3380CC4-5D6E-409C-BE32-E72D297353CC}">
              <c16:uniqueId val="{00000008-91D5-4739-B812-0A230893178A}"/>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userShapes r:id="rId3"/>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27</xdr:col>
      <xdr:colOff>171449</xdr:colOff>
      <xdr:row>7</xdr:row>
      <xdr:rowOff>9525</xdr:rowOff>
    </xdr:to>
    <xdr:sp macro="" textlink="">
      <xdr:nvSpPr>
        <xdr:cNvPr id="5" name="Rechteck 4">
          <a:extLst>
            <a:ext uri="{FF2B5EF4-FFF2-40B4-BE49-F238E27FC236}">
              <a16:creationId xmlns:a16="http://schemas.microsoft.com/office/drawing/2014/main" id="{5BA5FD27-17C5-3F05-7659-081C53BF9FA6}"/>
            </a:ext>
          </a:extLst>
        </xdr:cNvPr>
        <xdr:cNvSpPr/>
      </xdr:nvSpPr>
      <xdr:spPr>
        <a:xfrm>
          <a:off x="0" y="0"/>
          <a:ext cx="24545924" cy="1343025"/>
        </a:xfrm>
        <a:prstGeom prst="rect">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l"/>
          <a:r>
            <a:rPr lang="de-DE" sz="4800" b="1">
              <a:ln>
                <a:noFill/>
              </a:ln>
              <a:solidFill>
                <a:schemeClr val="bg2"/>
              </a:solidFill>
              <a:latin typeface="Times New Roman" panose="02020603050405020304" pitchFamily="18" charset="0"/>
              <a:cs typeface="Times New Roman" panose="02020603050405020304" pitchFamily="18" charset="0"/>
            </a:rPr>
            <a:t>Aktien-Portfolio</a:t>
          </a:r>
        </a:p>
      </xdr:txBody>
    </xdr:sp>
    <xdr:clientData/>
  </xdr:twoCellAnchor>
  <xdr:twoCellAnchor>
    <xdr:from>
      <xdr:col>5</xdr:col>
      <xdr:colOff>733425</xdr:colOff>
      <xdr:row>8</xdr:row>
      <xdr:rowOff>19049</xdr:rowOff>
    </xdr:from>
    <xdr:to>
      <xdr:col>18</xdr:col>
      <xdr:colOff>590550</xdr:colOff>
      <xdr:row>51</xdr:row>
      <xdr:rowOff>66674</xdr:rowOff>
    </xdr:to>
    <xdr:graphicFrame macro="">
      <xdr:nvGraphicFramePr>
        <xdr:cNvPr id="6" name="Diagramm 5">
          <a:extLst>
            <a:ext uri="{FF2B5EF4-FFF2-40B4-BE49-F238E27FC236}">
              <a16:creationId xmlns:a16="http://schemas.microsoft.com/office/drawing/2014/main" id="{F4A05941-4F01-48CF-8A2C-F06ECD34D0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361950</xdr:colOff>
      <xdr:row>52</xdr:row>
      <xdr:rowOff>9524</xdr:rowOff>
    </xdr:from>
    <xdr:to>
      <xdr:col>18</xdr:col>
      <xdr:colOff>457200</xdr:colOff>
      <xdr:row>79</xdr:row>
      <xdr:rowOff>57149</xdr:rowOff>
    </xdr:to>
    <xdr:graphicFrame macro="">
      <xdr:nvGraphicFramePr>
        <xdr:cNvPr id="7" name="Diagramm 6">
          <a:extLst>
            <a:ext uri="{FF2B5EF4-FFF2-40B4-BE49-F238E27FC236}">
              <a16:creationId xmlns:a16="http://schemas.microsoft.com/office/drawing/2014/main" id="{D0EAAE2A-B877-473A-9204-4E68F94077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628649</xdr:colOff>
      <xdr:row>8</xdr:row>
      <xdr:rowOff>57150</xdr:rowOff>
    </xdr:from>
    <xdr:to>
      <xdr:col>27</xdr:col>
      <xdr:colOff>390524</xdr:colOff>
      <xdr:row>47</xdr:row>
      <xdr:rowOff>171450</xdr:rowOff>
    </xdr:to>
    <xdr:graphicFrame macro="">
      <xdr:nvGraphicFramePr>
        <xdr:cNvPr id="10" name="Diagramm 9">
          <a:extLst>
            <a:ext uri="{FF2B5EF4-FFF2-40B4-BE49-F238E27FC236}">
              <a16:creationId xmlns:a16="http://schemas.microsoft.com/office/drawing/2014/main" id="{DBFF8660-4E9B-449D-849C-E34D3C9EA4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1085850</xdr:colOff>
      <xdr:row>0</xdr:row>
      <xdr:rowOff>161925</xdr:rowOff>
    </xdr:from>
    <xdr:to>
      <xdr:col>5</xdr:col>
      <xdr:colOff>409575</xdr:colOff>
      <xdr:row>3</xdr:row>
      <xdr:rowOff>95250</xdr:rowOff>
    </xdr:to>
    <xdr:sp macro="" textlink="">
      <xdr:nvSpPr>
        <xdr:cNvPr id="11" name="Rechteck 10">
          <a:extLst>
            <a:ext uri="{FF2B5EF4-FFF2-40B4-BE49-F238E27FC236}">
              <a16:creationId xmlns:a16="http://schemas.microsoft.com/office/drawing/2014/main" id="{A2452A51-EC96-45F0-B6F2-3EAE46BC1636}"/>
            </a:ext>
          </a:extLst>
        </xdr:cNvPr>
        <xdr:cNvSpPr/>
      </xdr:nvSpPr>
      <xdr:spPr>
        <a:xfrm>
          <a:off x="5238750" y="161925"/>
          <a:ext cx="2781300" cy="504825"/>
        </a:xfrm>
        <a:prstGeom prst="rect">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de-DE" sz="1600" b="1">
              <a:ln>
                <a:noFill/>
              </a:ln>
              <a:solidFill>
                <a:schemeClr val="bg2"/>
              </a:solidFill>
              <a:latin typeface="Times New Roman" panose="02020603050405020304" pitchFamily="18" charset="0"/>
              <a:cs typeface="Times New Roman" panose="02020603050405020304" pitchFamily="18" charset="0"/>
            </a:rPr>
            <a:t>Einkaufswert</a:t>
          </a:r>
        </a:p>
      </xdr:txBody>
    </xdr:sp>
    <xdr:clientData/>
  </xdr:twoCellAnchor>
  <xdr:twoCellAnchor>
    <xdr:from>
      <xdr:col>5</xdr:col>
      <xdr:colOff>152400</xdr:colOff>
      <xdr:row>0</xdr:row>
      <xdr:rowOff>161925</xdr:rowOff>
    </xdr:from>
    <xdr:to>
      <xdr:col>8</xdr:col>
      <xdr:colOff>647700</xdr:colOff>
      <xdr:row>3</xdr:row>
      <xdr:rowOff>47625</xdr:rowOff>
    </xdr:to>
    <xdr:sp macro="" textlink="">
      <xdr:nvSpPr>
        <xdr:cNvPr id="12" name="Rechteck 11">
          <a:extLst>
            <a:ext uri="{FF2B5EF4-FFF2-40B4-BE49-F238E27FC236}">
              <a16:creationId xmlns:a16="http://schemas.microsoft.com/office/drawing/2014/main" id="{D1654ECB-D746-47C9-A9FC-5DD38F9CCA37}"/>
            </a:ext>
          </a:extLst>
        </xdr:cNvPr>
        <xdr:cNvSpPr/>
      </xdr:nvSpPr>
      <xdr:spPr>
        <a:xfrm>
          <a:off x="7762875" y="161925"/>
          <a:ext cx="2781300" cy="457200"/>
        </a:xfrm>
        <a:prstGeom prst="rect">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de-DE" sz="1600" b="1">
              <a:ln>
                <a:noFill/>
              </a:ln>
              <a:solidFill>
                <a:schemeClr val="bg2"/>
              </a:solidFill>
              <a:latin typeface="Times New Roman" panose="02020603050405020304" pitchFamily="18" charset="0"/>
              <a:cs typeface="Times New Roman" panose="02020603050405020304" pitchFamily="18" charset="0"/>
            </a:rPr>
            <a:t>Aktueller Wert</a:t>
          </a: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390525</xdr:colOff>
      <xdr:row>0</xdr:row>
      <xdr:rowOff>161925</xdr:rowOff>
    </xdr:from>
    <xdr:to>
      <xdr:col>12</xdr:col>
      <xdr:colOff>123825</xdr:colOff>
      <xdr:row>3</xdr:row>
      <xdr:rowOff>47625</xdr:rowOff>
    </xdr:to>
    <xdr:sp macro="" textlink="">
      <xdr:nvSpPr>
        <xdr:cNvPr id="13" name="Rechteck 12">
          <a:extLst>
            <a:ext uri="{FF2B5EF4-FFF2-40B4-BE49-F238E27FC236}">
              <a16:creationId xmlns:a16="http://schemas.microsoft.com/office/drawing/2014/main" id="{FDC5B0AB-AC01-4FDE-A8BC-B02985D9754B}"/>
            </a:ext>
          </a:extLst>
        </xdr:cNvPr>
        <xdr:cNvSpPr/>
      </xdr:nvSpPr>
      <xdr:spPr>
        <a:xfrm>
          <a:off x="10287000" y="161925"/>
          <a:ext cx="2781300" cy="457200"/>
        </a:xfrm>
        <a:prstGeom prst="rect">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de-DE" sz="1600" b="1">
              <a:ln>
                <a:noFill/>
              </a:ln>
              <a:solidFill>
                <a:schemeClr val="bg2"/>
              </a:solidFill>
              <a:latin typeface="Times New Roman" panose="02020603050405020304" pitchFamily="18" charset="0"/>
              <a:cs typeface="Times New Roman" panose="02020603050405020304" pitchFamily="18" charset="0"/>
            </a:rPr>
            <a:t>Gewinn/Verlust</a:t>
          </a: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1038225</xdr:colOff>
      <xdr:row>2</xdr:row>
      <xdr:rowOff>161925</xdr:rowOff>
    </xdr:from>
    <xdr:to>
      <xdr:col>5</xdr:col>
      <xdr:colOff>361950</xdr:colOff>
      <xdr:row>5</xdr:row>
      <xdr:rowOff>95250</xdr:rowOff>
    </xdr:to>
    <xdr:sp macro="" textlink="Pivot!J6">
      <xdr:nvSpPr>
        <xdr:cNvPr id="21" name="Rechteck 20">
          <a:extLst>
            <a:ext uri="{FF2B5EF4-FFF2-40B4-BE49-F238E27FC236}">
              <a16:creationId xmlns:a16="http://schemas.microsoft.com/office/drawing/2014/main" id="{4E737B0B-42A4-41E2-869A-C55CC9C88075}"/>
            </a:ext>
          </a:extLst>
        </xdr:cNvPr>
        <xdr:cNvSpPr/>
      </xdr:nvSpPr>
      <xdr:spPr>
        <a:xfrm>
          <a:off x="5191125" y="542925"/>
          <a:ext cx="2781300" cy="504825"/>
        </a:xfrm>
        <a:prstGeom prst="rect">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fld id="{6EA67862-88BB-405B-B71B-B57BE74D3CF1}" type="TxLink">
            <a:rPr lang="en-US" sz="1800" b="0" i="0" u="none" strike="noStrike">
              <a:ln>
                <a:noFill/>
              </a:ln>
              <a:solidFill>
                <a:schemeClr val="bg1"/>
              </a:solidFill>
              <a:latin typeface="Calibri"/>
              <a:ea typeface="Calibri"/>
              <a:cs typeface="Calibri"/>
            </a:rPr>
            <a:pPr algn="ctr"/>
            <a:t> 404,98 € </a:t>
          </a:fld>
          <a:endParaRPr lang="de-DE" sz="2800" b="1">
            <a:ln>
              <a:noFill/>
            </a:ln>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101600</xdr:colOff>
      <xdr:row>2</xdr:row>
      <xdr:rowOff>161925</xdr:rowOff>
    </xdr:from>
    <xdr:to>
      <xdr:col>8</xdr:col>
      <xdr:colOff>596900</xdr:colOff>
      <xdr:row>5</xdr:row>
      <xdr:rowOff>47625</xdr:rowOff>
    </xdr:to>
    <xdr:sp macro="" textlink="Pivot!G6">
      <xdr:nvSpPr>
        <xdr:cNvPr id="22" name="Rechteck 21">
          <a:extLst>
            <a:ext uri="{FF2B5EF4-FFF2-40B4-BE49-F238E27FC236}">
              <a16:creationId xmlns:a16="http://schemas.microsoft.com/office/drawing/2014/main" id="{4F40A7D9-3142-4EA0-9F59-1BB20506CB32}"/>
            </a:ext>
          </a:extLst>
        </xdr:cNvPr>
        <xdr:cNvSpPr/>
      </xdr:nvSpPr>
      <xdr:spPr>
        <a:xfrm>
          <a:off x="7712075" y="542925"/>
          <a:ext cx="2781300" cy="457200"/>
        </a:xfrm>
        <a:prstGeom prst="rect">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fld id="{A19CB3FF-4B09-4008-B0D9-B8EA99EA513D}" type="TxLink">
            <a:rPr lang="en-US" sz="1800" b="0" i="0" u="none" strike="noStrike">
              <a:ln>
                <a:noFill/>
              </a:ln>
              <a:solidFill>
                <a:schemeClr val="bg1"/>
              </a:solidFill>
              <a:latin typeface="Calibri"/>
              <a:ea typeface="Calibri"/>
              <a:cs typeface="Calibri"/>
            </a:rPr>
            <a:pPr algn="ctr"/>
            <a:t> 434,49 € </a:t>
          </a:fld>
          <a:endParaRPr lang="de-DE" sz="2800" b="1">
            <a:ln>
              <a:noFill/>
            </a:ln>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336550</xdr:colOff>
      <xdr:row>2</xdr:row>
      <xdr:rowOff>161925</xdr:rowOff>
    </xdr:from>
    <xdr:to>
      <xdr:col>12</xdr:col>
      <xdr:colOff>69850</xdr:colOff>
      <xdr:row>5</xdr:row>
      <xdr:rowOff>47625</xdr:rowOff>
    </xdr:to>
    <xdr:sp macro="" textlink="Pivot!I6">
      <xdr:nvSpPr>
        <xdr:cNvPr id="24" name="Rechteck 23">
          <a:extLst>
            <a:ext uri="{FF2B5EF4-FFF2-40B4-BE49-F238E27FC236}">
              <a16:creationId xmlns:a16="http://schemas.microsoft.com/office/drawing/2014/main" id="{C7B07C71-80E5-4CF1-B074-7DB9A2C8D131}"/>
            </a:ext>
          </a:extLst>
        </xdr:cNvPr>
        <xdr:cNvSpPr/>
      </xdr:nvSpPr>
      <xdr:spPr>
        <a:xfrm>
          <a:off x="10233025" y="542925"/>
          <a:ext cx="2781300" cy="457200"/>
        </a:xfrm>
        <a:prstGeom prst="rect">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fld id="{88856ACA-3FC3-4CD5-80A7-986A097C7E32}" type="TxLink">
            <a:rPr lang="en-US" sz="1800" b="0" i="0" u="none" strike="noStrike">
              <a:ln>
                <a:noFill/>
              </a:ln>
              <a:solidFill>
                <a:schemeClr val="bg1"/>
              </a:solidFill>
              <a:latin typeface="Calibri"/>
              <a:ea typeface="Calibri"/>
              <a:cs typeface="Calibri"/>
            </a:rPr>
            <a:pPr algn="ctr"/>
            <a:t> 29,51 € </a:t>
          </a:fld>
          <a:endParaRPr lang="de-DE" sz="2800" b="1">
            <a:ln>
              <a:noFill/>
            </a:ln>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628650</xdr:colOff>
      <xdr:row>0</xdr:row>
      <xdr:rowOff>161925</xdr:rowOff>
    </xdr:from>
    <xdr:to>
      <xdr:col>15</xdr:col>
      <xdr:colOff>361950</xdr:colOff>
      <xdr:row>3</xdr:row>
      <xdr:rowOff>47625</xdr:rowOff>
    </xdr:to>
    <xdr:sp macro="" textlink="">
      <xdr:nvSpPr>
        <xdr:cNvPr id="3" name="Rechteck 2">
          <a:extLst>
            <a:ext uri="{FF2B5EF4-FFF2-40B4-BE49-F238E27FC236}">
              <a16:creationId xmlns:a16="http://schemas.microsoft.com/office/drawing/2014/main" id="{C914F4BD-5783-477C-A83C-AFAB7527EE0C}"/>
            </a:ext>
          </a:extLst>
        </xdr:cNvPr>
        <xdr:cNvSpPr/>
      </xdr:nvSpPr>
      <xdr:spPr>
        <a:xfrm>
          <a:off x="12811125" y="161925"/>
          <a:ext cx="2781300" cy="457200"/>
        </a:xfrm>
        <a:prstGeom prst="rect">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de-DE" sz="1600" b="1">
              <a:ln>
                <a:noFill/>
              </a:ln>
              <a:solidFill>
                <a:schemeClr val="bg2"/>
              </a:solidFill>
              <a:latin typeface="Times New Roman" panose="02020603050405020304" pitchFamily="18" charset="0"/>
              <a:cs typeface="Times New Roman" panose="02020603050405020304" pitchFamily="18" charset="0"/>
            </a:rPr>
            <a:t>Verkaufserlöse</a:t>
          </a: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xdr:txBody>
    </xdr:sp>
    <xdr:clientData/>
  </xdr:twoCellAnchor>
  <xdr:twoCellAnchor>
    <xdr:from>
      <xdr:col>15</xdr:col>
      <xdr:colOff>104775</xdr:colOff>
      <xdr:row>0</xdr:row>
      <xdr:rowOff>133350</xdr:rowOff>
    </xdr:from>
    <xdr:to>
      <xdr:col>18</xdr:col>
      <xdr:colOff>600075</xdr:colOff>
      <xdr:row>3</xdr:row>
      <xdr:rowOff>19050</xdr:rowOff>
    </xdr:to>
    <xdr:sp macro="" textlink="">
      <xdr:nvSpPr>
        <xdr:cNvPr id="14" name="Rechteck 13">
          <a:extLst>
            <a:ext uri="{FF2B5EF4-FFF2-40B4-BE49-F238E27FC236}">
              <a16:creationId xmlns:a16="http://schemas.microsoft.com/office/drawing/2014/main" id="{BDA1536F-575C-4C9E-83EE-7C05DBD199B2}"/>
            </a:ext>
          </a:extLst>
        </xdr:cNvPr>
        <xdr:cNvSpPr/>
      </xdr:nvSpPr>
      <xdr:spPr>
        <a:xfrm>
          <a:off x="15335250" y="133350"/>
          <a:ext cx="2781300" cy="457200"/>
        </a:xfrm>
        <a:prstGeom prst="rect">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de-DE" sz="1600" b="1">
              <a:ln>
                <a:noFill/>
              </a:ln>
              <a:solidFill>
                <a:schemeClr val="bg2"/>
              </a:solidFill>
              <a:latin typeface="Times New Roman" panose="02020603050405020304" pitchFamily="18" charset="0"/>
              <a:cs typeface="Times New Roman" panose="02020603050405020304" pitchFamily="18" charset="0"/>
            </a:rPr>
            <a:t>Performance</a:t>
          </a: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xdr:txBody>
    </xdr:sp>
    <xdr:clientData/>
  </xdr:twoCellAnchor>
  <xdr:twoCellAnchor>
    <xdr:from>
      <xdr:col>18</xdr:col>
      <xdr:colOff>342900</xdr:colOff>
      <xdr:row>0</xdr:row>
      <xdr:rowOff>123825</xdr:rowOff>
    </xdr:from>
    <xdr:to>
      <xdr:col>22</xdr:col>
      <xdr:colOff>76200</xdr:colOff>
      <xdr:row>3</xdr:row>
      <xdr:rowOff>9525</xdr:rowOff>
    </xdr:to>
    <xdr:sp macro="" textlink="">
      <xdr:nvSpPr>
        <xdr:cNvPr id="15" name="Rechteck 14">
          <a:extLst>
            <a:ext uri="{FF2B5EF4-FFF2-40B4-BE49-F238E27FC236}">
              <a16:creationId xmlns:a16="http://schemas.microsoft.com/office/drawing/2014/main" id="{E5D4F733-FDAD-420B-95CB-92DBAF5CB56D}"/>
            </a:ext>
          </a:extLst>
        </xdr:cNvPr>
        <xdr:cNvSpPr/>
      </xdr:nvSpPr>
      <xdr:spPr>
        <a:xfrm>
          <a:off x="17859375" y="123825"/>
          <a:ext cx="2781300" cy="457200"/>
        </a:xfrm>
        <a:prstGeom prst="rect">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de-DE" sz="1600" b="1">
              <a:ln>
                <a:noFill/>
              </a:ln>
              <a:solidFill>
                <a:schemeClr val="bg2"/>
              </a:solidFill>
              <a:latin typeface="Times New Roman" panose="02020603050405020304" pitchFamily="18" charset="0"/>
              <a:cs typeface="Times New Roman" panose="02020603050405020304" pitchFamily="18" charset="0"/>
            </a:rPr>
            <a:t>Performance StocksFunds</a:t>
          </a: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xdr:txBody>
    </xdr:sp>
    <xdr:clientData/>
  </xdr:twoCellAnchor>
  <xdr:twoCellAnchor>
    <xdr:from>
      <xdr:col>21</xdr:col>
      <xdr:colOff>581025</xdr:colOff>
      <xdr:row>0</xdr:row>
      <xdr:rowOff>114300</xdr:rowOff>
    </xdr:from>
    <xdr:to>
      <xdr:col>25</xdr:col>
      <xdr:colOff>314325</xdr:colOff>
      <xdr:row>3</xdr:row>
      <xdr:rowOff>0</xdr:rowOff>
    </xdr:to>
    <xdr:sp macro="" textlink="">
      <xdr:nvSpPr>
        <xdr:cNvPr id="16" name="Rechteck 15">
          <a:extLst>
            <a:ext uri="{FF2B5EF4-FFF2-40B4-BE49-F238E27FC236}">
              <a16:creationId xmlns:a16="http://schemas.microsoft.com/office/drawing/2014/main" id="{1828B63B-0128-4904-90F1-260D3AE4B5D5}"/>
            </a:ext>
          </a:extLst>
        </xdr:cNvPr>
        <xdr:cNvSpPr/>
      </xdr:nvSpPr>
      <xdr:spPr>
        <a:xfrm>
          <a:off x="20383500" y="114300"/>
          <a:ext cx="2781300" cy="457200"/>
        </a:xfrm>
        <a:prstGeom prst="rect">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de-DE" sz="1600" b="1">
              <a:ln>
                <a:noFill/>
              </a:ln>
              <a:solidFill>
                <a:schemeClr val="bg2"/>
              </a:solidFill>
              <a:latin typeface="Times New Roman" panose="02020603050405020304" pitchFamily="18" charset="0"/>
              <a:cs typeface="Times New Roman" panose="02020603050405020304" pitchFamily="18" charset="0"/>
            </a:rPr>
            <a:t>Performance Crypto</a:t>
          </a: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571500</xdr:colOff>
      <xdr:row>2</xdr:row>
      <xdr:rowOff>161925</xdr:rowOff>
    </xdr:from>
    <xdr:to>
      <xdr:col>15</xdr:col>
      <xdr:colOff>304800</xdr:colOff>
      <xdr:row>5</xdr:row>
      <xdr:rowOff>47625</xdr:rowOff>
    </xdr:to>
    <xdr:sp macro="" textlink="Pivot!L6">
      <xdr:nvSpPr>
        <xdr:cNvPr id="17" name="Rechteck 16">
          <a:extLst>
            <a:ext uri="{FF2B5EF4-FFF2-40B4-BE49-F238E27FC236}">
              <a16:creationId xmlns:a16="http://schemas.microsoft.com/office/drawing/2014/main" id="{BCF4DC8A-BD68-4FF1-A756-88D4B9FAB4EB}"/>
            </a:ext>
          </a:extLst>
        </xdr:cNvPr>
        <xdr:cNvSpPr/>
      </xdr:nvSpPr>
      <xdr:spPr>
        <a:xfrm>
          <a:off x="12753975" y="542925"/>
          <a:ext cx="2781300" cy="457200"/>
        </a:xfrm>
        <a:prstGeom prst="rect">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fld id="{940C09A8-7F84-463D-B24C-707475E4B71D}" type="TxLink">
            <a:rPr lang="en-US" sz="1800" b="0" i="0" u="none" strike="noStrike">
              <a:ln>
                <a:noFill/>
              </a:ln>
              <a:solidFill>
                <a:schemeClr val="bg2"/>
              </a:solidFill>
              <a:latin typeface="Calibri"/>
              <a:ea typeface="Calibri"/>
              <a:cs typeface="Calibri"/>
            </a:rPr>
            <a:pPr algn="ctr"/>
            <a:t> -   € </a:t>
          </a:fld>
          <a:endParaRPr lang="de-DE" sz="1800" b="1">
            <a:ln>
              <a:noFill/>
            </a:ln>
            <a:solidFill>
              <a:schemeClr val="bg2"/>
            </a:solidFill>
            <a:latin typeface="Times New Roman" panose="02020603050405020304" pitchFamily="18" charset="0"/>
            <a:cs typeface="Times New Roman" panose="02020603050405020304" pitchFamily="18" charset="0"/>
          </a:endParaRPr>
        </a:p>
      </xdr:txBody>
    </xdr:sp>
    <xdr:clientData/>
  </xdr:twoCellAnchor>
  <xdr:twoCellAnchor>
    <xdr:from>
      <xdr:col>15</xdr:col>
      <xdr:colOff>44450</xdr:colOff>
      <xdr:row>2</xdr:row>
      <xdr:rowOff>161925</xdr:rowOff>
    </xdr:from>
    <xdr:to>
      <xdr:col>18</xdr:col>
      <xdr:colOff>539750</xdr:colOff>
      <xdr:row>5</xdr:row>
      <xdr:rowOff>47625</xdr:rowOff>
    </xdr:to>
    <xdr:sp macro="" textlink="Dashboard!B134">
      <xdr:nvSpPr>
        <xdr:cNvPr id="18" name="Rechteck 17">
          <a:extLst>
            <a:ext uri="{FF2B5EF4-FFF2-40B4-BE49-F238E27FC236}">
              <a16:creationId xmlns:a16="http://schemas.microsoft.com/office/drawing/2014/main" id="{4929AE2B-018C-4171-9D9C-A3E43D3A6AF8}"/>
            </a:ext>
          </a:extLst>
        </xdr:cNvPr>
        <xdr:cNvSpPr/>
      </xdr:nvSpPr>
      <xdr:spPr>
        <a:xfrm>
          <a:off x="15274925" y="542925"/>
          <a:ext cx="2781300" cy="457200"/>
        </a:xfrm>
        <a:prstGeom prst="rect">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fld id="{FAB576F4-7559-4837-825F-BE07BAE89CF2}" type="TxLink">
            <a:rPr lang="en-US" sz="1800" b="0" i="0" u="none" strike="noStrike">
              <a:ln>
                <a:noFill/>
              </a:ln>
              <a:solidFill>
                <a:schemeClr val="bg2"/>
              </a:solidFill>
              <a:latin typeface="Times New Roman"/>
              <a:ea typeface="Calibri"/>
              <a:cs typeface="Times New Roman"/>
            </a:rPr>
            <a:pPr algn="ctr"/>
            <a:t>29,51 €</a:t>
          </a:fld>
          <a:endParaRPr lang="de-DE" sz="1800" b="1">
            <a:ln>
              <a:noFill/>
            </a:ln>
            <a:solidFill>
              <a:schemeClr val="bg2"/>
            </a:solidFill>
            <a:latin typeface="Times New Roman" panose="02020603050405020304" pitchFamily="18" charset="0"/>
            <a:cs typeface="Times New Roman" panose="02020603050405020304" pitchFamily="18" charset="0"/>
          </a:endParaRPr>
        </a:p>
      </xdr:txBody>
    </xdr:sp>
    <xdr:clientData/>
  </xdr:twoCellAnchor>
  <xdr:twoCellAnchor>
    <xdr:from>
      <xdr:col>18</xdr:col>
      <xdr:colOff>279400</xdr:colOff>
      <xdr:row>2</xdr:row>
      <xdr:rowOff>161925</xdr:rowOff>
    </xdr:from>
    <xdr:to>
      <xdr:col>22</xdr:col>
      <xdr:colOff>12700</xdr:colOff>
      <xdr:row>5</xdr:row>
      <xdr:rowOff>47625</xdr:rowOff>
    </xdr:to>
    <xdr:sp macro="" textlink="Dashboard!B135">
      <xdr:nvSpPr>
        <xdr:cNvPr id="19" name="Rechteck 18">
          <a:extLst>
            <a:ext uri="{FF2B5EF4-FFF2-40B4-BE49-F238E27FC236}">
              <a16:creationId xmlns:a16="http://schemas.microsoft.com/office/drawing/2014/main" id="{F988B82A-4110-4568-A4FF-BAF0C9500495}"/>
            </a:ext>
          </a:extLst>
        </xdr:cNvPr>
        <xdr:cNvSpPr/>
      </xdr:nvSpPr>
      <xdr:spPr>
        <a:xfrm>
          <a:off x="17795875" y="542925"/>
          <a:ext cx="2781300" cy="457200"/>
        </a:xfrm>
        <a:prstGeom prst="rect">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fld id="{6EABED75-83A3-47A1-8BF2-105157BCCE53}" type="TxLink">
            <a:rPr lang="en-US" sz="1800" b="0" i="0" u="none" strike="noStrike">
              <a:ln>
                <a:noFill/>
              </a:ln>
              <a:solidFill>
                <a:schemeClr val="bg2"/>
              </a:solidFill>
              <a:latin typeface="Times New Roman"/>
              <a:ea typeface="Calibri"/>
              <a:cs typeface="Times New Roman"/>
            </a:rPr>
            <a:pPr algn="ctr"/>
            <a:t>29,51 €</a:t>
          </a:fld>
          <a:endParaRPr lang="de-DE" sz="1800" b="1">
            <a:ln>
              <a:noFill/>
            </a:ln>
            <a:solidFill>
              <a:schemeClr val="bg2"/>
            </a:solidFill>
            <a:latin typeface="Times New Roman" panose="02020603050405020304" pitchFamily="18" charset="0"/>
            <a:cs typeface="Times New Roman" panose="02020603050405020304" pitchFamily="18" charset="0"/>
          </a:endParaRPr>
        </a:p>
      </xdr:txBody>
    </xdr:sp>
    <xdr:clientData/>
  </xdr:twoCellAnchor>
  <xdr:twoCellAnchor>
    <xdr:from>
      <xdr:col>21</xdr:col>
      <xdr:colOff>514350</xdr:colOff>
      <xdr:row>2</xdr:row>
      <xdr:rowOff>161925</xdr:rowOff>
    </xdr:from>
    <xdr:to>
      <xdr:col>25</xdr:col>
      <xdr:colOff>247650</xdr:colOff>
      <xdr:row>5</xdr:row>
      <xdr:rowOff>47625</xdr:rowOff>
    </xdr:to>
    <xdr:sp macro="" textlink="Dashboard!B136">
      <xdr:nvSpPr>
        <xdr:cNvPr id="20" name="Rechteck 19">
          <a:extLst>
            <a:ext uri="{FF2B5EF4-FFF2-40B4-BE49-F238E27FC236}">
              <a16:creationId xmlns:a16="http://schemas.microsoft.com/office/drawing/2014/main" id="{10D2E417-E9C6-4159-9286-33F114C393CA}"/>
            </a:ext>
          </a:extLst>
        </xdr:cNvPr>
        <xdr:cNvSpPr/>
      </xdr:nvSpPr>
      <xdr:spPr>
        <a:xfrm>
          <a:off x="20316825" y="542925"/>
          <a:ext cx="2781300" cy="457200"/>
        </a:xfrm>
        <a:prstGeom prst="rect">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fld id="{D3C6D288-7C96-482B-AE1A-AC3CFCD0A655}" type="TxLink">
            <a:rPr lang="en-US" sz="1800" b="0" i="0" u="none" strike="noStrike">
              <a:ln>
                <a:noFill/>
              </a:ln>
              <a:solidFill>
                <a:schemeClr val="bg2"/>
              </a:solidFill>
              <a:latin typeface="Times New Roman"/>
              <a:ea typeface="Calibri"/>
              <a:cs typeface="Times New Roman"/>
            </a:rPr>
            <a:pPr algn="ctr"/>
            <a:t>0,00 €</a:t>
          </a:fld>
          <a:endParaRPr lang="de-DE" sz="1800" b="1">
            <a:ln>
              <a:noFill/>
            </a:ln>
            <a:solidFill>
              <a:schemeClr val="bg2"/>
            </a:solidFill>
            <a:latin typeface="Times New Roman" panose="02020603050405020304" pitchFamily="18" charset="0"/>
            <a:cs typeface="Times New Roman" panose="02020603050405020304" pitchFamily="18" charset="0"/>
          </a:endParaRPr>
        </a:p>
      </xdr:txBody>
    </xdr:sp>
    <xdr:clientData/>
  </xdr:twoCellAnchor>
  <xdr:twoCellAnchor editAs="oneCell">
    <xdr:from>
      <xdr:col>21</xdr:col>
      <xdr:colOff>285750</xdr:colOff>
      <xdr:row>53</xdr:row>
      <xdr:rowOff>95250</xdr:rowOff>
    </xdr:from>
    <xdr:to>
      <xdr:col>23</xdr:col>
      <xdr:colOff>590550</xdr:colOff>
      <xdr:row>66</xdr:row>
      <xdr:rowOff>142875</xdr:rowOff>
    </xdr:to>
    <mc:AlternateContent xmlns:mc="http://schemas.openxmlformats.org/markup-compatibility/2006" xmlns:a14="http://schemas.microsoft.com/office/drawing/2010/main">
      <mc:Choice Requires="a14">
        <xdr:graphicFrame macro="">
          <xdr:nvGraphicFramePr>
            <xdr:cNvPr id="23" name="Asset">
              <a:extLst>
                <a:ext uri="{FF2B5EF4-FFF2-40B4-BE49-F238E27FC236}">
                  <a16:creationId xmlns:a16="http://schemas.microsoft.com/office/drawing/2014/main" id="{0A072449-4084-BE34-4863-6A1B5663FB2D}"/>
                </a:ext>
              </a:extLst>
            </xdr:cNvPr>
            <xdr:cNvGraphicFramePr/>
          </xdr:nvGraphicFramePr>
          <xdr:xfrm>
            <a:off x="0" y="0"/>
            <a:ext cx="0" cy="0"/>
          </xdr:xfrm>
          <a:graphic>
            <a:graphicData uri="http://schemas.microsoft.com/office/drawing/2010/slicer">
              <sle:slicer xmlns:sle="http://schemas.microsoft.com/office/drawing/2010/slicer" name="Asset"/>
            </a:graphicData>
          </a:graphic>
        </xdr:graphicFrame>
      </mc:Choice>
      <mc:Fallback xmlns="">
        <xdr:sp macro="" textlink="">
          <xdr:nvSpPr>
            <xdr:cNvPr id="0" name=""/>
            <xdr:cNvSpPr>
              <a:spLocks noTextEdit="1"/>
            </xdr:cNvSpPr>
          </xdr:nvSpPr>
          <xdr:spPr>
            <a:xfrm>
              <a:off x="20088225" y="10191750"/>
              <a:ext cx="1828800" cy="2524125"/>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twoCellAnchor editAs="oneCell">
    <xdr:from>
      <xdr:col>24</xdr:col>
      <xdr:colOff>447675</xdr:colOff>
      <xdr:row>53</xdr:row>
      <xdr:rowOff>47625</xdr:rowOff>
    </xdr:from>
    <xdr:to>
      <xdr:col>26</xdr:col>
      <xdr:colOff>752475</xdr:colOff>
      <xdr:row>66</xdr:row>
      <xdr:rowOff>95250</xdr:rowOff>
    </xdr:to>
    <mc:AlternateContent xmlns:mc="http://schemas.openxmlformats.org/markup-compatibility/2006" xmlns:a14="http://schemas.microsoft.com/office/drawing/2010/main">
      <mc:Choice Requires="a14">
        <xdr:graphicFrame macro="">
          <xdr:nvGraphicFramePr>
            <xdr:cNvPr id="25" name="Klasse">
              <a:extLst>
                <a:ext uri="{FF2B5EF4-FFF2-40B4-BE49-F238E27FC236}">
                  <a16:creationId xmlns:a16="http://schemas.microsoft.com/office/drawing/2014/main" id="{CDFD2130-B411-DDA4-AE65-125ED94CD3D6}"/>
                </a:ext>
              </a:extLst>
            </xdr:cNvPr>
            <xdr:cNvGraphicFramePr/>
          </xdr:nvGraphicFramePr>
          <xdr:xfrm>
            <a:off x="0" y="0"/>
            <a:ext cx="0" cy="0"/>
          </xdr:xfrm>
          <a:graphic>
            <a:graphicData uri="http://schemas.microsoft.com/office/drawing/2010/slicer">
              <sle:slicer xmlns:sle="http://schemas.microsoft.com/office/drawing/2010/slicer" name="Klasse"/>
            </a:graphicData>
          </a:graphic>
        </xdr:graphicFrame>
      </mc:Choice>
      <mc:Fallback xmlns="">
        <xdr:sp macro="" textlink="">
          <xdr:nvSpPr>
            <xdr:cNvPr id="0" name=""/>
            <xdr:cNvSpPr>
              <a:spLocks noTextEdit="1"/>
            </xdr:cNvSpPr>
          </xdr:nvSpPr>
          <xdr:spPr>
            <a:xfrm>
              <a:off x="22536150" y="10144125"/>
              <a:ext cx="1828800" cy="2524125"/>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0.30408</cdr:x>
      <cdr:y>0.49158</cdr:y>
    </cdr:from>
    <cdr:to>
      <cdr:x>0.72422</cdr:x>
      <cdr:y>0.55219</cdr:y>
    </cdr:to>
    <cdr:sp macro="" textlink="Pivot!$E$6">
      <cdr:nvSpPr>
        <cdr:cNvPr id="2" name="Rechteck 1">
          <a:extLst xmlns:a="http://schemas.openxmlformats.org/drawingml/2006/main">
            <a:ext uri="{FF2B5EF4-FFF2-40B4-BE49-F238E27FC236}">
              <a16:creationId xmlns:a16="http://schemas.microsoft.com/office/drawing/2014/main" id="{4F40A7D9-3142-4EA0-9F59-1BB20506CB32}"/>
            </a:ext>
          </a:extLst>
        </cdr:cNvPr>
        <cdr:cNvSpPr/>
      </cdr:nvSpPr>
      <cdr:spPr>
        <a:xfrm xmlns:a="http://schemas.openxmlformats.org/drawingml/2006/main">
          <a:off x="2012950" y="3708400"/>
          <a:ext cx="2781300" cy="457200"/>
        </a:xfrm>
        <a:prstGeom xmlns:a="http://schemas.openxmlformats.org/drawingml/2006/main" prst="rect">
          <a:avLst/>
        </a:prstGeom>
        <a:solidFill xmlns:a="http://schemas.openxmlformats.org/drawingml/2006/main">
          <a:schemeClr val="tx1"/>
        </a:solidFill>
        <a:ln xmlns:a="http://schemas.openxmlformats.org/drawingml/2006/main">
          <a:noFill/>
        </a:ln>
      </cdr:spPr>
      <cdr:style>
        <a:lnRef xmlns:a="http://schemas.openxmlformats.org/drawingml/2006/main" idx="2">
          <a:schemeClr val="dk1">
            <a:shade val="15000"/>
          </a:schemeClr>
        </a:lnRef>
        <a:fillRef xmlns:a="http://schemas.openxmlformats.org/drawingml/2006/main" idx="1">
          <a:schemeClr val="dk1"/>
        </a:fillRef>
        <a:effectRef xmlns:a="http://schemas.openxmlformats.org/drawingml/2006/main" idx="0">
          <a:schemeClr val="dk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ctr"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26646A7A-48A9-4F2D-A85E-1CFE6EBBD509}" type="TxLink">
            <a:rPr lang="en-US" sz="1100" b="0" i="0" u="none" strike="noStrike">
              <a:ln>
                <a:noFill/>
              </a:ln>
              <a:solidFill>
                <a:schemeClr val="bg2"/>
              </a:solidFill>
              <a:latin typeface="Calibri"/>
              <a:ea typeface="Calibri"/>
              <a:cs typeface="Calibri"/>
            </a:rPr>
            <a:pPr algn="ctr"/>
            <a:t> 434,49 € </a:t>
          </a:fld>
          <a:endParaRPr lang="de-DE" sz="2800" b="1">
            <a:ln>
              <a:noFill/>
            </a:ln>
            <a:solidFill>
              <a:schemeClr val="bg2"/>
            </a:solidFill>
            <a:latin typeface="Times New Roman" panose="02020603050405020304" pitchFamily="18" charset="0"/>
            <a:cs typeface="Times New Roman" panose="02020603050405020304" pitchFamily="18"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lla Fotsing Roméo" refreshedDate="46292.64685740741" missingItemsLimit="0" createdVersion="8" refreshedVersion="8" minRefreshableVersion="3" recordCount="62" xr:uid="{AECC3722-4F33-446B-9A76-E2824C46E9CC}">
  <cacheSource type="worksheet">
    <worksheetSource ref="A1:W1048576" sheet="Auswertung"/>
  </cacheSource>
  <cacheFields count="23">
    <cacheField name="Asset" numFmtId="0">
      <sharedItems containsBlank="1" count="2">
        <s v="FTSE All-World USD (Acc)"/>
        <m/>
      </sharedItems>
    </cacheField>
    <cacheField name="Klasse" numFmtId="0">
      <sharedItems containsBlank="1" count="2">
        <s v="FUND"/>
        <m/>
      </sharedItems>
    </cacheField>
    <cacheField name="Symbol" numFmtId="0">
      <sharedItems containsBlank="1"/>
    </cacheField>
    <cacheField name="Käufe Stück" numFmtId="0">
      <sharedItems containsString="0" containsBlank="1" containsNumber="1" minValue="2.5597650000000005" maxValue="2.5597650000000005"/>
    </cacheField>
    <cacheField name="Verkäufe Stück" numFmtId="0">
      <sharedItems containsString="0" containsBlank="1" containsNumber="1" containsInteger="1" minValue="0" maxValue="0"/>
    </cacheField>
    <cacheField name="Bestand" numFmtId="0">
      <sharedItems containsString="0" containsBlank="1" containsNumber="1" minValue="2.5597650000000005" maxValue="2.5597650000000005"/>
    </cacheField>
    <cacheField name="Investiert €" numFmtId="164">
      <sharedItems containsString="0" containsBlank="1" containsNumber="1" minValue="400.20000000000005" maxValue="400.20000000000005"/>
    </cacheField>
    <cacheField name="Verkauft €" numFmtId="164">
      <sharedItems containsString="0" containsBlank="1" containsNumber="1" containsInteger="1" minValue="0" maxValue="0"/>
    </cacheField>
    <cacheField name="Gebühren €" numFmtId="164">
      <sharedItems containsString="0" containsBlank="1" containsNumber="1" containsInteger="1" minValue="5" maxValue="5"/>
    </cacheField>
    <cacheField name="Netto P&amp;L €" numFmtId="164">
      <sharedItems containsString="0" containsBlank="1" containsNumber="1" minValue="-405.20000000000005" maxValue="-405.20000000000005"/>
    </cacheField>
    <cacheField name="Status" numFmtId="0">
      <sharedItems containsBlank="1"/>
    </cacheField>
    <cacheField name="Einstandskurs €" numFmtId="0">
      <sharedItems containsString="0" containsBlank="1" containsNumber="1" minValue="158.21" maxValue="158.21"/>
    </cacheField>
    <cacheField name="Aktueller Kurs €" numFmtId="0">
      <sharedItems containsString="0" containsBlank="1" containsNumber="1" minValue="169.74" maxValue="169.74"/>
    </cacheField>
    <cacheField name="Aktuell nicht realisierte P&amp;L €" numFmtId="166">
      <sharedItems containsString="0" containsBlank="1" containsNumber="1" minValue="29.514090450000026" maxValue="29.514090450000026"/>
    </cacheField>
    <cacheField name="Aktuelle Position €" numFmtId="164">
      <sharedItems containsString="0" containsBlank="1" containsNumber="1" minValue="434.49451110000012" maxValue="434.49451110000012"/>
    </cacheField>
    <cacheField name="Aktuell Investiert €" numFmtId="164">
      <sharedItems containsString="0" containsBlank="1" containsNumber="1" minValue="404.9804206500001" maxValue="404.9804206500001"/>
    </cacheField>
    <cacheField name="Aktuelle Rendite" numFmtId="10">
      <sharedItems containsString="0" containsBlank="1" containsNumber="1" minValue="7.2877820618165778E-2" maxValue="7.2877820618165778E-2"/>
    </cacheField>
    <cacheField name="Realisierte P&amp;L Verkäufe €" numFmtId="164">
      <sharedItems containsString="0" containsBlank="1" containsNumber="1" containsInteger="1" minValue="0" maxValue="0"/>
    </cacheField>
    <cacheField name="Investiertes Kapital Verkäufe €" numFmtId="164">
      <sharedItems containsString="0" containsBlank="1" containsNumber="1" containsInteger="1" minValue="0" maxValue="0"/>
    </cacheField>
    <cacheField name="Anzahl Kauforders" numFmtId="4">
      <sharedItems containsString="0" containsBlank="1" containsNumber="1" containsInteger="1" minValue="5" maxValue="5"/>
    </cacheField>
    <cacheField name="Anzahl Verkaufsorders" numFmtId="4">
      <sharedItems containsString="0" containsBlank="1" containsNumber="1" containsInteger="1" minValue="0" maxValue="0"/>
    </cacheField>
    <cacheField name="Rendite Verkäufe" numFmtId="10">
      <sharedItems containsString="0" containsBlank="1" containsNumber="1" containsInteger="1" minValue="0" maxValue="0"/>
    </cacheField>
    <cacheField name="Gesamte Rendite" numFmtId="10">
      <sharedItems containsString="0" containsBlank="1" containsNumber="1" minValue="7.3199677911044661E-2" maxValue="7.3199677911044661E-2"/>
    </cacheField>
  </cacheFields>
  <extLst>
    <ext xmlns:x14="http://schemas.microsoft.com/office/spreadsheetml/2009/9/main" uri="{725AE2AE-9491-48be-B2B4-4EB974FC3084}">
      <x14:pivotCacheDefinition pivotCacheId="7265418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
  <r>
    <x v="0"/>
    <x v="0"/>
    <s v="IE00BK5BQT80"/>
    <n v="2.5597650000000005"/>
    <n v="0"/>
    <n v="2.5597650000000005"/>
    <n v="400.20000000000005"/>
    <n v="0"/>
    <n v="5"/>
    <n v="-405.20000000000005"/>
    <s v="OFFEN"/>
    <n v="158.21"/>
    <n v="169.74"/>
    <n v="29.514090450000026"/>
    <n v="434.49451110000012"/>
    <n v="404.9804206500001"/>
    <n v="7.2877820618165778E-2"/>
    <n v="0"/>
    <n v="0"/>
    <n v="5"/>
    <n v="0"/>
    <n v="0"/>
    <n v="7.3199677911044661E-2"/>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3F31EA-6894-49F2-AD85-69A514AE323F}" name="PivotTable1" cacheId="234"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rowHeaderCaption="Assets">
  <location ref="L3:L4" firstHeaderRow="1" firstDataRow="1" firstDataCol="0"/>
  <pivotFields count="23">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Verkaufserlöse Gewinn/Verlust" fld="17" baseField="0" baseItem="0"/>
  </dataFields>
  <formats count="1">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326F01-EA15-4A93-82D4-848E4D2615C7}" name="PivotTable9" cacheId="234"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rowHeaderCaption="Assets">
  <location ref="J3:J4"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Einkaufswert" fld="15" baseField="0" baseItem="0"/>
  </dataFields>
  <formats count="1">
    <format dxfId="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A41211-FADE-4A81-A35B-B4ED20E62223}" name="PivotTable10" cacheId="234"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chartFormat="5" rowHeaderCaption="Assets">
  <location ref="E13:F16" firstHeaderRow="1" firstDataRow="1" firstDataCol="1"/>
  <pivotFields count="23">
    <pivotField showAll="0">
      <items count="3">
        <item x="0"/>
        <item x="1"/>
        <item t="default"/>
      </items>
    </pivotField>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Aktueller Wert" fld="14" baseField="0" baseItem="0"/>
  </dataFields>
  <formats count="1">
    <format dxfId="35">
      <pivotArea outline="0" collapsedLevelsAreSubtotals="1" fieldPosition="0"/>
    </format>
  </formats>
  <chartFormats count="3">
    <chartFormat chart="3" format="6"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 count="1" selected="0">
            <x v="0"/>
          </reference>
        </references>
      </pivotArea>
    </chartFormat>
    <chartFormat chart="3" format="10">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3E5646-EA4E-4DBC-8347-0CFCE76D5F19}" name="PivotTable5" cacheId="234"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chartFormat="4" rowHeaderCaption="Assets">
  <location ref="A3:C6" firstHeaderRow="0" firstDataRow="1" firstDataCol="1"/>
  <pivotFields count="23">
    <pivotField showAll="0">
      <items count="3">
        <item x="0"/>
        <item x="1"/>
        <item t="default"/>
      </items>
    </pivotField>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s>
  <rowFields count="1">
    <field x="1"/>
  </rowFields>
  <rowItems count="3">
    <i>
      <x/>
    </i>
    <i>
      <x v="1"/>
    </i>
    <i t="grand">
      <x/>
    </i>
  </rowItems>
  <colFields count="1">
    <field x="-2"/>
  </colFields>
  <colItems count="2">
    <i>
      <x/>
    </i>
    <i i="1">
      <x v="1"/>
    </i>
  </colItems>
  <dataFields count="2">
    <dataField name="Einkaufswert" fld="15" baseField="0" baseItem="0"/>
    <dataField name="Aktueller Wert" fld="14" baseField="0" baseItem="0"/>
  </dataFields>
  <formats count="1">
    <format dxfId="36">
      <pivotArea outline="0" collapsedLevelsAreSubtotals="1" fieldPosition="0"/>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0769888-D3D4-498F-9981-49DFC80F5D0F}" name="PivotTable8" cacheId="234"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rowHeaderCaption="Assets">
  <location ref="G3:G4"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Items count="1">
    <i/>
  </rowItems>
  <colItems count="1">
    <i/>
  </colItems>
  <dataFields count="1">
    <dataField name="Aktueller Wert" fld="14" baseField="0" baseItem="0" numFmtId="44"/>
  </dataFields>
  <formats count="1">
    <format dxfId="3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46C2F3-32F0-4399-B83F-C10E1649A49F}" name="PivotTable6" cacheId="234" applyNumberFormats="0" applyBorderFormats="0" applyFontFormats="0" applyPatternFormats="0" applyAlignmentFormats="0" applyWidthHeightFormats="1" dataCaption="Werte" updatedVersion="8" minRefreshableVersion="3" preserveFormatting="0" useAutoFormatting="1" itemPrintTitles="1" createdVersion="8" indent="0" outline="1" outlineData="1" multipleFieldFilters="0" chartFormat="11" rowHeaderCaption="Assets">
  <location ref="A13:B18" firstHeaderRow="1" firstDataRow="1" firstDataCol="1"/>
  <pivotFields count="23">
    <pivotField axis="axisRow" showAll="0">
      <items count="3">
        <item x="1"/>
        <item x="0"/>
        <item t="default"/>
      </items>
    </pivotField>
    <pivotField axis="axisRow" showAll="0">
      <items count="3">
        <item x="0"/>
        <item x="1"/>
        <item t="default"/>
      </items>
    </pivotField>
    <pivotField showAll="0"/>
    <pivotField showAll="0"/>
    <pivotField showAll="0"/>
    <pivotField showAll="0" measureFilter="1"/>
    <pivotField showAll="0"/>
    <pivotField showAll="0"/>
    <pivotField showAll="0"/>
    <pivotField showAll="0"/>
    <pivotField showAll="0"/>
    <pivotField showAll="0"/>
    <pivotField showAll="0"/>
    <pivotField showAll="0"/>
    <pivotField dataField="1" showAll="0" measureFilter="1"/>
    <pivotField showAll="0"/>
    <pivotField showAll="0"/>
    <pivotField showAll="0"/>
    <pivotField showAll="0"/>
    <pivotField showAll="0"/>
    <pivotField showAll="0"/>
    <pivotField showAll="0"/>
    <pivotField showAll="0"/>
  </pivotFields>
  <rowFields count="2">
    <field x="1"/>
    <field x="0"/>
  </rowFields>
  <rowItems count="5">
    <i>
      <x/>
    </i>
    <i r="1">
      <x v="1"/>
    </i>
    <i>
      <x v="1"/>
    </i>
    <i r="1">
      <x/>
    </i>
    <i t="grand">
      <x/>
    </i>
  </rowItems>
  <colItems count="1">
    <i/>
  </colItems>
  <dataFields count="1">
    <dataField name="Aktueller Wert" fld="14" baseField="0" baseItem="0" numFmtId="44"/>
  </dataFields>
  <chartFormats count="3">
    <chartFormat chart="5" format="64" series="1">
      <pivotArea type="data" outline="0" fieldPosition="0">
        <references count="1">
          <reference field="4294967294" count="1" selected="0">
            <x v="0"/>
          </reference>
        </references>
      </pivotArea>
    </chartFormat>
    <chartFormat chart="5" format="126">
      <pivotArea type="data" outline="0" fieldPosition="0">
        <references count="3">
          <reference field="4294967294" count="1" selected="0">
            <x v="0"/>
          </reference>
          <reference field="0" count="1" selected="0">
            <x v="0"/>
          </reference>
          <reference field="1" count="1" selected="0">
            <x v="1"/>
          </reference>
        </references>
      </pivotArea>
    </chartFormat>
    <chartFormat chart="5" format="128">
      <pivotArea type="data" outline="0" fieldPosition="0">
        <references count="3">
          <reference field="4294967294" count="1" selected="0">
            <x v="0"/>
          </reference>
          <reference field="0" count="1" selected="0">
            <x v="1"/>
          </reference>
          <reference field="1" count="1" selected="0">
            <x v="0"/>
          </reference>
        </references>
      </pivotArea>
    </chartFormat>
  </chartFormats>
  <pivotTableStyleInfo name="PivotStyleLight16" showRowHeaders="1" showColHeaders="1" showRowStripes="0" showColStripes="0" showLastColumn="1"/>
  <filters count="2">
    <filter fld="14" type="valueGreaterThan" evalOrder="-1" id="6" iMeasureFld="0">
      <autoFilter ref="A1">
        <filterColumn colId="0">
          <customFilters>
            <customFilter operator="greaterThan" val="0"/>
          </customFilters>
        </filterColumn>
      </autoFilter>
    </filter>
    <filter fld="5" type="valueGreaterThan" evalOrder="-1" id="7"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9691FC7-B584-44C9-8056-E4ED1D6024DD}" name="PivotTable11" cacheId="234"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rowHeaderCaption="Assets">
  <location ref="E3:E4" firstHeaderRow="1" firstDataRow="1" firstDataCol="0"/>
  <pivotFields count="23">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Items count="1">
    <i/>
  </rowItems>
  <colItems count="1">
    <i/>
  </colItems>
  <dataFields count="1">
    <dataField name="Aktueller Wert" fld="14" baseField="0" baseItem="0" numFmtId="44"/>
  </dataFields>
  <formats count="1">
    <format dxfId="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45C1A6C-3C9D-40E8-BB3C-38468AC3798B}" name="PivotTable12" cacheId="234" applyNumberFormats="0" applyBorderFormats="0" applyFontFormats="0" applyPatternFormats="0" applyAlignmentFormats="0" applyWidthHeightFormats="1" dataCaption="Werte" updatedVersion="8" minRefreshableVersion="3" itemPrintTitles="1" createdVersion="8" indent="0" outline="1" outlineData="1" multipleFieldFilters="0" rowHeaderCaption="Assets">
  <location ref="A8:D17" firstHeaderRow="0" firstDataRow="1" firstDataCol="1"/>
  <pivotFields count="23">
    <pivotField axis="axisRow" subtotalTop="0" showAll="0" insertBlankRow="1">
      <items count="3">
        <item x="1"/>
        <item x="0"/>
        <item t="default"/>
      </items>
    </pivotField>
    <pivotField axis="axisRow" subtotalTop="0" showAll="0" insertBlankRow="1">
      <items count="3">
        <item x="0"/>
        <item x="1"/>
        <item t="default"/>
      </items>
    </pivotField>
    <pivotField subtotalTop="0" showAll="0" insertBlankRow="1"/>
    <pivotField subtotalTop="0" showAll="0" insertBlankRow="1"/>
    <pivotField subtotalTop="0" showAll="0" insertBlankRow="1"/>
    <pivotField dataField="1"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dataField="1" subtotalTop="0" showAll="0" insertBlankRow="1"/>
    <pivotField subtotalTop="0" showAll="0" insertBlankRow="1"/>
    <pivotField dataField="1"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s>
  <rowFields count="2">
    <field x="1"/>
    <field x="0"/>
  </rowFields>
  <rowItems count="9">
    <i>
      <x/>
    </i>
    <i r="1">
      <x v="1"/>
    </i>
    <i t="default">
      <x/>
    </i>
    <i t="blank">
      <x/>
    </i>
    <i>
      <x v="1"/>
    </i>
    <i r="1">
      <x/>
    </i>
    <i t="default">
      <x v="1"/>
    </i>
    <i t="blank">
      <x v="1"/>
    </i>
    <i t="grand">
      <x/>
    </i>
  </rowItems>
  <colFields count="1">
    <field x="-2"/>
  </colFields>
  <colItems count="3">
    <i>
      <x/>
    </i>
    <i i="1">
      <x v="1"/>
    </i>
    <i i="2">
      <x v="2"/>
    </i>
  </colItems>
  <dataFields count="3">
    <dataField name="Bestand " fld="5" baseField="0" baseItem="0" numFmtId="2"/>
    <dataField name="Kurswert" fld="12" baseField="0" baseItem="0"/>
    <dataField name="Aktueller Wert" fld="14" baseField="0" baseItem="0"/>
  </dataFields>
  <formats count="7">
    <format dxfId="45">
      <pivotArea outline="0" collapsedLevelsAreSubtotals="1" fieldPosition="0"/>
    </format>
    <format dxfId="44">
      <pivotArea outline="0" collapsedLevelsAreSubtotals="1" fieldPosition="0">
        <references count="1">
          <reference field="4294967294" count="1" selected="0">
            <x v="1"/>
          </reference>
        </references>
      </pivotArea>
    </format>
    <format dxfId="43">
      <pivotArea dataOnly="0" labelOnly="1" outline="0" fieldPosition="0">
        <references count="1">
          <reference field="4294967294" count="1">
            <x v="1"/>
          </reference>
        </references>
      </pivotArea>
    </format>
    <format dxfId="42">
      <pivotArea outline="0" collapsedLevelsAreSubtotals="1" fieldPosition="0">
        <references count="1">
          <reference field="4294967294" count="1" selected="0">
            <x v="2"/>
          </reference>
        </references>
      </pivotArea>
    </format>
    <format dxfId="41">
      <pivotArea dataOnly="0" labelOnly="1" outline="0" fieldPosition="0">
        <references count="1">
          <reference field="4294967294" count="1">
            <x v="2"/>
          </reference>
        </references>
      </pivotArea>
    </format>
    <format dxfId="40">
      <pivotArea outline="0" collapsedLevelsAreSubtotals="1" fieldPosition="0">
        <references count="1">
          <reference field="4294967294" count="1" selected="0">
            <x v="0"/>
          </reference>
        </references>
      </pivotArea>
    </format>
    <format dxfId="39">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InsertBlankRowDefault="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Asset" xr10:uid="{74E156CA-DA76-412E-AE06-FC2351C68BC2}" sourceName="Asset">
  <pivotTables>
    <pivotTable tabId="8" name="PivotTable12"/>
    <pivotTable tabId="7" name="PivotTable10"/>
    <pivotTable tabId="7" name="PivotTable5"/>
    <pivotTable tabId="7" name="PivotTable6"/>
  </pivotTables>
  <data>
    <tabular pivotCacheId="726541802">
      <items count="2">
        <i x="0" s="1"/>
        <i x="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Klasse" xr10:uid="{591CCDBB-D5D5-4EC0-ADA2-FB7118E7423C}" sourceName="Klasse">
  <pivotTables>
    <pivotTable tabId="7" name="PivotTable5"/>
    <pivotTable tabId="7" name="PivotTable1"/>
    <pivotTable tabId="7" name="PivotTable10"/>
    <pivotTable tabId="7" name="PivotTable11"/>
    <pivotTable tabId="7" name="PivotTable6"/>
    <pivotTable tabId="8" name="PivotTable12"/>
  </pivotTables>
  <data>
    <tabular pivotCacheId="726541802">
      <items count="2">
        <i x="0" s="1"/>
        <i x="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sset" xr10:uid="{304860F4-B23C-4986-96EA-2911B7D9DE0D}" cache="Datenschnitt_Asset" caption="Asset" rowHeight="241300"/>
  <slicer name="Klasse" xr10:uid="{61444723-A5DC-4B44-ABDB-0D61DD82B789}" cache="Datenschnitt_Klasse" caption="Klass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669"/>
  <sheetViews>
    <sheetView workbookViewId="0">
      <pane ySplit="1" topLeftCell="A2" activePane="bottomLeft" state="frozen"/>
      <selection pane="bottomLeft" activeCell="A2" sqref="A2:XFD24"/>
    </sheetView>
  </sheetViews>
  <sheetFormatPr baseColWidth="10" defaultColWidth="9.140625" defaultRowHeight="15" x14ac:dyDescent="0.25"/>
  <cols>
    <col min="1" max="1" width="21.85546875" style="33" bestFit="1" customWidth="1"/>
    <col min="2" max="2" width="18.140625" style="1" bestFit="1" customWidth="1"/>
    <col min="3" max="3" width="14" customWidth="1"/>
    <col min="4" max="4" width="18" customWidth="1"/>
    <col min="5" max="5" width="48" customWidth="1"/>
    <col min="6" max="6" width="13" customWidth="1"/>
    <col min="7" max="7" width="50" customWidth="1"/>
    <col min="8" max="8" width="14" customWidth="1"/>
    <col min="9" max="9" width="13" customWidth="1"/>
    <col min="10" max="10" width="10" customWidth="1"/>
    <col min="11" max="11" width="9" customWidth="1"/>
    <col min="12" max="12" width="8.7109375" style="28" customWidth="1"/>
    <col min="13" max="13" width="8" customWidth="1"/>
    <col min="14" max="14" width="10" customWidth="1"/>
    <col min="15" max="15" width="17" customWidth="1"/>
    <col min="16" max="16" width="19" customWidth="1"/>
    <col min="17" max="17" width="10" customWidth="1"/>
    <col min="18" max="18" width="118" bestFit="1" customWidth="1"/>
    <col min="19" max="19" width="38" customWidth="1"/>
    <col min="20" max="20" width="50" customWidth="1"/>
    <col min="21" max="21" width="24" customWidth="1"/>
    <col min="22" max="22" width="19" customWidth="1"/>
    <col min="23" max="23" width="10" customWidth="1"/>
  </cols>
  <sheetData>
    <row r="1" spans="1:23" x14ac:dyDescent="0.25">
      <c r="A1" s="32" t="s">
        <v>0</v>
      </c>
      <c r="B1" s="31" t="s">
        <v>1</v>
      </c>
      <c r="C1" s="24" t="s">
        <v>2</v>
      </c>
      <c r="D1" s="24" t="s">
        <v>3</v>
      </c>
      <c r="E1" s="24" t="s">
        <v>4</v>
      </c>
      <c r="F1" s="24" t="s">
        <v>5</v>
      </c>
      <c r="G1" s="24" t="s">
        <v>6</v>
      </c>
      <c r="H1" s="24" t="s">
        <v>7</v>
      </c>
      <c r="I1" s="24" t="s">
        <v>8</v>
      </c>
      <c r="J1" s="24" t="s">
        <v>9</v>
      </c>
      <c r="K1" s="24" t="s">
        <v>10</v>
      </c>
      <c r="L1" s="27" t="s">
        <v>11</v>
      </c>
      <c r="M1" s="24" t="s">
        <v>12</v>
      </c>
      <c r="N1" s="24" t="s">
        <v>13</v>
      </c>
      <c r="O1" s="24" t="s">
        <v>14</v>
      </c>
      <c r="P1" s="24" t="s">
        <v>15</v>
      </c>
      <c r="Q1" s="24" t="s">
        <v>16</v>
      </c>
      <c r="R1" s="24" t="s">
        <v>17</v>
      </c>
      <c r="S1" s="24" t="s">
        <v>18</v>
      </c>
      <c r="T1" s="24" t="s">
        <v>19</v>
      </c>
      <c r="U1" s="24" t="s">
        <v>20</v>
      </c>
      <c r="V1" s="24" t="s">
        <v>21</v>
      </c>
      <c r="W1" s="24" t="s">
        <v>22</v>
      </c>
    </row>
    <row r="2" spans="1:23" x14ac:dyDescent="0.25">
      <c r="A2" s="40">
        <v>46128.449082638901</v>
      </c>
      <c r="B2" s="41">
        <v>46128</v>
      </c>
      <c r="C2" t="s">
        <v>203</v>
      </c>
      <c r="D2" t="s">
        <v>23</v>
      </c>
      <c r="E2" t="s">
        <v>24</v>
      </c>
      <c r="F2" t="s">
        <v>204</v>
      </c>
      <c r="G2" t="s">
        <v>204</v>
      </c>
      <c r="H2" t="s">
        <v>204</v>
      </c>
      <c r="I2">
        <v>0</v>
      </c>
      <c r="J2">
        <v>0</v>
      </c>
      <c r="K2">
        <v>1</v>
      </c>
      <c r="L2">
        <v>0</v>
      </c>
      <c r="M2">
        <v>0</v>
      </c>
      <c r="N2" t="s">
        <v>25</v>
      </c>
      <c r="O2">
        <v>0</v>
      </c>
      <c r="P2" t="s">
        <v>204</v>
      </c>
      <c r="Q2">
        <v>0</v>
      </c>
      <c r="R2" t="s">
        <v>29</v>
      </c>
      <c r="S2" t="s">
        <v>218</v>
      </c>
      <c r="T2" t="s">
        <v>204</v>
      </c>
      <c r="U2" t="s">
        <v>204</v>
      </c>
      <c r="V2" t="s">
        <v>204</v>
      </c>
      <c r="W2" t="s">
        <v>204</v>
      </c>
    </row>
    <row r="3" spans="1:23" x14ac:dyDescent="0.25">
      <c r="A3" s="40">
        <v>46128.490223090303</v>
      </c>
      <c r="B3" s="41">
        <v>46128</v>
      </c>
      <c r="C3" t="s">
        <v>203</v>
      </c>
      <c r="D3" t="s">
        <v>23</v>
      </c>
      <c r="E3" t="s">
        <v>24</v>
      </c>
      <c r="F3" t="s">
        <v>204</v>
      </c>
      <c r="G3" t="s">
        <v>204</v>
      </c>
      <c r="H3" t="s">
        <v>204</v>
      </c>
      <c r="I3">
        <v>0</v>
      </c>
      <c r="J3">
        <v>0</v>
      </c>
      <c r="K3">
        <v>200</v>
      </c>
      <c r="L3">
        <v>0</v>
      </c>
      <c r="M3">
        <v>0</v>
      </c>
      <c r="N3" t="s">
        <v>25</v>
      </c>
      <c r="O3">
        <v>0</v>
      </c>
      <c r="P3" t="s">
        <v>204</v>
      </c>
      <c r="Q3">
        <v>0</v>
      </c>
      <c r="R3" t="s">
        <v>29</v>
      </c>
      <c r="S3" t="s">
        <v>219</v>
      </c>
      <c r="T3" t="s">
        <v>204</v>
      </c>
      <c r="U3" t="s">
        <v>204</v>
      </c>
      <c r="V3" t="s">
        <v>204</v>
      </c>
      <c r="W3" t="s">
        <v>204</v>
      </c>
    </row>
    <row r="4" spans="1:23" x14ac:dyDescent="0.25">
      <c r="A4" s="40">
        <v>46128.508592453698</v>
      </c>
      <c r="B4" s="41">
        <v>46128</v>
      </c>
      <c r="C4" t="s">
        <v>203</v>
      </c>
      <c r="D4" t="s">
        <v>26</v>
      </c>
      <c r="E4" t="s">
        <v>27</v>
      </c>
      <c r="F4" t="s">
        <v>28</v>
      </c>
      <c r="G4" t="s">
        <v>206</v>
      </c>
      <c r="H4" t="s">
        <v>207</v>
      </c>
      <c r="I4">
        <v>1</v>
      </c>
      <c r="J4">
        <v>151.76</v>
      </c>
      <c r="K4">
        <v>-151.76</v>
      </c>
      <c r="L4">
        <v>-1</v>
      </c>
      <c r="M4">
        <v>0</v>
      </c>
      <c r="N4" t="s">
        <v>25</v>
      </c>
      <c r="O4">
        <v>0</v>
      </c>
      <c r="P4" t="s">
        <v>204</v>
      </c>
      <c r="Q4">
        <v>0</v>
      </c>
      <c r="R4" t="s">
        <v>208</v>
      </c>
      <c r="S4" t="s">
        <v>220</v>
      </c>
      <c r="T4" t="s">
        <v>204</v>
      </c>
      <c r="U4" t="s">
        <v>204</v>
      </c>
      <c r="V4" t="s">
        <v>204</v>
      </c>
      <c r="W4" t="s">
        <v>204</v>
      </c>
    </row>
    <row r="5" spans="1:23" x14ac:dyDescent="0.25">
      <c r="A5" s="40">
        <v>46128.508592476901</v>
      </c>
      <c r="B5" s="41">
        <v>46128</v>
      </c>
      <c r="C5" t="s">
        <v>203</v>
      </c>
      <c r="D5" t="s">
        <v>26</v>
      </c>
      <c r="E5" t="s">
        <v>27</v>
      </c>
      <c r="F5" t="s">
        <v>28</v>
      </c>
      <c r="G5" t="s">
        <v>206</v>
      </c>
      <c r="H5" t="s">
        <v>207</v>
      </c>
      <c r="I5">
        <v>0.31786999999999999</v>
      </c>
      <c r="J5">
        <v>151.76</v>
      </c>
      <c r="K5">
        <v>-48.24</v>
      </c>
      <c r="L5">
        <v>0</v>
      </c>
      <c r="M5">
        <v>0</v>
      </c>
      <c r="N5" t="s">
        <v>25</v>
      </c>
      <c r="O5">
        <v>0</v>
      </c>
      <c r="P5" t="s">
        <v>204</v>
      </c>
      <c r="Q5">
        <v>0</v>
      </c>
      <c r="R5" t="s">
        <v>221</v>
      </c>
      <c r="S5" t="s">
        <v>222</v>
      </c>
      <c r="T5" t="s">
        <v>204</v>
      </c>
      <c r="U5" t="s">
        <v>204</v>
      </c>
      <c r="V5" t="s">
        <v>204</v>
      </c>
      <c r="W5" t="s">
        <v>204</v>
      </c>
    </row>
    <row r="6" spans="1:23" x14ac:dyDescent="0.25">
      <c r="A6" s="40">
        <v>46143.147161770801</v>
      </c>
      <c r="B6" s="41">
        <v>46143</v>
      </c>
      <c r="C6" t="s">
        <v>203</v>
      </c>
      <c r="D6" t="s">
        <v>23</v>
      </c>
      <c r="E6" t="s">
        <v>204</v>
      </c>
      <c r="F6" t="s">
        <v>204</v>
      </c>
      <c r="G6" t="s">
        <v>204</v>
      </c>
      <c r="H6" t="s">
        <v>204</v>
      </c>
      <c r="I6">
        <v>0</v>
      </c>
      <c r="J6">
        <v>0</v>
      </c>
      <c r="K6">
        <v>0.02</v>
      </c>
      <c r="L6">
        <v>0</v>
      </c>
      <c r="M6">
        <v>0</v>
      </c>
      <c r="N6" t="s">
        <v>25</v>
      </c>
      <c r="O6">
        <v>0</v>
      </c>
      <c r="P6" t="s">
        <v>204</v>
      </c>
      <c r="Q6">
        <v>0</v>
      </c>
      <c r="R6" t="s">
        <v>223</v>
      </c>
      <c r="S6" t="s">
        <v>224</v>
      </c>
      <c r="T6" t="s">
        <v>204</v>
      </c>
      <c r="U6" t="s">
        <v>204</v>
      </c>
      <c r="V6" t="s">
        <v>204</v>
      </c>
      <c r="W6" t="s">
        <v>204</v>
      </c>
    </row>
    <row r="7" spans="1:23" x14ac:dyDescent="0.25">
      <c r="A7" s="40">
        <v>46146.783587881902</v>
      </c>
      <c r="B7" s="41">
        <v>46146</v>
      </c>
      <c r="C7" t="s">
        <v>203</v>
      </c>
      <c r="D7" t="s">
        <v>26</v>
      </c>
      <c r="E7" t="s">
        <v>27</v>
      </c>
      <c r="F7" t="s">
        <v>28</v>
      </c>
      <c r="G7" t="s">
        <v>206</v>
      </c>
      <c r="H7" t="s">
        <v>207</v>
      </c>
      <c r="I7">
        <v>1.2799999999999999E-4</v>
      </c>
      <c r="J7">
        <v>155.41999999999999</v>
      </c>
      <c r="K7">
        <v>-0.02</v>
      </c>
      <c r="L7">
        <v>0</v>
      </c>
      <c r="M7">
        <v>0</v>
      </c>
      <c r="N7" t="s">
        <v>25</v>
      </c>
      <c r="O7">
        <v>0</v>
      </c>
      <c r="P7" t="s">
        <v>204</v>
      </c>
      <c r="Q7">
        <v>0</v>
      </c>
      <c r="R7" t="s">
        <v>209</v>
      </c>
      <c r="S7" t="s">
        <v>225</v>
      </c>
      <c r="T7" t="s">
        <v>204</v>
      </c>
      <c r="U7" t="s">
        <v>204</v>
      </c>
      <c r="V7" t="s">
        <v>204</v>
      </c>
      <c r="W7" t="s">
        <v>204</v>
      </c>
    </row>
    <row r="8" spans="1:23" x14ac:dyDescent="0.25">
      <c r="A8" s="40">
        <v>46149.4708863657</v>
      </c>
      <c r="B8" s="41">
        <v>46149</v>
      </c>
      <c r="C8" t="s">
        <v>203</v>
      </c>
      <c r="D8" t="s">
        <v>26</v>
      </c>
      <c r="E8" t="s">
        <v>27</v>
      </c>
      <c r="F8" t="s">
        <v>28</v>
      </c>
      <c r="G8" t="s">
        <v>206</v>
      </c>
      <c r="H8" t="s">
        <v>207</v>
      </c>
      <c r="I8">
        <v>0.31569599999999998</v>
      </c>
      <c r="J8">
        <v>158.36000000000001</v>
      </c>
      <c r="K8">
        <v>-49.99</v>
      </c>
      <c r="L8">
        <v>-1</v>
      </c>
      <c r="M8">
        <v>0</v>
      </c>
      <c r="N8" t="s">
        <v>25</v>
      </c>
      <c r="O8">
        <v>0</v>
      </c>
      <c r="P8" t="s">
        <v>204</v>
      </c>
      <c r="Q8">
        <v>0</v>
      </c>
      <c r="R8" t="s">
        <v>226</v>
      </c>
      <c r="S8" t="s">
        <v>227</v>
      </c>
      <c r="T8" t="s">
        <v>204</v>
      </c>
      <c r="U8" t="s">
        <v>204</v>
      </c>
      <c r="V8" t="s">
        <v>204</v>
      </c>
      <c r="W8" t="s">
        <v>204</v>
      </c>
    </row>
    <row r="9" spans="1:23" x14ac:dyDescent="0.25">
      <c r="A9" s="40">
        <v>46149.470896365703</v>
      </c>
      <c r="B9" s="41">
        <v>46149</v>
      </c>
      <c r="C9" t="s">
        <v>203</v>
      </c>
      <c r="D9" t="s">
        <v>23</v>
      </c>
      <c r="E9" t="s">
        <v>30</v>
      </c>
      <c r="F9" t="s">
        <v>204</v>
      </c>
      <c r="G9" t="s">
        <v>31</v>
      </c>
      <c r="H9" t="s">
        <v>204</v>
      </c>
      <c r="I9">
        <v>0</v>
      </c>
      <c r="J9">
        <v>0</v>
      </c>
      <c r="K9">
        <v>51</v>
      </c>
      <c r="L9">
        <v>0</v>
      </c>
      <c r="M9">
        <v>0</v>
      </c>
      <c r="N9" t="s">
        <v>25</v>
      </c>
      <c r="O9">
        <v>0</v>
      </c>
      <c r="P9" t="s">
        <v>204</v>
      </c>
      <c r="Q9">
        <v>0</v>
      </c>
      <c r="R9" t="s">
        <v>205</v>
      </c>
      <c r="S9" t="s">
        <v>228</v>
      </c>
      <c r="T9" t="s">
        <v>31</v>
      </c>
      <c r="U9" t="s">
        <v>210</v>
      </c>
      <c r="V9" t="s">
        <v>204</v>
      </c>
      <c r="W9" t="s">
        <v>204</v>
      </c>
    </row>
    <row r="10" spans="1:23" x14ac:dyDescent="0.25">
      <c r="A10" s="40">
        <v>46169.9433067477</v>
      </c>
      <c r="B10" s="41">
        <v>46169</v>
      </c>
      <c r="C10" t="s">
        <v>203</v>
      </c>
      <c r="D10" t="s">
        <v>23</v>
      </c>
      <c r="E10" t="s">
        <v>30</v>
      </c>
      <c r="F10" t="s">
        <v>204</v>
      </c>
      <c r="G10" t="s">
        <v>31</v>
      </c>
      <c r="H10" t="s">
        <v>204</v>
      </c>
      <c r="I10">
        <v>0</v>
      </c>
      <c r="J10">
        <v>0</v>
      </c>
      <c r="K10">
        <v>1</v>
      </c>
      <c r="L10">
        <v>0</v>
      </c>
      <c r="M10">
        <v>0</v>
      </c>
      <c r="N10" t="s">
        <v>25</v>
      </c>
      <c r="O10">
        <v>0</v>
      </c>
      <c r="P10" t="s">
        <v>204</v>
      </c>
      <c r="Q10">
        <v>0</v>
      </c>
      <c r="R10" t="s">
        <v>205</v>
      </c>
      <c r="S10" t="s">
        <v>229</v>
      </c>
      <c r="T10" t="s">
        <v>31</v>
      </c>
      <c r="U10" t="s">
        <v>210</v>
      </c>
      <c r="V10" t="s">
        <v>204</v>
      </c>
      <c r="W10" t="s">
        <v>204</v>
      </c>
    </row>
    <row r="11" spans="1:23" x14ac:dyDescent="0.25">
      <c r="A11" s="40">
        <v>46169.942709155097</v>
      </c>
      <c r="B11" s="41">
        <v>46169</v>
      </c>
      <c r="C11" t="s">
        <v>203</v>
      </c>
      <c r="D11" t="s">
        <v>23</v>
      </c>
      <c r="E11" t="s">
        <v>30</v>
      </c>
      <c r="F11" t="s">
        <v>204</v>
      </c>
      <c r="G11" t="s">
        <v>31</v>
      </c>
      <c r="H11" t="s">
        <v>204</v>
      </c>
      <c r="I11">
        <v>0</v>
      </c>
      <c r="J11">
        <v>0</v>
      </c>
      <c r="K11">
        <v>50</v>
      </c>
      <c r="L11">
        <v>0</v>
      </c>
      <c r="M11">
        <v>0</v>
      </c>
      <c r="N11" t="s">
        <v>25</v>
      </c>
      <c r="O11">
        <v>0</v>
      </c>
      <c r="P11" t="s">
        <v>204</v>
      </c>
      <c r="Q11">
        <v>0</v>
      </c>
      <c r="R11" t="s">
        <v>205</v>
      </c>
      <c r="S11" t="s">
        <v>230</v>
      </c>
      <c r="T11" t="s">
        <v>31</v>
      </c>
      <c r="U11" t="s">
        <v>210</v>
      </c>
      <c r="V11" t="s">
        <v>204</v>
      </c>
      <c r="W11" t="s">
        <v>204</v>
      </c>
    </row>
    <row r="12" spans="1:23" x14ac:dyDescent="0.25">
      <c r="A12" s="40">
        <v>46169.943357002303</v>
      </c>
      <c r="B12" s="41">
        <v>46169</v>
      </c>
      <c r="C12" t="s">
        <v>203</v>
      </c>
      <c r="D12" t="s">
        <v>26</v>
      </c>
      <c r="E12" t="s">
        <v>27</v>
      </c>
      <c r="F12" t="s">
        <v>28</v>
      </c>
      <c r="G12" t="s">
        <v>206</v>
      </c>
      <c r="H12" t="s">
        <v>207</v>
      </c>
      <c r="I12">
        <v>0.30701200000000001</v>
      </c>
      <c r="J12">
        <v>162.82</v>
      </c>
      <c r="K12">
        <v>-49.99</v>
      </c>
      <c r="L12">
        <v>-1</v>
      </c>
      <c r="M12">
        <v>0</v>
      </c>
      <c r="N12" t="s">
        <v>25</v>
      </c>
      <c r="O12">
        <v>0</v>
      </c>
      <c r="P12" t="s">
        <v>204</v>
      </c>
      <c r="Q12">
        <v>0</v>
      </c>
      <c r="R12" t="s">
        <v>231</v>
      </c>
      <c r="S12" t="s">
        <v>232</v>
      </c>
      <c r="T12" t="s">
        <v>204</v>
      </c>
      <c r="U12" t="s">
        <v>204</v>
      </c>
      <c r="V12" t="s">
        <v>204</v>
      </c>
      <c r="W12" t="s">
        <v>204</v>
      </c>
    </row>
    <row r="13" spans="1:23" x14ac:dyDescent="0.25">
      <c r="A13" s="40">
        <v>46174.2524545833</v>
      </c>
      <c r="B13" s="41">
        <v>46174</v>
      </c>
      <c r="C13" t="s">
        <v>203</v>
      </c>
      <c r="D13" t="s">
        <v>23</v>
      </c>
      <c r="E13" t="s">
        <v>204</v>
      </c>
      <c r="F13" t="s">
        <v>204</v>
      </c>
      <c r="G13" t="s">
        <v>204</v>
      </c>
      <c r="H13" t="s">
        <v>204</v>
      </c>
      <c r="I13">
        <v>0</v>
      </c>
      <c r="J13">
        <v>0</v>
      </c>
      <c r="K13">
        <v>0.04</v>
      </c>
      <c r="L13">
        <v>0</v>
      </c>
      <c r="M13">
        <v>0</v>
      </c>
      <c r="N13" t="s">
        <v>25</v>
      </c>
      <c r="O13">
        <v>0</v>
      </c>
      <c r="P13" t="s">
        <v>204</v>
      </c>
      <c r="Q13">
        <v>0</v>
      </c>
      <c r="R13" t="s">
        <v>233</v>
      </c>
      <c r="S13" t="s">
        <v>234</v>
      </c>
      <c r="T13" t="s">
        <v>204</v>
      </c>
      <c r="U13" t="s">
        <v>204</v>
      </c>
      <c r="V13" t="s">
        <v>204</v>
      </c>
      <c r="W13" t="s">
        <v>204</v>
      </c>
    </row>
    <row r="14" spans="1:23" x14ac:dyDescent="0.25">
      <c r="A14" s="40">
        <v>46175.837161296302</v>
      </c>
      <c r="B14" s="41">
        <v>46175</v>
      </c>
      <c r="C14" t="s">
        <v>203</v>
      </c>
      <c r="D14" t="s">
        <v>26</v>
      </c>
      <c r="E14" t="s">
        <v>27</v>
      </c>
      <c r="F14" t="s">
        <v>28</v>
      </c>
      <c r="G14" t="s">
        <v>206</v>
      </c>
      <c r="H14" t="s">
        <v>207</v>
      </c>
      <c r="I14">
        <v>2.42E-4</v>
      </c>
      <c r="J14">
        <v>164.7</v>
      </c>
      <c r="K14">
        <v>-0.04</v>
      </c>
      <c r="L14">
        <v>0</v>
      </c>
      <c r="M14">
        <v>0</v>
      </c>
      <c r="N14" t="s">
        <v>25</v>
      </c>
      <c r="O14">
        <v>0</v>
      </c>
      <c r="P14" t="s">
        <v>204</v>
      </c>
      <c r="Q14">
        <v>0</v>
      </c>
      <c r="R14" t="s">
        <v>212</v>
      </c>
      <c r="S14" t="s">
        <v>235</v>
      </c>
      <c r="T14" t="s">
        <v>204</v>
      </c>
      <c r="U14" t="s">
        <v>204</v>
      </c>
      <c r="V14" t="s">
        <v>204</v>
      </c>
      <c r="W14" t="s">
        <v>204</v>
      </c>
    </row>
    <row r="15" spans="1:23" x14ac:dyDescent="0.25">
      <c r="A15" s="40">
        <v>46199.6780890972</v>
      </c>
      <c r="B15" s="41">
        <v>46199</v>
      </c>
      <c r="C15" t="s">
        <v>203</v>
      </c>
      <c r="D15" t="s">
        <v>26</v>
      </c>
      <c r="E15" t="s">
        <v>27</v>
      </c>
      <c r="F15" t="s">
        <v>28</v>
      </c>
      <c r="G15" t="s">
        <v>206</v>
      </c>
      <c r="H15" t="s">
        <v>207</v>
      </c>
      <c r="I15">
        <v>0.30656</v>
      </c>
      <c r="J15">
        <v>163.1</v>
      </c>
      <c r="K15">
        <v>-50</v>
      </c>
      <c r="L15">
        <v>-1</v>
      </c>
      <c r="M15">
        <v>0</v>
      </c>
      <c r="N15" t="s">
        <v>25</v>
      </c>
      <c r="O15">
        <v>0</v>
      </c>
      <c r="P15" t="s">
        <v>204</v>
      </c>
      <c r="Q15">
        <v>0</v>
      </c>
      <c r="R15" t="s">
        <v>236</v>
      </c>
      <c r="S15" t="s">
        <v>237</v>
      </c>
      <c r="T15" t="s">
        <v>204</v>
      </c>
      <c r="U15" t="s">
        <v>204</v>
      </c>
      <c r="V15" t="s">
        <v>204</v>
      </c>
      <c r="W15" t="s">
        <v>204</v>
      </c>
    </row>
    <row r="16" spans="1:23" x14ac:dyDescent="0.25">
      <c r="A16" s="40">
        <v>46199.678117743097</v>
      </c>
      <c r="B16" s="41">
        <v>46199</v>
      </c>
      <c r="C16" t="s">
        <v>203</v>
      </c>
      <c r="D16" t="s">
        <v>23</v>
      </c>
      <c r="E16" t="s">
        <v>30</v>
      </c>
      <c r="F16" t="s">
        <v>204</v>
      </c>
      <c r="G16" t="s">
        <v>31</v>
      </c>
      <c r="H16" t="s">
        <v>204</v>
      </c>
      <c r="I16">
        <v>0</v>
      </c>
      <c r="J16">
        <v>0</v>
      </c>
      <c r="K16">
        <v>51</v>
      </c>
      <c r="L16">
        <v>0</v>
      </c>
      <c r="M16">
        <v>0</v>
      </c>
      <c r="N16" t="s">
        <v>25</v>
      </c>
      <c r="O16">
        <v>0</v>
      </c>
      <c r="P16" t="s">
        <v>204</v>
      </c>
      <c r="Q16">
        <v>0</v>
      </c>
      <c r="R16" t="s">
        <v>205</v>
      </c>
      <c r="S16" t="s">
        <v>238</v>
      </c>
      <c r="T16" t="s">
        <v>31</v>
      </c>
      <c r="U16" t="s">
        <v>210</v>
      </c>
      <c r="V16" t="s">
        <v>204</v>
      </c>
      <c r="W16" t="s">
        <v>204</v>
      </c>
    </row>
    <row r="17" spans="1:23" x14ac:dyDescent="0.25">
      <c r="A17" s="40">
        <v>46204.271368634298</v>
      </c>
      <c r="B17" s="41">
        <v>46204</v>
      </c>
      <c r="C17" t="s">
        <v>203</v>
      </c>
      <c r="D17" t="s">
        <v>23</v>
      </c>
      <c r="E17" t="s">
        <v>204</v>
      </c>
      <c r="F17" t="s">
        <v>204</v>
      </c>
      <c r="G17" t="s">
        <v>204</v>
      </c>
      <c r="H17" t="s">
        <v>204</v>
      </c>
      <c r="I17">
        <v>0</v>
      </c>
      <c r="J17">
        <v>0</v>
      </c>
      <c r="K17">
        <v>0.05</v>
      </c>
      <c r="L17">
        <v>0</v>
      </c>
      <c r="M17">
        <v>0</v>
      </c>
      <c r="N17" t="s">
        <v>25</v>
      </c>
      <c r="O17">
        <v>0</v>
      </c>
      <c r="P17" t="s">
        <v>204</v>
      </c>
      <c r="Q17">
        <v>0</v>
      </c>
      <c r="R17" t="s">
        <v>239</v>
      </c>
      <c r="S17" t="s">
        <v>240</v>
      </c>
      <c r="T17" t="s">
        <v>204</v>
      </c>
      <c r="U17" t="s">
        <v>204</v>
      </c>
      <c r="V17" t="s">
        <v>204</v>
      </c>
      <c r="W17" t="s">
        <v>204</v>
      </c>
    </row>
    <row r="18" spans="1:23" x14ac:dyDescent="0.25">
      <c r="A18" s="40">
        <v>46205.747277210598</v>
      </c>
      <c r="B18" s="41">
        <v>46205</v>
      </c>
      <c r="C18" t="s">
        <v>203</v>
      </c>
      <c r="D18" t="s">
        <v>26</v>
      </c>
      <c r="E18" t="s">
        <v>27</v>
      </c>
      <c r="F18" t="s">
        <v>28</v>
      </c>
      <c r="G18" t="s">
        <v>206</v>
      </c>
      <c r="H18" t="s">
        <v>207</v>
      </c>
      <c r="I18">
        <v>3.0200000000000002E-4</v>
      </c>
      <c r="J18">
        <v>165.46</v>
      </c>
      <c r="K18">
        <v>-0.05</v>
      </c>
      <c r="L18">
        <v>0</v>
      </c>
      <c r="M18">
        <v>0</v>
      </c>
      <c r="N18" t="s">
        <v>25</v>
      </c>
      <c r="O18">
        <v>0</v>
      </c>
      <c r="P18" t="s">
        <v>204</v>
      </c>
      <c r="Q18">
        <v>0</v>
      </c>
      <c r="R18" t="s">
        <v>213</v>
      </c>
      <c r="S18" t="s">
        <v>241</v>
      </c>
      <c r="T18" t="s">
        <v>204</v>
      </c>
      <c r="U18" t="s">
        <v>204</v>
      </c>
      <c r="V18" t="s">
        <v>204</v>
      </c>
      <c r="W18" t="s">
        <v>204</v>
      </c>
    </row>
    <row r="19" spans="1:23" x14ac:dyDescent="0.25">
      <c r="A19" s="40">
        <v>46232.953072106502</v>
      </c>
      <c r="B19" s="41">
        <v>46232</v>
      </c>
      <c r="C19" t="s">
        <v>203</v>
      </c>
      <c r="D19" t="s">
        <v>23</v>
      </c>
      <c r="E19" t="s">
        <v>30</v>
      </c>
      <c r="F19" t="s">
        <v>204</v>
      </c>
      <c r="G19" t="s">
        <v>31</v>
      </c>
      <c r="H19" t="s">
        <v>204</v>
      </c>
      <c r="I19">
        <v>0</v>
      </c>
      <c r="J19">
        <v>0</v>
      </c>
      <c r="K19">
        <v>51</v>
      </c>
      <c r="L19">
        <v>0</v>
      </c>
      <c r="M19">
        <v>0</v>
      </c>
      <c r="N19" t="s">
        <v>25</v>
      </c>
      <c r="O19">
        <v>0</v>
      </c>
      <c r="P19" t="s">
        <v>204</v>
      </c>
      <c r="Q19">
        <v>0</v>
      </c>
      <c r="R19" t="s">
        <v>205</v>
      </c>
      <c r="S19" t="s">
        <v>242</v>
      </c>
      <c r="T19" t="s">
        <v>31</v>
      </c>
      <c r="U19" t="s">
        <v>210</v>
      </c>
      <c r="V19" t="s">
        <v>204</v>
      </c>
      <c r="W19" t="s">
        <v>204</v>
      </c>
    </row>
    <row r="20" spans="1:23" x14ac:dyDescent="0.25">
      <c r="A20" s="40">
        <v>46232.953085532397</v>
      </c>
      <c r="B20" s="41">
        <v>46232</v>
      </c>
      <c r="C20" t="s">
        <v>203</v>
      </c>
      <c r="D20" t="s">
        <v>26</v>
      </c>
      <c r="E20" t="s">
        <v>27</v>
      </c>
      <c r="F20" t="s">
        <v>28</v>
      </c>
      <c r="G20" t="s">
        <v>206</v>
      </c>
      <c r="H20" t="s">
        <v>207</v>
      </c>
      <c r="I20">
        <v>0.31129299999999999</v>
      </c>
      <c r="J20">
        <v>160.62</v>
      </c>
      <c r="K20">
        <v>-50</v>
      </c>
      <c r="L20">
        <v>-1</v>
      </c>
      <c r="M20">
        <v>0</v>
      </c>
      <c r="N20" t="s">
        <v>25</v>
      </c>
      <c r="O20">
        <v>0</v>
      </c>
      <c r="P20" t="s">
        <v>204</v>
      </c>
      <c r="Q20">
        <v>0</v>
      </c>
      <c r="R20" t="s">
        <v>211</v>
      </c>
      <c r="S20" t="s">
        <v>243</v>
      </c>
      <c r="T20" t="s">
        <v>204</v>
      </c>
      <c r="U20" t="s">
        <v>204</v>
      </c>
      <c r="V20" t="s">
        <v>204</v>
      </c>
      <c r="W20" t="s">
        <v>204</v>
      </c>
    </row>
    <row r="21" spans="1:23" x14ac:dyDescent="0.25">
      <c r="A21" s="40">
        <v>46237.1615806134</v>
      </c>
      <c r="B21" s="41">
        <v>46237</v>
      </c>
      <c r="C21" t="s">
        <v>203</v>
      </c>
      <c r="D21" t="s">
        <v>23</v>
      </c>
      <c r="E21" t="s">
        <v>204</v>
      </c>
      <c r="F21" t="s">
        <v>204</v>
      </c>
      <c r="G21" t="s">
        <v>204</v>
      </c>
      <c r="H21" t="s">
        <v>204</v>
      </c>
      <c r="I21">
        <v>0</v>
      </c>
      <c r="J21">
        <v>0</v>
      </c>
      <c r="K21">
        <v>0.06</v>
      </c>
      <c r="L21">
        <v>0</v>
      </c>
      <c r="M21">
        <v>0</v>
      </c>
      <c r="N21" t="s">
        <v>25</v>
      </c>
      <c r="O21">
        <v>0</v>
      </c>
      <c r="P21" t="s">
        <v>204</v>
      </c>
      <c r="Q21">
        <v>0</v>
      </c>
      <c r="R21" t="s">
        <v>244</v>
      </c>
      <c r="S21" t="s">
        <v>245</v>
      </c>
      <c r="T21" t="s">
        <v>204</v>
      </c>
      <c r="U21" t="s">
        <v>204</v>
      </c>
      <c r="V21" t="s">
        <v>204</v>
      </c>
      <c r="W21" t="s">
        <v>204</v>
      </c>
    </row>
    <row r="22" spans="1:23" x14ac:dyDescent="0.25">
      <c r="A22" s="40">
        <v>46237.779403935201</v>
      </c>
      <c r="B22" s="41">
        <v>46237</v>
      </c>
      <c r="C22" t="s">
        <v>203</v>
      </c>
      <c r="D22" t="s">
        <v>26</v>
      </c>
      <c r="E22" t="s">
        <v>27</v>
      </c>
      <c r="F22" t="s">
        <v>28</v>
      </c>
      <c r="G22" t="s">
        <v>206</v>
      </c>
      <c r="H22" t="s">
        <v>207</v>
      </c>
      <c r="I22">
        <v>3.6299999999999999E-4</v>
      </c>
      <c r="J22">
        <v>164.9401</v>
      </c>
      <c r="K22">
        <v>-0.06</v>
      </c>
      <c r="L22">
        <v>0</v>
      </c>
      <c r="M22">
        <v>0</v>
      </c>
      <c r="N22" t="s">
        <v>25</v>
      </c>
      <c r="O22">
        <v>0</v>
      </c>
      <c r="P22" t="s">
        <v>204</v>
      </c>
      <c r="Q22">
        <v>0</v>
      </c>
      <c r="R22" t="s">
        <v>214</v>
      </c>
      <c r="S22" t="s">
        <v>246</v>
      </c>
      <c r="T22" t="s">
        <v>204</v>
      </c>
      <c r="U22" t="s">
        <v>204</v>
      </c>
      <c r="V22" t="s">
        <v>204</v>
      </c>
      <c r="W22" t="s">
        <v>204</v>
      </c>
    </row>
    <row r="23" spans="1:23" x14ac:dyDescent="0.25">
      <c r="A23" s="40">
        <v>46266.182528518497</v>
      </c>
      <c r="B23" s="41">
        <v>46266</v>
      </c>
      <c r="C23" t="s">
        <v>203</v>
      </c>
      <c r="D23" t="s">
        <v>23</v>
      </c>
      <c r="E23" t="s">
        <v>204</v>
      </c>
      <c r="F23" t="s">
        <v>204</v>
      </c>
      <c r="G23" t="s">
        <v>204</v>
      </c>
      <c r="H23" t="s">
        <v>204</v>
      </c>
      <c r="I23">
        <v>0</v>
      </c>
      <c r="J23">
        <v>0</v>
      </c>
      <c r="K23">
        <v>0.05</v>
      </c>
      <c r="L23">
        <v>0</v>
      </c>
      <c r="M23">
        <v>0</v>
      </c>
      <c r="N23" t="s">
        <v>25</v>
      </c>
      <c r="O23">
        <v>0</v>
      </c>
      <c r="P23" t="s">
        <v>204</v>
      </c>
      <c r="Q23">
        <v>0</v>
      </c>
      <c r="R23" t="s">
        <v>247</v>
      </c>
      <c r="S23" t="s">
        <v>248</v>
      </c>
      <c r="T23" t="s">
        <v>204</v>
      </c>
      <c r="U23" t="s">
        <v>204</v>
      </c>
      <c r="V23" t="s">
        <v>204</v>
      </c>
      <c r="W23" t="s">
        <v>204</v>
      </c>
    </row>
    <row r="24" spans="1:23" x14ac:dyDescent="0.25">
      <c r="A24" s="40">
        <v>46267.738526851797</v>
      </c>
      <c r="B24" s="41">
        <v>46267</v>
      </c>
      <c r="C24" t="s">
        <v>203</v>
      </c>
      <c r="D24" t="s">
        <v>26</v>
      </c>
      <c r="E24" t="s">
        <v>27</v>
      </c>
      <c r="F24" t="s">
        <v>28</v>
      </c>
      <c r="G24" t="s">
        <v>206</v>
      </c>
      <c r="H24" t="s">
        <v>207</v>
      </c>
      <c r="I24">
        <v>2.99E-4</v>
      </c>
      <c r="J24">
        <v>166.9</v>
      </c>
      <c r="K24">
        <v>-0.05</v>
      </c>
      <c r="L24">
        <v>0</v>
      </c>
      <c r="M24">
        <v>0</v>
      </c>
      <c r="N24" t="s">
        <v>25</v>
      </c>
      <c r="O24">
        <v>0</v>
      </c>
      <c r="P24" t="s">
        <v>204</v>
      </c>
      <c r="Q24">
        <v>0</v>
      </c>
      <c r="R24" t="s">
        <v>215</v>
      </c>
      <c r="S24" t="s">
        <v>249</v>
      </c>
      <c r="T24" t="s">
        <v>204</v>
      </c>
      <c r="U24" t="s">
        <v>204</v>
      </c>
      <c r="V24" t="s">
        <v>204</v>
      </c>
      <c r="W24" t="s">
        <v>204</v>
      </c>
    </row>
    <row r="25" spans="1:23" x14ac:dyDescent="0.25">
      <c r="A25" s="40"/>
      <c r="B25" s="41"/>
      <c r="L25"/>
    </row>
    <row r="26" spans="1:23" x14ac:dyDescent="0.25">
      <c r="A26" s="40"/>
      <c r="B26" s="41"/>
      <c r="L26"/>
    </row>
    <row r="27" spans="1:23" x14ac:dyDescent="0.25">
      <c r="A27" s="40"/>
      <c r="B27" s="41"/>
      <c r="L27"/>
    </row>
    <row r="28" spans="1:23" x14ac:dyDescent="0.25">
      <c r="A28" s="40"/>
      <c r="B28" s="41"/>
      <c r="L28"/>
    </row>
    <row r="29" spans="1:23" x14ac:dyDescent="0.25">
      <c r="A29" s="40"/>
      <c r="B29" s="41"/>
      <c r="L29"/>
    </row>
    <row r="656" spans="12:12" x14ac:dyDescent="0.25">
      <c r="L656"/>
    </row>
    <row r="657" spans="9:12" x14ac:dyDescent="0.25">
      <c r="L657"/>
    </row>
    <row r="658" spans="9:12" x14ac:dyDescent="0.25">
      <c r="L658"/>
    </row>
    <row r="659" spans="9:12" x14ac:dyDescent="0.25">
      <c r="L659"/>
    </row>
    <row r="660" spans="9:12" x14ac:dyDescent="0.25">
      <c r="L660"/>
    </row>
    <row r="661" spans="9:12" x14ac:dyDescent="0.25">
      <c r="L661"/>
    </row>
    <row r="662" spans="9:12" x14ac:dyDescent="0.25">
      <c r="L662"/>
    </row>
    <row r="663" spans="9:12" x14ac:dyDescent="0.25">
      <c r="L663"/>
    </row>
    <row r="664" spans="9:12" x14ac:dyDescent="0.25">
      <c r="I664" s="30"/>
      <c r="J664" s="30"/>
      <c r="K664" s="28"/>
    </row>
    <row r="665" spans="9:12" x14ac:dyDescent="0.25">
      <c r="I665" s="30"/>
      <c r="J665" s="30"/>
      <c r="K665" s="28"/>
    </row>
    <row r="666" spans="9:12" x14ac:dyDescent="0.25">
      <c r="I666" s="30"/>
      <c r="J666" s="30"/>
      <c r="K666" s="28"/>
    </row>
    <row r="667" spans="9:12" x14ac:dyDescent="0.25">
      <c r="I667" s="30"/>
      <c r="J667" s="30"/>
      <c r="K667" s="28"/>
    </row>
    <row r="668" spans="9:12" x14ac:dyDescent="0.25">
      <c r="I668" s="30"/>
      <c r="J668" s="30"/>
      <c r="K668" s="28"/>
    </row>
    <row r="669" spans="9:12" x14ac:dyDescent="0.25">
      <c r="I669" s="30"/>
      <c r="J669" s="30"/>
      <c r="K669" s="28"/>
    </row>
  </sheetData>
  <autoFilter ref="A1:W669" xr:uid="{00000000-0009-0000-0000-000000000000}"/>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86"/>
  <sheetViews>
    <sheetView zoomScale="90" zoomScaleNormal="90" workbookViewId="0">
      <pane xSplit="1" topLeftCell="E1" activePane="topRight" state="frozen"/>
      <selection pane="topRight" activeCell="W3" sqref="W3"/>
    </sheetView>
  </sheetViews>
  <sheetFormatPr baseColWidth="10" defaultColWidth="9.140625" defaultRowHeight="15" x14ac:dyDescent="0.25"/>
  <cols>
    <col min="1" max="1" width="49" style="9" bestFit="1" customWidth="1"/>
    <col min="2" max="6" width="20" style="5" customWidth="1"/>
    <col min="7" max="10" width="20" style="6" customWidth="1"/>
    <col min="11" max="11" width="20" style="5" customWidth="1"/>
    <col min="12" max="13" width="20" style="21" customWidth="1"/>
    <col min="14" max="14" width="33.7109375" style="21" bestFit="1" customWidth="1"/>
    <col min="15" max="15" width="22.42578125" style="6" bestFit="1" customWidth="1"/>
    <col min="16" max="16" width="22.42578125" style="6" customWidth="1"/>
    <col min="17" max="17" width="22.42578125" style="7" customWidth="1"/>
    <col min="18" max="18" width="29.42578125" style="6" bestFit="1" customWidth="1"/>
    <col min="19" max="19" width="34.85546875" style="6" bestFit="1" customWidth="1"/>
    <col min="20" max="21" width="34.85546875" style="26" customWidth="1"/>
    <col min="22" max="22" width="22.42578125" style="7" bestFit="1" customWidth="1"/>
    <col min="23" max="23" width="22.28515625" style="7" bestFit="1" customWidth="1"/>
    <col min="27" max="27" width="17.42578125" bestFit="1" customWidth="1"/>
    <col min="28" max="28" width="11.28515625" bestFit="1" customWidth="1"/>
    <col min="29" max="29" width="11" bestFit="1" customWidth="1"/>
  </cols>
  <sheetData>
    <row r="1" spans="1:23" x14ac:dyDescent="0.25">
      <c r="A1" s="8" t="s">
        <v>32</v>
      </c>
      <c r="B1" s="4" t="s">
        <v>33</v>
      </c>
      <c r="C1" s="4" t="s">
        <v>181</v>
      </c>
      <c r="D1" s="4" t="s">
        <v>34</v>
      </c>
      <c r="E1" s="4" t="s">
        <v>35</v>
      </c>
      <c r="F1" s="4" t="s">
        <v>36</v>
      </c>
      <c r="G1" s="16" t="s">
        <v>37</v>
      </c>
      <c r="H1" s="16" t="s">
        <v>38</v>
      </c>
      <c r="I1" s="16" t="s">
        <v>39</v>
      </c>
      <c r="J1" s="16" t="s">
        <v>40</v>
      </c>
      <c r="K1" s="4" t="s">
        <v>41</v>
      </c>
      <c r="L1" s="20" t="s">
        <v>68</v>
      </c>
      <c r="M1" s="20" t="s">
        <v>45</v>
      </c>
      <c r="N1" s="20" t="s">
        <v>136</v>
      </c>
      <c r="O1" s="16" t="s">
        <v>46</v>
      </c>
      <c r="P1" s="16" t="s">
        <v>109</v>
      </c>
      <c r="Q1" s="18" t="s">
        <v>102</v>
      </c>
      <c r="R1" s="16" t="s">
        <v>126</v>
      </c>
      <c r="S1" s="16" t="s">
        <v>137</v>
      </c>
      <c r="T1" s="25" t="s">
        <v>192</v>
      </c>
      <c r="U1" s="25" t="s">
        <v>193</v>
      </c>
      <c r="V1" s="18" t="s">
        <v>150</v>
      </c>
      <c r="W1" s="17" t="s">
        <v>151</v>
      </c>
    </row>
    <row r="2" spans="1:23" x14ac:dyDescent="0.25">
      <c r="A2" t="s">
        <v>206</v>
      </c>
      <c r="B2" s="5" t="s">
        <v>28</v>
      </c>
      <c r="C2" s="5" t="s">
        <v>207</v>
      </c>
      <c r="D2" s="5">
        <f>SUMIFS(Daten!I:I,Daten!H:H,C2,Daten!E:E,"BUY")</f>
        <v>2.5597650000000005</v>
      </c>
      <c r="E2" s="5">
        <f>-SUMIFS(Daten!I:I,Daten!H:H,C2,Daten!E:E,"SELL")</f>
        <v>0</v>
      </c>
      <c r="F2" s="5">
        <f t="shared" ref="F2" si="0">D2-E2</f>
        <v>2.5597650000000005</v>
      </c>
      <c r="G2" s="6">
        <f>-SUMIFS(Daten!K:K,Daten!H:H,C2,Daten!E:E,"BUY")</f>
        <v>400.20000000000005</v>
      </c>
      <c r="H2" s="6">
        <f>SUMIFS(Daten!K:K,Daten!H:H,C2,Daten!E:E,"SELL")</f>
        <v>0</v>
      </c>
      <c r="I2" s="6">
        <f>SUMIFS(Daten!L:L,Daten!H:H,C2)*-1</f>
        <v>5</v>
      </c>
      <c r="J2" s="6">
        <f t="shared" ref="J2" si="1">H2-G2-I2</f>
        <v>-405.20000000000005</v>
      </c>
      <c r="K2" s="5" t="str">
        <f t="shared" ref="K2" si="2">IF(F2&gt;0,"OFFEN","GESCHLOSSEN")</f>
        <v>OFFEN</v>
      </c>
      <c r="L2">
        <v>158.21</v>
      </c>
      <c r="M2">
        <v>169.74</v>
      </c>
      <c r="N2" s="21">
        <f t="shared" ref="N2" si="3">IF(K2="GESCHLOSSEN",
0,
IF(K2="OFFEN",
((M2*F2)-(L2*F2)),
""))</f>
        <v>29.514090450000026</v>
      </c>
      <c r="O2" s="6">
        <f>IF(F2&gt;0,F2*M2,0)</f>
        <v>434.49451110000012</v>
      </c>
      <c r="P2" s="6">
        <f t="shared" ref="P2" si="4">IF(F2&gt;0,F2*L2,0)</f>
        <v>404.9804206500001</v>
      </c>
      <c r="Q2" s="7">
        <f t="shared" ref="Q2" si="5">IF(K2="GESCHLOSSEN",
0,
IF(K2="OFFEN",
(N2/(L2*F2))))</f>
        <v>7.2877820618165778E-2</v>
      </c>
      <c r="R2" s="6">
        <f>IF(K2="GESCHLOSSEN",
H2-G2-I2 + SUMIFS(Daten!K:K,Daten!H:H,C2,Daten!E:E,"DIVIDEND"),
IF(K2="OFFEN",
IF(E2=0,
0,
H2+SUMIFS(Daten!K:K,Daten!H:H,C2,Daten!E:E,"DIVIDEND")-(G2-(F2*L2))-I2
),
""))</f>
        <v>0</v>
      </c>
      <c r="S2" s="6">
        <f t="shared" ref="S2" si="6">IF(E2=0,
0,
(G2-(F2*L2))+I2
)</f>
        <v>0</v>
      </c>
      <c r="T2" s="26">
        <f>COUNTIFS(Daten!H:H,C2,Daten!E:E,"BUY",Daten!L:L,"&lt;0")</f>
        <v>5</v>
      </c>
      <c r="U2" s="26">
        <f>COUNTIFS(Daten!H:H,C2,Daten!E:E,"SELL",Daten!L:L,"&lt;0")</f>
        <v>0</v>
      </c>
      <c r="V2" s="7">
        <f t="shared" ref="V2" si="7">IF(S2&gt;0,R2/S2,0)</f>
        <v>0</v>
      </c>
      <c r="W2" s="7">
        <f>IF(K2="GESCHLOSSEN",
J2/(G2+I2),
IF(K2="OFFEN",
((H2+M2*F2)-G2-I2)/G2,
""))</f>
        <v>7.3199677911044661E-2</v>
      </c>
    </row>
    <row r="3" spans="1:23" x14ac:dyDescent="0.25">
      <c r="L3"/>
      <c r="M3"/>
    </row>
    <row r="4" spans="1:23" x14ac:dyDescent="0.25">
      <c r="L4"/>
      <c r="M4"/>
    </row>
    <row r="5" spans="1:23" x14ac:dyDescent="0.25">
      <c r="L5"/>
      <c r="M5"/>
    </row>
    <row r="6" spans="1:23" x14ac:dyDescent="0.25">
      <c r="L6"/>
      <c r="M6"/>
    </row>
    <row r="7" spans="1:23" x14ac:dyDescent="0.25">
      <c r="L7"/>
      <c r="M7"/>
    </row>
    <row r="8" spans="1:23" x14ac:dyDescent="0.25">
      <c r="L8"/>
      <c r="M8"/>
    </row>
    <row r="9" spans="1:23" x14ac:dyDescent="0.25">
      <c r="L9"/>
      <c r="M9"/>
    </row>
    <row r="10" spans="1:23" x14ac:dyDescent="0.25">
      <c r="L10"/>
      <c r="M10"/>
    </row>
    <row r="11" spans="1:23" x14ac:dyDescent="0.25">
      <c r="L11"/>
      <c r="M11"/>
    </row>
    <row r="12" spans="1:23" x14ac:dyDescent="0.25">
      <c r="L12"/>
      <c r="M12"/>
    </row>
    <row r="13" spans="1:23" x14ac:dyDescent="0.25">
      <c r="L13"/>
      <c r="M13"/>
    </row>
    <row r="14" spans="1:23" x14ac:dyDescent="0.25">
      <c r="L14"/>
      <c r="M14"/>
    </row>
    <row r="15" spans="1:23" x14ac:dyDescent="0.25">
      <c r="L15"/>
      <c r="M15"/>
    </row>
    <row r="16" spans="1:23" x14ac:dyDescent="0.25">
      <c r="L16"/>
      <c r="M16"/>
    </row>
    <row r="17" spans="12:13" x14ac:dyDescent="0.25">
      <c r="L17"/>
      <c r="M17"/>
    </row>
    <row r="18" spans="12:13" x14ac:dyDescent="0.25">
      <c r="L18"/>
      <c r="M18"/>
    </row>
    <row r="19" spans="12:13" x14ac:dyDescent="0.25">
      <c r="L19"/>
      <c r="M19"/>
    </row>
    <row r="20" spans="12:13" x14ac:dyDescent="0.25">
      <c r="L20"/>
      <c r="M20"/>
    </row>
    <row r="21" spans="12:13" x14ac:dyDescent="0.25">
      <c r="L21"/>
      <c r="M21"/>
    </row>
    <row r="22" spans="12:13" x14ac:dyDescent="0.25">
      <c r="L22"/>
      <c r="M22"/>
    </row>
    <row r="23" spans="12:13" x14ac:dyDescent="0.25">
      <c r="L23"/>
      <c r="M23"/>
    </row>
    <row r="24" spans="12:13" x14ac:dyDescent="0.25">
      <c r="L24"/>
      <c r="M24"/>
    </row>
    <row r="25" spans="12:13" x14ac:dyDescent="0.25">
      <c r="L25"/>
      <c r="M25"/>
    </row>
    <row r="26" spans="12:13" x14ac:dyDescent="0.25">
      <c r="L26"/>
      <c r="M26"/>
    </row>
    <row r="27" spans="12:13" x14ac:dyDescent="0.25">
      <c r="L27"/>
      <c r="M27"/>
    </row>
    <row r="28" spans="12:13" x14ac:dyDescent="0.25">
      <c r="L28"/>
      <c r="M28"/>
    </row>
    <row r="29" spans="12:13" x14ac:dyDescent="0.25">
      <c r="L29"/>
      <c r="M29"/>
    </row>
    <row r="30" spans="12:13" x14ac:dyDescent="0.25">
      <c r="L30"/>
      <c r="M30"/>
    </row>
    <row r="31" spans="12:13" x14ac:dyDescent="0.25">
      <c r="L31"/>
      <c r="M31"/>
    </row>
    <row r="32" spans="12:13" x14ac:dyDescent="0.25">
      <c r="L32"/>
      <c r="M32"/>
    </row>
    <row r="33" spans="12:13" x14ac:dyDescent="0.25">
      <c r="L33"/>
      <c r="M33"/>
    </row>
    <row r="34" spans="12:13" x14ac:dyDescent="0.25">
      <c r="L34"/>
      <c r="M34"/>
    </row>
    <row r="35" spans="12:13" x14ac:dyDescent="0.25">
      <c r="L35"/>
      <c r="M35"/>
    </row>
    <row r="36" spans="12:13" x14ac:dyDescent="0.25">
      <c r="L36"/>
      <c r="M36"/>
    </row>
    <row r="37" spans="12:13" x14ac:dyDescent="0.25">
      <c r="L37"/>
      <c r="M37"/>
    </row>
    <row r="38" spans="12:13" x14ac:dyDescent="0.25">
      <c r="L38"/>
      <c r="M38"/>
    </row>
    <row r="39" spans="12:13" x14ac:dyDescent="0.25">
      <c r="L39"/>
      <c r="M39"/>
    </row>
    <row r="40" spans="12:13" x14ac:dyDescent="0.25">
      <c r="L40"/>
      <c r="M40"/>
    </row>
    <row r="41" spans="12:13" x14ac:dyDescent="0.25">
      <c r="L41"/>
      <c r="M41"/>
    </row>
    <row r="42" spans="12:13" x14ac:dyDescent="0.25">
      <c r="L42"/>
      <c r="M42"/>
    </row>
    <row r="43" spans="12:13" x14ac:dyDescent="0.25">
      <c r="L43"/>
      <c r="M43"/>
    </row>
    <row r="44" spans="12:13" x14ac:dyDescent="0.25">
      <c r="L44"/>
      <c r="M44"/>
    </row>
    <row r="45" spans="12:13" x14ac:dyDescent="0.25">
      <c r="L45"/>
      <c r="M45"/>
    </row>
    <row r="46" spans="12:13" x14ac:dyDescent="0.25">
      <c r="L46"/>
      <c r="M46"/>
    </row>
    <row r="47" spans="12:13" x14ac:dyDescent="0.25">
      <c r="L47"/>
      <c r="M47"/>
    </row>
    <row r="48" spans="12:13" x14ac:dyDescent="0.25">
      <c r="L48"/>
      <c r="M48"/>
    </row>
    <row r="49" spans="12:13" x14ac:dyDescent="0.25">
      <c r="L49"/>
      <c r="M49"/>
    </row>
    <row r="50" spans="12:13" x14ac:dyDescent="0.25">
      <c r="L50"/>
      <c r="M50"/>
    </row>
    <row r="51" spans="12:13" x14ac:dyDescent="0.25">
      <c r="L51"/>
      <c r="M51"/>
    </row>
    <row r="52" spans="12:13" x14ac:dyDescent="0.25">
      <c r="L52"/>
      <c r="M52"/>
    </row>
    <row r="53" spans="12:13" x14ac:dyDescent="0.25">
      <c r="L53"/>
      <c r="M53"/>
    </row>
    <row r="54" spans="12:13" x14ac:dyDescent="0.25">
      <c r="L54"/>
      <c r="M54"/>
    </row>
    <row r="55" spans="12:13" x14ac:dyDescent="0.25">
      <c r="L55"/>
      <c r="M55"/>
    </row>
    <row r="56" spans="12:13" x14ac:dyDescent="0.25">
      <c r="L56"/>
      <c r="M56"/>
    </row>
    <row r="57" spans="12:13" x14ac:dyDescent="0.25">
      <c r="L57"/>
      <c r="M57"/>
    </row>
    <row r="58" spans="12:13" x14ac:dyDescent="0.25">
      <c r="L58"/>
      <c r="M58"/>
    </row>
    <row r="59" spans="12:13" x14ac:dyDescent="0.25">
      <c r="L59"/>
      <c r="M59"/>
    </row>
    <row r="60" spans="12:13" x14ac:dyDescent="0.25">
      <c r="L60"/>
      <c r="M60"/>
    </row>
    <row r="61" spans="12:13" x14ac:dyDescent="0.25">
      <c r="L61"/>
      <c r="M61"/>
    </row>
    <row r="62" spans="12:13" x14ac:dyDescent="0.25">
      <c r="L62"/>
      <c r="M62"/>
    </row>
    <row r="76" spans="28:29" x14ac:dyDescent="0.25">
      <c r="AB76" t="str">
        <f>IF(K9="GESCHLOSSEN",
0,
IF(K9="OFFEN",
IF(E2=0,
G9+I9,
H2+SUMIFS(Daten!K:K,Daten!G:G,A2,Daten!E:E,"DIVIDEND")-(G2-(F2*L2))-I2
),
""))</f>
        <v/>
      </c>
      <c r="AC76" t="str">
        <f>IF(K6="GESCHLOSSEN",
H6-G6-I6 + SUMIFS(Daten!K:K,Daten!G:G,A6,Daten!E:E,"DIVIDEND"),
IF(K6="OFFEN",
IF(E6=0,
-I6,
H6+SUMIFS(Daten!K:K,Daten!G:G,A6,Daten!E:E,"DIVIDEND")-(G6-(F6*L6))-I6
),
""))</f>
        <v/>
      </c>
    </row>
    <row r="77" spans="28:29" x14ac:dyDescent="0.25">
      <c r="AC77" s="19">
        <f>H2
-(G2-(F2*L2))
-I2</f>
        <v>-0.21957934999994677</v>
      </c>
    </row>
    <row r="78" spans="28:29" x14ac:dyDescent="0.25">
      <c r="AC78" s="19">
        <f>H4-G4-I4 + SUMIFS(Daten!K:K,Daten!G:G,A4,Daten!E:E,"DIVIDEND")</f>
        <v>0</v>
      </c>
    </row>
    <row r="83" spans="29:30" x14ac:dyDescent="0.25">
      <c r="AC83" s="1">
        <f>_xlfn.MAXIFS(Daten!B:B,Daten!G:G,A14,Daten!E:E,"SELL")</f>
        <v>0</v>
      </c>
      <c r="AD83" s="6">
        <f>SUMIFS(Daten!L:L,Daten!G:G,A14,Daten!E:E,"BUY",Daten!B:B,"&lt;"&amp;_xlfn.MAXIFS(Daten!B:B,Daten!G:G,A14,Daten!E:E,"SELL"))*-1</f>
        <v>0</v>
      </c>
    </row>
    <row r="84" spans="29:30" x14ac:dyDescent="0.25">
      <c r="AC84" s="6">
        <f>SUMIFS(Daten!L:L,Daten!G:G,A14,Daten!E:E,"BUY")*-1</f>
        <v>0</v>
      </c>
      <c r="AD84" s="6">
        <f>SUMIFS(Daten!L:L,Daten!G:G,A14,Daten!E:E,"BUY",Daten!B:B,"&lt;"&amp;AC83)*-1</f>
        <v>0</v>
      </c>
    </row>
    <row r="85" spans="29:30" x14ac:dyDescent="0.25">
      <c r="AC85" s="6">
        <f>SUMIFS(Daten!L:L,Daten!G:G,A14,Daten!E:E,"SELL")*-1</f>
        <v>0</v>
      </c>
      <c r="AD85" s="6"/>
    </row>
    <row r="86" spans="29:30" x14ac:dyDescent="0.25">
      <c r="AC86" s="6">
        <f>H14-(G14-(F14*L14))-SUMIFS(Daten!L:L,Daten!G:G,A14,Daten!E:E,"SELL")*-1</f>
        <v>0</v>
      </c>
      <c r="AD86" s="6">
        <f>H14-(G14-(F14*L14))-SUMIFS(Daten!L:L,Daten!G:G,A14,Daten!E:E,"SELL")*-1 - SUMIFS(Daten!L:L,Daten!G:G,A14,Daten!E:E,"BUY",Daten!B:B,"&lt;"&amp;_xlfn.MAXIFS(Daten!B:B,Daten!G:G,A14,Daten!E:E,"SELL"))*-1</f>
        <v>0</v>
      </c>
    </row>
  </sheetData>
  <autoFilter ref="A1:W62" xr:uid="{00000000-0001-0000-0100-000000000000}"/>
  <sortState xmlns:xlrd2="http://schemas.microsoft.com/office/spreadsheetml/2017/richdata2" ref="A2:AD86">
    <sortCondition ref="A2:A86"/>
  </sortState>
  <conditionalFormatting sqref="N2:N1048576">
    <cfRule type="cellIs" dxfId="32" priority="8" operator="lessThan">
      <formula>0</formula>
    </cfRule>
    <cfRule type="cellIs" dxfId="31" priority="9" operator="greaterThan">
      <formula>0</formula>
    </cfRule>
    <cfRule type="cellIs" dxfId="30" priority="11" operator="greaterThan">
      <formula>0</formula>
    </cfRule>
  </conditionalFormatting>
  <conditionalFormatting sqref="Q2:R1048576">
    <cfRule type="cellIs" dxfId="29" priority="3" operator="lessThan">
      <formula>0</formula>
    </cfRule>
    <cfRule type="cellIs" dxfId="28" priority="4" operator="greaterThan">
      <formula>0</formula>
    </cfRule>
  </conditionalFormatting>
  <conditionalFormatting sqref="V2:W1048576">
    <cfRule type="cellIs" dxfId="27" priority="1" operator="lessThan">
      <formula>0</formula>
    </cfRule>
    <cfRule type="cellIs" dxfId="26" priority="2" operator="greaterThan">
      <formula>0</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262F8-DDEC-4765-A976-35CCA92C6851}">
  <dimension ref="A1:E144"/>
  <sheetViews>
    <sheetView topLeftCell="A106" zoomScale="115" zoomScaleNormal="115" workbookViewId="0">
      <selection activeCell="E130" sqref="E130"/>
    </sheetView>
  </sheetViews>
  <sheetFormatPr baseColWidth="10" defaultRowHeight="15" x14ac:dyDescent="0.25"/>
  <cols>
    <col min="1" max="1" width="50.140625" bestFit="1" customWidth="1"/>
    <col min="2" max="2" width="12.7109375" bestFit="1" customWidth="1"/>
    <col min="4" max="4" width="12" bestFit="1" customWidth="1"/>
    <col min="5" max="5" width="12.7109375" bestFit="1" customWidth="1"/>
  </cols>
  <sheetData>
    <row r="1" spans="1:3" s="12" customFormat="1" ht="15.75" x14ac:dyDescent="0.25">
      <c r="A1" s="10" t="s">
        <v>42</v>
      </c>
      <c r="B1" s="11"/>
    </row>
    <row r="2" spans="1:3" s="12" customFormat="1" ht="15.75" x14ac:dyDescent="0.25">
      <c r="A2" s="10"/>
      <c r="B2" s="11"/>
    </row>
    <row r="3" spans="1:3" s="12" customFormat="1" ht="15.75" x14ac:dyDescent="0.25">
      <c r="A3" s="13" t="s">
        <v>43</v>
      </c>
      <c r="B3" s="11">
        <f>COUNTA(Auswertung!A:A) - 1</f>
        <v>1</v>
      </c>
      <c r="C3" s="23">
        <f>IF(ABS(B3)&gt;0,B3/B3,0)</f>
        <v>1</v>
      </c>
    </row>
    <row r="4" spans="1:3" s="12" customFormat="1" ht="15.75" x14ac:dyDescent="0.25">
      <c r="A4" s="13" t="s">
        <v>75</v>
      </c>
      <c r="B4" s="11">
        <f>COUNTIFS(Auswertung!B:B,"STOCK")</f>
        <v>0</v>
      </c>
      <c r="C4" s="23">
        <f>IF(ABS(B3)&gt;0,B4/B3,0)</f>
        <v>0</v>
      </c>
    </row>
    <row r="5" spans="1:3" s="12" customFormat="1" ht="15.75" x14ac:dyDescent="0.25">
      <c r="A5" s="13" t="s">
        <v>76</v>
      </c>
      <c r="B5" s="11">
        <f>COUNTIFS(Auswertung!B:B,"FUND")</f>
        <v>1</v>
      </c>
      <c r="C5" s="23">
        <f>IF(ABS(B3)&gt;0,B5/B3,0)</f>
        <v>1</v>
      </c>
    </row>
    <row r="6" spans="1:3" s="12" customFormat="1" ht="15.75" x14ac:dyDescent="0.25">
      <c r="A6" s="13" t="s">
        <v>77</v>
      </c>
      <c r="B6" s="11">
        <f>COUNTIFS(Auswertung!B:B,"CRYPTO")</f>
        <v>0</v>
      </c>
      <c r="C6" s="23">
        <f>IF(ABS(B3)&gt;0,B6/B3,0)</f>
        <v>0</v>
      </c>
    </row>
    <row r="7" spans="1:3" s="12" customFormat="1" ht="15.75" x14ac:dyDescent="0.25">
      <c r="A7" s="13"/>
      <c r="B7" s="11"/>
    </row>
    <row r="8" spans="1:3" s="12" customFormat="1" ht="15.75" x14ac:dyDescent="0.25">
      <c r="A8" s="13" t="s">
        <v>81</v>
      </c>
      <c r="B8" s="11">
        <f>COUNTIFS(Auswertung!K:K,"OFFEN")</f>
        <v>1</v>
      </c>
      <c r="C8" s="23">
        <f>IF(ABS(B8)&gt;0,B8/B8,0)</f>
        <v>1</v>
      </c>
    </row>
    <row r="9" spans="1:3" s="12" customFormat="1" ht="15.75" x14ac:dyDescent="0.25">
      <c r="A9" s="13" t="s">
        <v>78</v>
      </c>
      <c r="B9" s="11">
        <f>COUNTIFS(Auswertung!B:B,"STOCK",Auswertung!K:K,"OFFEN")</f>
        <v>0</v>
      </c>
      <c r="C9" s="23">
        <f>IF(ABS(B8)&gt;0,B9/B8,0)</f>
        <v>0</v>
      </c>
    </row>
    <row r="10" spans="1:3" s="12" customFormat="1" ht="15.75" x14ac:dyDescent="0.25">
      <c r="A10" s="13" t="s">
        <v>79</v>
      </c>
      <c r="B10" s="11">
        <f>COUNTIFS(Auswertung!B:B,"FUND",Auswertung!K:K,"OFFEN")</f>
        <v>1</v>
      </c>
      <c r="C10" s="23">
        <f>IF(ABS(B8)&gt;0,B10/B8,0)</f>
        <v>1</v>
      </c>
    </row>
    <row r="11" spans="1:3" s="12" customFormat="1" ht="15.75" x14ac:dyDescent="0.25">
      <c r="A11" s="13" t="s">
        <v>80</v>
      </c>
      <c r="B11" s="11">
        <f>COUNTIFS(Auswertung!B:B,"CRYPTO",Auswertung!K:K,"OFFEN")</f>
        <v>0</v>
      </c>
      <c r="C11" s="23">
        <f>IF(ABS(B8)&gt;0,B11/B8,0)</f>
        <v>0</v>
      </c>
    </row>
    <row r="12" spans="1:3" s="12" customFormat="1" ht="15.75" x14ac:dyDescent="0.25">
      <c r="A12" s="13"/>
      <c r="B12" s="11"/>
    </row>
    <row r="13" spans="1:3" s="12" customFormat="1" ht="15.75" x14ac:dyDescent="0.25">
      <c r="A13" s="13" t="s">
        <v>82</v>
      </c>
      <c r="B13" s="11">
        <f>COUNTIFS(Auswertung!K:K,"GESCHLOSSEN")</f>
        <v>0</v>
      </c>
    </row>
    <row r="14" spans="1:3" s="12" customFormat="1" ht="15.75" x14ac:dyDescent="0.25">
      <c r="A14" s="13" t="s">
        <v>83</v>
      </c>
      <c r="B14" s="11">
        <f>COUNTIFS(Auswertung!B:B,"STOCK",Auswertung!K:K,"GESCHLOSSEN")</f>
        <v>0</v>
      </c>
    </row>
    <row r="15" spans="1:3" s="12" customFormat="1" ht="15.75" x14ac:dyDescent="0.25">
      <c r="A15" s="13" t="s">
        <v>84</v>
      </c>
      <c r="B15" s="11">
        <f>COUNTIFS(Auswertung!B:B,"FUND",Auswertung!K:K,"GESCHLOSSEN")</f>
        <v>0</v>
      </c>
    </row>
    <row r="16" spans="1:3" s="12" customFormat="1" ht="15.75" x14ac:dyDescent="0.25">
      <c r="A16" s="13" t="s">
        <v>85</v>
      </c>
      <c r="B16" s="11">
        <f>COUNTIFS(Auswertung!B:B,"CRYPTO",Auswertung!K:K,"GESCHLOSSEN")</f>
        <v>0</v>
      </c>
    </row>
    <row r="17" spans="1:5" s="12" customFormat="1" ht="15.75" x14ac:dyDescent="0.25">
      <c r="A17" s="13"/>
      <c r="B17" s="11"/>
    </row>
    <row r="18" spans="1:5" s="12" customFormat="1" ht="15.75" x14ac:dyDescent="0.25">
      <c r="A18" s="13" t="s">
        <v>160</v>
      </c>
      <c r="B18" s="14">
        <f>SUM(Auswertung!G:G)-SUMIFS(Daten!L:L,Daten!E:E,"BUY")</f>
        <v>405.20000000000005</v>
      </c>
      <c r="D18" s="22">
        <f>-SUMIFS(Daten!K:K,Daten!E:E,"BUY")-SUMIFS(Daten!L:L,Daten!E:E,"BUY")</f>
        <v>405.20000000000005</v>
      </c>
    </row>
    <row r="19" spans="1:5" s="12" customFormat="1" ht="15.75" x14ac:dyDescent="0.25">
      <c r="A19" s="13" t="s">
        <v>161</v>
      </c>
      <c r="B19" s="14">
        <f>SUMIFS(Auswertung!G:G,Auswertung!B:B,"STOCK")+SUMIFS(Auswertung!G:G,Auswertung!B:B,"FUND")-SUMIFS(Daten!L:L,Daten!E:E,"BUY",Daten!F:F,"STOCK")-SUMIFS(Daten!L:L,Daten!E:E,"BUY",Daten!F:F,"FUND")</f>
        <v>405.20000000000005</v>
      </c>
      <c r="C19" s="23">
        <f>IF(ABS(B18)&gt;0,B19/B18,0)</f>
        <v>1</v>
      </c>
      <c r="D19" s="22">
        <f>-SUMIFS(Daten!K:K,Daten!F:F,"STOCK",Daten!E:E,"BUY")-SUMIFS(Daten!K:K,Daten!F:F,"FUND",Daten!E:E,"BUY")-SUMIFS(Daten!L:L,Daten!E:E,"BUY",Daten!F:F,"STOCK")-SUMIFS(Daten!L:L,Daten!E:E,"BUY",Daten!F:F,"FUND")</f>
        <v>405.20000000000005</v>
      </c>
    </row>
    <row r="20" spans="1:5" s="12" customFormat="1" ht="15.75" x14ac:dyDescent="0.25">
      <c r="A20" s="13" t="s">
        <v>162</v>
      </c>
      <c r="B20" s="14">
        <f>SUMIFS(Auswertung!G:G,Auswertung!B:B,"STOCK")-SUMIFS(Daten!L:L,Daten!E:E,"BUY",Daten!F:F,"STOCK")</f>
        <v>0</v>
      </c>
      <c r="C20" s="23">
        <f>IF(ABS(B18)&gt;0,B20/B18,0)</f>
        <v>0</v>
      </c>
      <c r="D20" s="22">
        <f>-SUMIFS(Daten!K:K,Daten!F:F,"STOCK",Daten!E:E,"BUY")-SUMIFS(Daten!L:L,Daten!E:E,"BUY",Daten!F:F,"STOCK")</f>
        <v>0</v>
      </c>
    </row>
    <row r="21" spans="1:5" s="12" customFormat="1" ht="15.75" x14ac:dyDescent="0.25">
      <c r="A21" s="13" t="s">
        <v>163</v>
      </c>
      <c r="B21" s="14">
        <f>SUMIFS(Auswertung!G:G,Auswertung!B:B,"FUND")-SUMIFS(Daten!L:L,Daten!E:E,"BUY",Daten!F:F,"FUND")</f>
        <v>405.20000000000005</v>
      </c>
      <c r="C21" s="23">
        <f>IF(ABS(B18)&gt;0,B21/B18,0)</f>
        <v>1</v>
      </c>
      <c r="D21" s="22">
        <f>-SUMIFS(Daten!K:K,Daten!F:F,"FUND",Daten!E:E,"BUY")-SUMIFS(Daten!L:L,Daten!E:E,"BUY",Daten!F:F,"FUND")</f>
        <v>405.20000000000005</v>
      </c>
    </row>
    <row r="22" spans="1:5" s="12" customFormat="1" ht="15.75" x14ac:dyDescent="0.25">
      <c r="A22" s="13" t="s">
        <v>164</v>
      </c>
      <c r="B22" s="14">
        <f>SUMIFS(Auswertung!G:G,Auswertung!B:B,"CRYPTO")-SUMIFS(Daten!L:L,Daten!E:E,"BUY",Daten!F:F,"CRYPTO")</f>
        <v>0</v>
      </c>
      <c r="C22" s="23">
        <f>IF(ABS(B18)&gt;0,B22/B18,0)</f>
        <v>0</v>
      </c>
      <c r="D22" s="22">
        <f>-SUMIFS(Daten!K:K,Daten!F:F,"CRYPTO",Daten!E:E,"BUY")-SUMIFS(Daten!L:L,Daten!E:E,"BUY",Daten!F:F,"CRYPTO")</f>
        <v>0</v>
      </c>
    </row>
    <row r="23" spans="1:5" s="12" customFormat="1" ht="15.75" x14ac:dyDescent="0.25">
      <c r="A23" s="13"/>
      <c r="B23" s="14"/>
      <c r="C23" s="23"/>
      <c r="D23" s="22"/>
    </row>
    <row r="24" spans="1:5" s="12" customFormat="1" ht="15.75" x14ac:dyDescent="0.25">
      <c r="A24" s="13" t="s">
        <v>165</v>
      </c>
      <c r="B24" s="14">
        <f>SUM(Auswertung!G:G)</f>
        <v>400.20000000000005</v>
      </c>
      <c r="C24" s="23"/>
      <c r="D24" s="22">
        <f>-SUMIFS(Daten!K:K,Daten!E:E,"BUY")</f>
        <v>400.20000000000005</v>
      </c>
    </row>
    <row r="25" spans="1:5" s="12" customFormat="1" ht="15.75" x14ac:dyDescent="0.25">
      <c r="A25" s="13" t="s">
        <v>166</v>
      </c>
      <c r="B25" s="14">
        <f>SUMIFS(Auswertung!G:G,Auswertung!B:B,"STOCK")+SUMIFS(Auswertung!G:G,Auswertung!B:B,"FUND")</f>
        <v>400.20000000000005</v>
      </c>
      <c r="C25" s="23">
        <f>IF(ABS(B24)&gt;0,B25/B24,0)</f>
        <v>1</v>
      </c>
      <c r="D25" s="22">
        <f>-SUMIFS(Daten!K:K,Daten!F:F,"STOCK",Daten!E:E,"BUY")-SUMIFS(Daten!K:K,Daten!F:F,"FUND",Daten!E:E,"BUY")</f>
        <v>400.20000000000005</v>
      </c>
    </row>
    <row r="26" spans="1:5" s="12" customFormat="1" ht="15.75" x14ac:dyDescent="0.25">
      <c r="A26" s="13" t="s">
        <v>167</v>
      </c>
      <c r="B26" s="14">
        <f>SUMIFS(Auswertung!G:G,Auswertung!B:B,"STOCK")</f>
        <v>0</v>
      </c>
      <c r="C26" s="23">
        <f>IF(ABS(B24)&gt;0,B26/B24,0)</f>
        <v>0</v>
      </c>
      <c r="D26" s="22">
        <f>-SUMIFS(Daten!K:K,Daten!F:F,"STOCK",Daten!E:E,"BUY")</f>
        <v>0</v>
      </c>
    </row>
    <row r="27" spans="1:5" s="12" customFormat="1" ht="15.75" x14ac:dyDescent="0.25">
      <c r="A27" s="13" t="s">
        <v>168</v>
      </c>
      <c r="B27" s="14">
        <f>SUMIFS(Auswertung!G:G,Auswertung!B:B,"FUND")</f>
        <v>400.20000000000005</v>
      </c>
      <c r="C27" s="23">
        <f>IF(ABS(B24)&gt;0,B27/B24,0)</f>
        <v>1</v>
      </c>
      <c r="D27" s="22">
        <f>-SUMIFS(Daten!K:K,Daten!F:F,"FUND",Daten!E:E,"BUY")</f>
        <v>400.20000000000005</v>
      </c>
    </row>
    <row r="28" spans="1:5" s="12" customFormat="1" ht="15.75" x14ac:dyDescent="0.25">
      <c r="A28" s="13" t="s">
        <v>169</v>
      </c>
      <c r="B28" s="14">
        <f>SUMIFS(Auswertung!G:G,Auswertung!B:B,"CRYPTO")</f>
        <v>0</v>
      </c>
      <c r="C28" s="23">
        <f>IF(ABS(B24)&gt;0,B28/B24,0)</f>
        <v>0</v>
      </c>
      <c r="D28" s="22">
        <f>-SUMIFS(Daten!K:K,Daten!F:F,"CRYPTO",Daten!E:E,"BUY")</f>
        <v>0</v>
      </c>
    </row>
    <row r="29" spans="1:5" s="12" customFormat="1" ht="15.75" x14ac:dyDescent="0.25">
      <c r="A29" s="13"/>
      <c r="B29" s="14"/>
    </row>
    <row r="30" spans="1:5" s="12" customFormat="1" ht="15.75" x14ac:dyDescent="0.25">
      <c r="A30" s="13" t="s">
        <v>174</v>
      </c>
      <c r="B30" s="14">
        <f>SUM(Auswertung!H:H)-SUMIFS(Daten!L:L,Daten!E:E,"SELL")</f>
        <v>0</v>
      </c>
      <c r="D30" s="22">
        <f>SUMIFS(Daten!K:K,Daten!E:E,"SELL")-SUMIFS(Daten!L:L,Daten!E:E,"SELL")</f>
        <v>0</v>
      </c>
      <c r="E30" s="22"/>
    </row>
    <row r="31" spans="1:5" s="12" customFormat="1" ht="15.75" x14ac:dyDescent="0.25">
      <c r="A31" s="13" t="s">
        <v>170</v>
      </c>
      <c r="B31" s="14">
        <f>SUMIFS(Auswertung!H:H,Auswertung!B:B,"STOCK")+SUMIFS(Auswertung!H:H,Auswertung!B:B,"FUND")-SUMIFS(Daten!L:L,Daten!E:E,"SELL",Daten!F:F,"STOCK")-SUMIFS(Daten!L:L,Daten!E:E,"SELL",Daten!F:F,"FUND")</f>
        <v>0</v>
      </c>
      <c r="C31" s="23">
        <f>IF(ABS(B30)&gt;0,B31/B30,0)</f>
        <v>0</v>
      </c>
      <c r="D31" s="22">
        <f>SUMIFS(Daten!K:K,Daten!F:F,"STOCK",Daten!E:E,"SELL")+SUMIFS(Daten!K:K,Daten!F:F,"FUND",Daten!E:E,"SELL")-SUMIFS(Daten!L:L,Daten!E:E,"SELL",Daten!F:F,"STOCK")-SUMIFS(Daten!L:L,Daten!E:E,"SELL",Daten!F:F,"FUND")</f>
        <v>0</v>
      </c>
      <c r="E31" s="22"/>
    </row>
    <row r="32" spans="1:5" s="12" customFormat="1" ht="15.75" x14ac:dyDescent="0.25">
      <c r="A32" s="13" t="s">
        <v>171</v>
      </c>
      <c r="B32" s="14">
        <f>SUMIFS(Auswertung!H:H,Auswertung!B:B,"STOCK")-SUMIFS(Daten!L:L,Daten!E:E,"SELL",Daten!F:F,"STOCK")</f>
        <v>0</v>
      </c>
      <c r="C32" s="23">
        <f>IF(ABS(B30)&gt;0,B32/B30,0)</f>
        <v>0</v>
      </c>
      <c r="D32" s="22">
        <f>SUMIFS(Daten!K:K,Daten!F:F,"STOCK",Daten!E:E,"SELL")-SUMIFS(Daten!L:L,Daten!E:E,"SELL",Daten!F:F,"STOCK")</f>
        <v>0</v>
      </c>
    </row>
    <row r="33" spans="1:4" s="12" customFormat="1" ht="15.75" x14ac:dyDescent="0.25">
      <c r="A33" s="13" t="s">
        <v>172</v>
      </c>
      <c r="B33" s="14">
        <f>SUMIFS(Auswertung!H:H,Auswertung!B:B,"FUND")-SUMIFS(Daten!L:L,Daten!E:E,"SELL",Daten!F:F,"FUND")</f>
        <v>0</v>
      </c>
      <c r="C33" s="23">
        <f>IF(ABS(B30)&gt;0,B33/B30,0)</f>
        <v>0</v>
      </c>
      <c r="D33" s="22">
        <f>SUMIFS(Daten!K:K,Daten!F:F,"FUND",Daten!E:E,"SELL")-SUMIFS(Daten!L:L,Daten!E:E,"SELL",Daten!F:F,"FUND")</f>
        <v>0</v>
      </c>
    </row>
    <row r="34" spans="1:4" s="12" customFormat="1" ht="15.75" x14ac:dyDescent="0.25">
      <c r="A34" s="13" t="s">
        <v>173</v>
      </c>
      <c r="B34" s="14">
        <f>SUMIFS(Auswertung!H:H,Auswertung!B:B,"CRYPTO")-SUMIFS(Daten!L:L,Daten!E:E,"SELL",Daten!F:F,"CRYPTO")</f>
        <v>0</v>
      </c>
      <c r="C34" s="23">
        <f>IF(ABS(B30)&gt;0,B33/B30,0)</f>
        <v>0</v>
      </c>
      <c r="D34" s="22">
        <f>SUMIFS(Daten!K:K,Daten!F:F,"CRYPTO",Daten!E:E,"SELL")-SUMIFS(Daten!L:L,Daten!E:E,"SELL",Daten!F:F,"CRYPTO")</f>
        <v>0</v>
      </c>
    </row>
    <row r="35" spans="1:4" s="12" customFormat="1" ht="15.75" x14ac:dyDescent="0.25">
      <c r="A35" s="13"/>
      <c r="B35" s="14"/>
      <c r="C35" s="23"/>
      <c r="D35" s="22"/>
    </row>
    <row r="36" spans="1:4" s="12" customFormat="1" ht="15.75" x14ac:dyDescent="0.25">
      <c r="A36" s="13" t="s">
        <v>175</v>
      </c>
      <c r="B36" s="14">
        <f>SUM(Auswertung!H:H)</f>
        <v>0</v>
      </c>
      <c r="C36" s="23"/>
      <c r="D36" s="22">
        <f>SUMIFS(Daten!K:K,Daten!E:E,"SELL")</f>
        <v>0</v>
      </c>
    </row>
    <row r="37" spans="1:4" s="12" customFormat="1" ht="15.75" x14ac:dyDescent="0.25">
      <c r="A37" s="13" t="s">
        <v>176</v>
      </c>
      <c r="B37" s="14">
        <f>SUMIFS(Auswertung!H:H,Auswertung!B:B,"STOCK")+SUMIFS(Auswertung!H:H,Auswertung!B:B,"FUND")</f>
        <v>0</v>
      </c>
      <c r="C37" s="23">
        <f>IF(ABS(B36)&gt;0,B37/B36,0)</f>
        <v>0</v>
      </c>
      <c r="D37" s="22">
        <f>SUMIFS(Daten!K:K,Daten!F:F,"STOCK",Daten!E:E,"SELL")+SUMIFS(Daten!K:K,Daten!F:F,"FUND",Daten!E:E,"SELL")</f>
        <v>0</v>
      </c>
    </row>
    <row r="38" spans="1:4" s="12" customFormat="1" ht="15.75" x14ac:dyDescent="0.25">
      <c r="A38" s="13" t="s">
        <v>177</v>
      </c>
      <c r="B38" s="14">
        <f>SUMIFS(Auswertung!H:H,Auswertung!B:B,"STOCK")</f>
        <v>0</v>
      </c>
      <c r="C38" s="23">
        <f>IF(ABS(B36)&gt;0,B38/B36,0)</f>
        <v>0</v>
      </c>
      <c r="D38" s="22">
        <f>SUMIFS(Daten!K:K,Daten!F:F,"STOCK",Daten!E:E,"SELL")</f>
        <v>0</v>
      </c>
    </row>
    <row r="39" spans="1:4" s="12" customFormat="1" ht="15.75" x14ac:dyDescent="0.25">
      <c r="A39" s="13" t="s">
        <v>178</v>
      </c>
      <c r="B39" s="14">
        <f>SUMIFS(Auswertung!H:H,Auswertung!B:B,"FUND")</f>
        <v>0</v>
      </c>
      <c r="C39" s="23">
        <f>IF(ABS(B36)&gt;0,B39/B36,0)</f>
        <v>0</v>
      </c>
      <c r="D39" s="22">
        <f>SUMIFS(Daten!K:K,Daten!F:F,"FUND",Daten!E:E,"SELL")</f>
        <v>0</v>
      </c>
    </row>
    <row r="40" spans="1:4" s="12" customFormat="1" ht="15.75" x14ac:dyDescent="0.25">
      <c r="A40" s="13" t="s">
        <v>179</v>
      </c>
      <c r="B40" s="14">
        <f>SUMIFS(Auswertung!H:H,Auswertung!B:B,"CRYPTO")</f>
        <v>0</v>
      </c>
      <c r="C40" s="23">
        <f>IF(ABS(B36)&gt;0,B40/B36,0)</f>
        <v>0</v>
      </c>
      <c r="D40" s="22">
        <f>SUMIFS(Daten!K:K,Daten!F:F,"CRYPTO",Daten!E:E,"SELL")</f>
        <v>0</v>
      </c>
    </row>
    <row r="41" spans="1:4" s="12" customFormat="1" ht="15.75" x14ac:dyDescent="0.25">
      <c r="A41" s="13"/>
      <c r="B41" s="14"/>
    </row>
    <row r="42" spans="1:4" s="12" customFormat="1" ht="15.75" x14ac:dyDescent="0.25">
      <c r="A42" s="13" t="s">
        <v>44</v>
      </c>
      <c r="B42" s="14">
        <f>SUM(Auswertung!I:I)</f>
        <v>5</v>
      </c>
      <c r="C42" s="22">
        <f>-SUM(Daten!L:L)</f>
        <v>5</v>
      </c>
      <c r="D42" s="23"/>
    </row>
    <row r="43" spans="1:4" s="12" customFormat="1" ht="15.75" x14ac:dyDescent="0.25">
      <c r="A43" s="13" t="s">
        <v>154</v>
      </c>
      <c r="B43" s="14">
        <f>SUMIFS(Auswertung!I:I,Auswertung!B:B,"STOCK")+SUMIFS(Auswertung!I:I,Auswertung!B:B,"FUND")</f>
        <v>5</v>
      </c>
      <c r="C43" s="22">
        <f xml:space="preserve"> -SUMIFS(Daten!L:L,Daten!F:F,"STOCK")-SUMIFS(Daten!L:L,Daten!F:F,"FUND")</f>
        <v>5</v>
      </c>
      <c r="D43" s="23">
        <f>IF(ABS(C42)&gt;0,C43/C42,0)</f>
        <v>1</v>
      </c>
    </row>
    <row r="44" spans="1:4" s="12" customFormat="1" ht="15.75" x14ac:dyDescent="0.25">
      <c r="A44" s="13" t="s">
        <v>89</v>
      </c>
      <c r="B44" s="14">
        <f>SUMIFS(Auswertung!I:I,Auswertung!B:B,"STOCK")</f>
        <v>0</v>
      </c>
      <c r="C44" s="22">
        <f xml:space="preserve"> -SUMIFS(Daten!L:L,Daten!F:F,"STOCK")</f>
        <v>0</v>
      </c>
      <c r="D44" s="23">
        <f>IF(ABS(C42)&gt;0,C44/C42,0)</f>
        <v>0</v>
      </c>
    </row>
    <row r="45" spans="1:4" s="12" customFormat="1" ht="15.75" x14ac:dyDescent="0.25">
      <c r="A45" s="13" t="s">
        <v>90</v>
      </c>
      <c r="B45" s="14">
        <f>SUMIFS(Auswertung!I:I,Auswertung!B:B,"FUND")</f>
        <v>5</v>
      </c>
      <c r="C45" s="22">
        <f xml:space="preserve"> -SUMIFS(Daten!L:L,Daten!F:F,"FUND")</f>
        <v>5</v>
      </c>
      <c r="D45" s="23">
        <f>IF(ABS(C42)&gt;0,C45/C42,0)</f>
        <v>1</v>
      </c>
    </row>
    <row r="46" spans="1:4" s="12" customFormat="1" ht="15.75" x14ac:dyDescent="0.25">
      <c r="A46" s="13" t="s">
        <v>91</v>
      </c>
      <c r="B46" s="14">
        <f>SUMIFS(Auswertung!I:I,Auswertung!B:B,"CRYPTO")</f>
        <v>0</v>
      </c>
      <c r="C46" s="22">
        <f xml:space="preserve"> -SUMIFS(Daten!L:L,Daten!F:F,"CRYPTO")</f>
        <v>0</v>
      </c>
      <c r="D46" s="23">
        <f>IF(ABS(C42)&gt;0,C46/C42,0)</f>
        <v>0</v>
      </c>
    </row>
    <row r="47" spans="1:4" s="12" customFormat="1" ht="15.75" x14ac:dyDescent="0.25">
      <c r="A47" s="13"/>
      <c r="B47" s="14"/>
    </row>
    <row r="48" spans="1:4" s="12" customFormat="1" ht="15.75" x14ac:dyDescent="0.25">
      <c r="A48" s="13" t="s">
        <v>138</v>
      </c>
      <c r="B48" s="14">
        <f xml:space="preserve"> -SUMIFS(Daten!L:L,Daten!E:E,"BUY")</f>
        <v>5</v>
      </c>
    </row>
    <row r="49" spans="1:3" s="12" customFormat="1" ht="15.75" x14ac:dyDescent="0.25">
      <c r="A49" s="13" t="s">
        <v>155</v>
      </c>
      <c r="B49" s="14">
        <f xml:space="preserve"> -SUMIFS(Daten!L:L,Daten!E:E,"BUY",Daten!F:F,"STOCK")-SUMIFS(Daten!L:L,Daten!E:E,"BUY",Daten!F:F,"FUND")</f>
        <v>5</v>
      </c>
      <c r="C49" s="23">
        <f>IF(ABS(B48)&gt;0,B49/B48,0)</f>
        <v>1</v>
      </c>
    </row>
    <row r="50" spans="1:3" s="12" customFormat="1" ht="15.75" x14ac:dyDescent="0.25">
      <c r="A50" s="13" t="s">
        <v>139</v>
      </c>
      <c r="B50" s="14">
        <f xml:space="preserve"> -SUMIFS(Daten!L:L,Daten!E:E,"BUY",Daten!F:F,"STOCK")</f>
        <v>0</v>
      </c>
      <c r="C50" s="23">
        <f>IF(ABS(B48)&gt;0,B50/B48,0)</f>
        <v>0</v>
      </c>
    </row>
    <row r="51" spans="1:3" s="12" customFormat="1" ht="15.75" x14ac:dyDescent="0.25">
      <c r="A51" s="13" t="s">
        <v>140</v>
      </c>
      <c r="B51" s="14">
        <f xml:space="preserve"> -SUMIFS(Daten!L:L,Daten!E:E,"BUY",Daten!F:F,"FUND")</f>
        <v>5</v>
      </c>
      <c r="C51" s="23">
        <f>IF(ABS(B48)&gt;0,B51/B48,0)</f>
        <v>1</v>
      </c>
    </row>
    <row r="52" spans="1:3" s="12" customFormat="1" ht="15.75" x14ac:dyDescent="0.25">
      <c r="A52" s="13" t="s">
        <v>141</v>
      </c>
      <c r="B52" s="14">
        <f xml:space="preserve"> -SUMIFS(Daten!L:L,Daten!E:E,"BUY",Daten!F:F,"CRYPTO")</f>
        <v>0</v>
      </c>
      <c r="C52" s="23">
        <f>IF(ABS(B48)&gt;0,B52/B48,0)</f>
        <v>0</v>
      </c>
    </row>
    <row r="53" spans="1:3" s="12" customFormat="1" ht="15.75" x14ac:dyDescent="0.25">
      <c r="A53" s="13"/>
      <c r="B53" s="14"/>
    </row>
    <row r="54" spans="1:3" s="12" customFormat="1" ht="15.75" x14ac:dyDescent="0.25">
      <c r="A54" s="13" t="s">
        <v>143</v>
      </c>
      <c r="B54" s="14">
        <f xml:space="preserve"> -SUMIFS(Daten!L:L,Daten!E:E,"SELL")</f>
        <v>0</v>
      </c>
      <c r="C54" s="23"/>
    </row>
    <row r="55" spans="1:3" s="12" customFormat="1" ht="15.75" x14ac:dyDescent="0.25">
      <c r="A55" s="13" t="s">
        <v>156</v>
      </c>
      <c r="B55" s="14">
        <f xml:space="preserve"> -SUMIFS(Daten!L:L,Daten!E:E,"SELL",Daten!F:F,"STOCK")-SUMIFS(Daten!L:L,Daten!E:E,"SELL",Daten!F:F,"FUND")</f>
        <v>0</v>
      </c>
      <c r="C55" s="23">
        <f>IF(ABS(B54)&gt;0,B55/B54,0)</f>
        <v>0</v>
      </c>
    </row>
    <row r="56" spans="1:3" s="12" customFormat="1" ht="15.75" x14ac:dyDescent="0.25">
      <c r="A56" s="13" t="s">
        <v>142</v>
      </c>
      <c r="B56" s="14">
        <f xml:space="preserve"> -SUMIFS(Daten!L:L,Daten!E:E,"SELL",Daten!F:F,"STOCK")</f>
        <v>0</v>
      </c>
      <c r="C56" s="23">
        <f>IF(ABS(B54)&gt;0,B56/B54,0)</f>
        <v>0</v>
      </c>
    </row>
    <row r="57" spans="1:3" s="12" customFormat="1" ht="15.75" x14ac:dyDescent="0.25">
      <c r="A57" s="13" t="s">
        <v>144</v>
      </c>
      <c r="B57" s="14">
        <f xml:space="preserve"> -SUMIFS(Daten!L:L,Daten!E:E,"SELL",Daten!F:F,"FUND")</f>
        <v>0</v>
      </c>
      <c r="C57" s="23">
        <f>IF(ABS(B54)&gt;0,B57/B54,0)</f>
        <v>0</v>
      </c>
    </row>
    <row r="58" spans="1:3" s="12" customFormat="1" ht="15.75" x14ac:dyDescent="0.25">
      <c r="A58" s="13" t="s">
        <v>145</v>
      </c>
      <c r="B58" s="14">
        <f xml:space="preserve"> -SUMIFS(Daten!L:L,Daten!E:E,"SELL",Daten!F:F,"CRYPTO")</f>
        <v>0</v>
      </c>
      <c r="C58" s="23">
        <f>IF(ABS(B54)&gt;0,B58/B54,0)</f>
        <v>0</v>
      </c>
    </row>
    <row r="59" spans="1:3" s="12" customFormat="1" ht="15.75" x14ac:dyDescent="0.25">
      <c r="A59" s="13"/>
      <c r="B59" s="14"/>
      <c r="C59" s="23"/>
    </row>
    <row r="60" spans="1:3" s="12" customFormat="1" ht="15.75" x14ac:dyDescent="0.25">
      <c r="A60" s="13" t="s">
        <v>182</v>
      </c>
      <c r="B60" s="29">
        <f xml:space="preserve"> SUM(Auswertung!T:T)</f>
        <v>5</v>
      </c>
      <c r="C60" s="23"/>
    </row>
    <row r="61" spans="1:3" s="12" customFormat="1" ht="15.75" x14ac:dyDescent="0.25">
      <c r="A61" s="13" t="s">
        <v>183</v>
      </c>
      <c r="B61" s="29">
        <f xml:space="preserve"> SUMIFS(Auswertung!T:T,Auswertung!B:B,"STOCK")+SUMIFS(Auswertung!T:T,Auswertung!B:B,"FUND")</f>
        <v>5</v>
      </c>
      <c r="C61" s="23">
        <f>IF(ABS(B60)&gt;0,B61/B60,0)</f>
        <v>1</v>
      </c>
    </row>
    <row r="62" spans="1:3" s="12" customFormat="1" ht="15.75" x14ac:dyDescent="0.25">
      <c r="A62" s="13" t="s">
        <v>184</v>
      </c>
      <c r="B62" s="29">
        <f>SUMIFS(Auswertung!T:T,Auswertung!B:B,"STOCK")</f>
        <v>0</v>
      </c>
      <c r="C62" s="23">
        <f>IF(ABS(B60)&gt;0,B62/B60,0)</f>
        <v>0</v>
      </c>
    </row>
    <row r="63" spans="1:3" s="12" customFormat="1" ht="15.75" x14ac:dyDescent="0.25">
      <c r="A63" s="13" t="s">
        <v>185</v>
      </c>
      <c r="B63" s="29">
        <f>SUMIFS(Auswertung!T:T,Auswertung!B:B,"FUND")</f>
        <v>5</v>
      </c>
      <c r="C63" s="23">
        <f>IF(ABS(B60)&gt;0,B63/B60,0)</f>
        <v>1</v>
      </c>
    </row>
    <row r="64" spans="1:3" s="12" customFormat="1" ht="15.75" x14ac:dyDescent="0.25">
      <c r="A64" s="13" t="s">
        <v>186</v>
      </c>
      <c r="B64" s="29">
        <f>SUMIFS(Auswertung!T:T,Auswertung!B:B,"CRYPTO")</f>
        <v>0</v>
      </c>
      <c r="C64" s="23">
        <f>IF(ABS(B60)&gt;0,B64/B60,0)</f>
        <v>0</v>
      </c>
    </row>
    <row r="65" spans="1:3" s="12" customFormat="1" ht="15.75" x14ac:dyDescent="0.25">
      <c r="A65" s="13"/>
      <c r="B65" s="29"/>
      <c r="C65" s="23"/>
    </row>
    <row r="66" spans="1:3" s="12" customFormat="1" ht="15.75" x14ac:dyDescent="0.25">
      <c r="A66" s="13" t="s">
        <v>187</v>
      </c>
      <c r="B66" s="29">
        <f xml:space="preserve"> SUM(Auswertung!U:U)</f>
        <v>0</v>
      </c>
      <c r="C66" s="23"/>
    </row>
    <row r="67" spans="1:3" s="12" customFormat="1" ht="15.75" x14ac:dyDescent="0.25">
      <c r="A67" s="13" t="s">
        <v>188</v>
      </c>
      <c r="B67" s="29">
        <f xml:space="preserve"> SUMIFS(Auswertung!U:U,Auswertung!B:B,"STOCK")+SUMIFS(Auswertung!U:U,Auswertung!B:B,"FUND")</f>
        <v>0</v>
      </c>
      <c r="C67" s="23">
        <f>IF(ABS(B66)&gt;0,B67/B66,0)</f>
        <v>0</v>
      </c>
    </row>
    <row r="68" spans="1:3" s="12" customFormat="1" ht="15.75" x14ac:dyDescent="0.25">
      <c r="A68" s="13" t="s">
        <v>189</v>
      </c>
      <c r="B68" s="29">
        <f>SUMIFS(Auswertung!U:U,Auswertung!B:B,"STOCK")</f>
        <v>0</v>
      </c>
      <c r="C68" s="23">
        <f>IF(ABS(B66)&gt;0,B68/B66,0)</f>
        <v>0</v>
      </c>
    </row>
    <row r="69" spans="1:3" s="12" customFormat="1" ht="15.75" x14ac:dyDescent="0.25">
      <c r="A69" s="13" t="s">
        <v>190</v>
      </c>
      <c r="B69" s="29">
        <f>SUMIFS(Auswertung!U:U,Auswertung!B:B,"FUND")</f>
        <v>0</v>
      </c>
      <c r="C69" s="23">
        <f>IF(ABS(B66)&gt;0,B69/B66,0)</f>
        <v>0</v>
      </c>
    </row>
    <row r="70" spans="1:3" s="12" customFormat="1" ht="15.75" x14ac:dyDescent="0.25">
      <c r="A70" s="13" t="s">
        <v>191</v>
      </c>
      <c r="B70" s="29">
        <f>SUMIFS(Auswertung!U:U,Auswertung!B:B,"CRYPTO")</f>
        <v>0</v>
      </c>
      <c r="C70" s="23">
        <f>IF(ABS(B66)&gt;0,B70/B66,0)</f>
        <v>0</v>
      </c>
    </row>
    <row r="71" spans="1:3" s="12" customFormat="1" ht="15.75" x14ac:dyDescent="0.25">
      <c r="A71" s="13"/>
      <c r="B71" s="29"/>
    </row>
    <row r="72" spans="1:3" s="12" customFormat="1" ht="15.75" x14ac:dyDescent="0.25">
      <c r="A72" s="13" t="s">
        <v>86</v>
      </c>
      <c r="B72" s="14">
        <f>SUM(Auswertung!J:J)</f>
        <v>-405.20000000000005</v>
      </c>
    </row>
    <row r="73" spans="1:3" s="12" customFormat="1" ht="15.75" x14ac:dyDescent="0.25">
      <c r="A73" s="13" t="s">
        <v>87</v>
      </c>
      <c r="B73" s="14">
        <f>SUMIFS(Auswertung!J:J,Auswertung!B:B,"STOCK") + SUMIFS(Auswertung!J:J,Auswertung!B:B,"FUND")</f>
        <v>-405.20000000000005</v>
      </c>
      <c r="C73" s="23">
        <f>IF(ABS(B72)&gt;0,B73/B72,0)</f>
        <v>1</v>
      </c>
    </row>
    <row r="74" spans="1:3" s="12" customFormat="1" ht="15.75" x14ac:dyDescent="0.25">
      <c r="A74" s="13" t="s">
        <v>107</v>
      </c>
      <c r="B74" s="14">
        <f>SUMIFS(Auswertung!J:J,Auswertung!B:B,"STOCK")</f>
        <v>0</v>
      </c>
      <c r="C74" s="23">
        <f>IF(ABS(B72)&gt;0,B74/B72,0)</f>
        <v>0</v>
      </c>
    </row>
    <row r="75" spans="1:3" s="12" customFormat="1" ht="15.75" x14ac:dyDescent="0.25">
      <c r="A75" s="13" t="s">
        <v>108</v>
      </c>
      <c r="B75" s="14">
        <f>SUMIFS(Auswertung!J:J,Auswertung!B:B,"FUND")</f>
        <v>-405.20000000000005</v>
      </c>
      <c r="C75" s="23">
        <f>IF(ABS(B72)&gt;0,B75/B72,0)</f>
        <v>1</v>
      </c>
    </row>
    <row r="76" spans="1:3" s="12" customFormat="1" ht="15.75" x14ac:dyDescent="0.25">
      <c r="A76" s="13" t="s">
        <v>88</v>
      </c>
      <c r="B76" s="14">
        <f>SUMIFS(Auswertung!J:J,Auswertung!B:B,"CRYPTO")</f>
        <v>0</v>
      </c>
      <c r="C76" s="23">
        <f>IF(ABS(B72)&gt;0,B76/B72,0)</f>
        <v>0</v>
      </c>
    </row>
    <row r="77" spans="1:3" s="12" customFormat="1" ht="15.75" x14ac:dyDescent="0.25">
      <c r="A77" s="13"/>
      <c r="B77" s="14"/>
    </row>
    <row r="78" spans="1:3" s="12" customFormat="1" ht="15.75" x14ac:dyDescent="0.25">
      <c r="A78" s="13" t="s">
        <v>121</v>
      </c>
      <c r="B78" s="14">
        <f>SUM(Auswertung!R:R)</f>
        <v>0</v>
      </c>
    </row>
    <row r="79" spans="1:3" s="12" customFormat="1" ht="15.75" x14ac:dyDescent="0.25">
      <c r="A79" s="13" t="s">
        <v>122</v>
      </c>
      <c r="B79" s="14">
        <f>SUMIFS(Auswertung!R:R,Auswertung!B:B,"STOCK") + SUMIFS(Auswertung!R:R,Auswertung!B:B,"FUND")</f>
        <v>0</v>
      </c>
      <c r="C79" s="23">
        <f>IF(ABS(B78)&gt;0,B79/B78,0)</f>
        <v>0</v>
      </c>
    </row>
    <row r="80" spans="1:3" s="12" customFormat="1" ht="15.75" x14ac:dyDescent="0.25">
      <c r="A80" s="13" t="s">
        <v>123</v>
      </c>
      <c r="B80" s="14">
        <f>SUMIFS(Auswertung!R:R,Auswertung!B:B,"STOCK")</f>
        <v>0</v>
      </c>
      <c r="C80" s="23">
        <f>IF(ABS(B78)&gt;0,B80/B78,0)</f>
        <v>0</v>
      </c>
    </row>
    <row r="81" spans="1:3" s="12" customFormat="1" ht="15.75" x14ac:dyDescent="0.25">
      <c r="A81" s="13" t="s">
        <v>124</v>
      </c>
      <c r="B81" s="14">
        <f>SUMIFS(Auswertung!R:R,Auswertung!B:B,"FUND")</f>
        <v>0</v>
      </c>
      <c r="C81" s="23">
        <f>IF(ABS(B78)&gt;0,B81/B78,0)</f>
        <v>0</v>
      </c>
    </row>
    <row r="82" spans="1:3" s="12" customFormat="1" ht="15.75" x14ac:dyDescent="0.25">
      <c r="A82" s="13" t="s">
        <v>125</v>
      </c>
      <c r="B82" s="14">
        <f>SUMIFS(Auswertung!R:R,Auswertung!B:B,"CRYPTO")</f>
        <v>0</v>
      </c>
      <c r="C82" s="23">
        <f>IF(ABS(B78)&gt;0,B82/B78,0)</f>
        <v>0</v>
      </c>
    </row>
    <row r="83" spans="1:3" s="12" customFormat="1" ht="15.75" x14ac:dyDescent="0.25">
      <c r="A83" s="13"/>
      <c r="B83" s="14"/>
    </row>
    <row r="84" spans="1:3" s="12" customFormat="1" ht="15.75" x14ac:dyDescent="0.25">
      <c r="A84" s="13" t="s">
        <v>66</v>
      </c>
      <c r="B84" s="14">
        <f xml:space="preserve"> SUM(Daten!M:M)</f>
        <v>0</v>
      </c>
    </row>
    <row r="85" spans="1:3" s="12" customFormat="1" ht="15.75" x14ac:dyDescent="0.25">
      <c r="A85" s="13" t="s">
        <v>180</v>
      </c>
      <c r="B85" s="14">
        <f xml:space="preserve"> SUMIFS(Daten!M:M,Daten!F:F,"STOCK")+SUMIFS(Daten!M:M,Daten!F:F,"FUND")</f>
        <v>0</v>
      </c>
    </row>
    <row r="86" spans="1:3" s="12" customFormat="1" ht="15.75" x14ac:dyDescent="0.25">
      <c r="A86" s="13" t="s">
        <v>92</v>
      </c>
      <c r="B86" s="14">
        <f xml:space="preserve"> SUMIFS(Daten!M:M,Daten!F:F,"STOCK")</f>
        <v>0</v>
      </c>
    </row>
    <row r="87" spans="1:3" s="12" customFormat="1" ht="15.75" x14ac:dyDescent="0.25">
      <c r="A87" s="13" t="s">
        <v>93</v>
      </c>
      <c r="B87" s="14">
        <f xml:space="preserve"> SUMIFS(Daten!M:M,Daten!F:F,"FUND")</f>
        <v>0</v>
      </c>
    </row>
    <row r="88" spans="1:3" s="12" customFormat="1" ht="15.75" x14ac:dyDescent="0.25">
      <c r="A88" s="13" t="s">
        <v>94</v>
      </c>
      <c r="B88" s="14">
        <f xml:space="preserve"> SUMIFS(Daten!M:M,Daten!F:F,"CRYPTO")</f>
        <v>0</v>
      </c>
    </row>
    <row r="89" spans="1:3" s="12" customFormat="1" ht="15.75" x14ac:dyDescent="0.25">
      <c r="A89" s="13" t="s">
        <v>95</v>
      </c>
      <c r="B89" s="14">
        <f xml:space="preserve"> SUMIFS(Daten!M:M,Daten!E:E,"TAX_OPTIMIZATION")</f>
        <v>0</v>
      </c>
    </row>
    <row r="90" spans="1:3" s="12" customFormat="1" ht="15.75" x14ac:dyDescent="0.25">
      <c r="A90" s="13"/>
      <c r="B90" s="14"/>
    </row>
    <row r="91" spans="1:3" s="12" customFormat="1" ht="15.75" x14ac:dyDescent="0.25">
      <c r="A91" s="13" t="s">
        <v>67</v>
      </c>
      <c r="B91" s="14">
        <f>SUMIFS(Auswertung!O:O,Auswertung!K:K,"OFFEN")</f>
        <v>434.49451110000012</v>
      </c>
    </row>
    <row r="92" spans="1:3" s="12" customFormat="1" ht="15.75" x14ac:dyDescent="0.25">
      <c r="A92" s="13" t="s">
        <v>73</v>
      </c>
      <c r="B92" s="14">
        <f>SUMIFS(Auswertung!O:O,Auswertung!K:K,"OFFEN",Auswertung!B:B,"STOCK")
+SUMIFS(Auswertung!O:O,Auswertung!K:K,"OFFEN",Auswertung!B:B,"FUND")</f>
        <v>434.49451110000012</v>
      </c>
      <c r="C92" s="23">
        <f>IF(ABS(B91)&gt;0,B92/B91,0)</f>
        <v>1</v>
      </c>
    </row>
    <row r="93" spans="1:3" s="12" customFormat="1" ht="15.75" x14ac:dyDescent="0.25">
      <c r="A93" s="13" t="s">
        <v>105</v>
      </c>
      <c r="B93" s="14">
        <f>SUMIFS(Auswertung!O:O,Auswertung!K:K,"OFFEN",Auswertung!B:B,"STOCK")</f>
        <v>0</v>
      </c>
      <c r="C93" s="23">
        <f>IF(ABS(B91)&gt;0,B93/B91,0)</f>
        <v>0</v>
      </c>
    </row>
    <row r="94" spans="1:3" s="12" customFormat="1" ht="15.75" x14ac:dyDescent="0.25">
      <c r="A94" s="13" t="s">
        <v>106</v>
      </c>
      <c r="B94" s="14">
        <f>SUMIFS(Auswertung!O:O,Auswertung!K:K,"OFFEN",Auswertung!B:B,"FUND")</f>
        <v>434.49451110000012</v>
      </c>
      <c r="C94" s="23">
        <f>IF(ABS(B91)&gt;0,B94/B91,0)</f>
        <v>1</v>
      </c>
    </row>
    <row r="95" spans="1:3" s="12" customFormat="1" ht="15.75" x14ac:dyDescent="0.25">
      <c r="A95" s="13" t="s">
        <v>74</v>
      </c>
      <c r="B95" s="14">
        <f>SUMIFS(Auswertung!O:O,Auswertung!K:K,"OFFEN",Auswertung!B:B,"CRYPTO")</f>
        <v>0</v>
      </c>
      <c r="C95" s="23">
        <f>IF(ABS(B91)&gt;0,B95/B91,0)</f>
        <v>0</v>
      </c>
    </row>
    <row r="96" spans="1:3" s="12" customFormat="1" ht="15.75" x14ac:dyDescent="0.25">
      <c r="A96" s="13"/>
      <c r="B96" s="14"/>
    </row>
    <row r="97" spans="1:3" s="12" customFormat="1" ht="15.75" x14ac:dyDescent="0.25">
      <c r="A97" s="13" t="s">
        <v>69</v>
      </c>
      <c r="B97" s="14">
        <f xml:space="preserve"> SUMIFS(Daten!K:K,Daten!E:E,"TRANSFER_INSTANT_INBOUND")
+ SUMIFS(Daten!K:K,Daten!E:E,"TRANSFER_IN")
+ SUMIFS(Daten!K:K,Daten!E:E,"GIFT")
+ SUMIFS(Daten!K:K,Daten!E:E,"DIVIDEND")
+ SUMIFS(Daten!K:K,Daten!E:E,"CUSTOMER_INPAYMENT")</f>
        <v>405</v>
      </c>
    </row>
    <row r="98" spans="1:3" s="12" customFormat="1" ht="15.75" x14ac:dyDescent="0.25">
      <c r="A98" s="13" t="s">
        <v>70</v>
      </c>
      <c r="B98" s="14">
        <f xml:space="preserve"> SUMIFS(Daten!K:K,Daten!E:E,"TRANSFER_INSTANT_OUTBOUND") + SUMIFS(Daten!K:K,Daten!E:E,"TRANSFER_OUT") + SUMIFS(Daten!K:K,Daten!E:E,"TRANSFER_OUTBOUND")</f>
        <v>0</v>
      </c>
    </row>
    <row r="99" spans="1:3" s="12" customFormat="1" ht="15.75" x14ac:dyDescent="0.25">
      <c r="A99" s="13"/>
      <c r="B99" s="14"/>
    </row>
    <row r="100" spans="1:3" s="12" customFormat="1" ht="15.75" x14ac:dyDescent="0.25">
      <c r="A100" s="13" t="s">
        <v>71</v>
      </c>
      <c r="B100" s="14">
        <f>SUMIFS(Daten!K:K,Daten!E:E,"BUY")+SUMIFS(Daten!L:L,Daten!E:E,"BUY")</f>
        <v>-405.20000000000005</v>
      </c>
    </row>
    <row r="101" spans="1:3" s="12" customFormat="1" ht="15.75" x14ac:dyDescent="0.25">
      <c r="A101" s="13" t="s">
        <v>96</v>
      </c>
      <c r="B101" s="14">
        <f>SUMIFS(Daten!K:K,Daten!E:E,"BUY",Daten!F:F,"STOCK")+SUMIFS(Daten!L:L,Daten!E:E,"BUY",Daten!F:F,"STOCK")</f>
        <v>0</v>
      </c>
      <c r="C101" s="23">
        <f>IF(ABS(B100)&gt;0,B101/B100,0)</f>
        <v>0</v>
      </c>
    </row>
    <row r="102" spans="1:3" s="12" customFormat="1" ht="15.75" x14ac:dyDescent="0.25">
      <c r="A102" s="13" t="s">
        <v>97</v>
      </c>
      <c r="B102" s="14">
        <f>SUMIFS(Daten!K:K,Daten!E:E,"BUY",Daten!F:F,"FUND")+SUMIFS(Daten!L:L,Daten!E:E,"BUY",Daten!F:F,"FUND")</f>
        <v>-405.20000000000005</v>
      </c>
      <c r="C102" s="23">
        <f>IF(ABS(B100)&gt;0,B102/B100,0)</f>
        <v>1</v>
      </c>
    </row>
    <row r="103" spans="1:3" s="12" customFormat="1" ht="15.75" x14ac:dyDescent="0.25">
      <c r="A103" s="13" t="s">
        <v>98</v>
      </c>
      <c r="B103" s="14">
        <f>SUMIFS(Daten!K:K,Daten!E:E,"BUY",Daten!F:F,"CRYPTO")+SUMIFS(Daten!L:L,Daten!E:E,"BUY",Daten!F:F,"CRYPTO")</f>
        <v>0</v>
      </c>
      <c r="C103" s="23">
        <f>IF(ABS(B100)&gt;0,B103/B100,0)</f>
        <v>0</v>
      </c>
    </row>
    <row r="104" spans="1:3" s="12" customFormat="1" ht="15.75" x14ac:dyDescent="0.25">
      <c r="A104" s="13"/>
      <c r="B104" s="14"/>
    </row>
    <row r="105" spans="1:3" s="12" customFormat="1" ht="15.75" x14ac:dyDescent="0.25">
      <c r="A105" s="13" t="s">
        <v>72</v>
      </c>
      <c r="B105" s="14">
        <f>SUMIFS(Daten!K:K,Daten!E:E,"SELL")-SUMIFS(Daten!L:L,Daten!E:E,"SELL")</f>
        <v>0</v>
      </c>
    </row>
    <row r="106" spans="1:3" s="12" customFormat="1" ht="15.75" x14ac:dyDescent="0.25">
      <c r="A106" s="13" t="s">
        <v>99</v>
      </c>
      <c r="B106" s="14">
        <f>SUMIFS(Daten!K:K,Daten!E:E,"SELL",Daten!F:F,"STOCK")-SUMIFS(Daten!L:L,Daten!E:E,"SELL",Daten!F:F,"STOCK")</f>
        <v>0</v>
      </c>
      <c r="C106" s="23">
        <f>IF(ABS(B105)&gt;0,B106/B105,0)</f>
        <v>0</v>
      </c>
    </row>
    <row r="107" spans="1:3" s="12" customFormat="1" ht="15.75" x14ac:dyDescent="0.25">
      <c r="A107" s="13" t="s">
        <v>100</v>
      </c>
      <c r="B107" s="14">
        <f>SUMIFS(Daten!K:K,Daten!E:E,"SELL",Daten!F:F,"FUND")-SUMIFS(Daten!L:L,Daten!E:E,"SELL",Daten!F:F,"FUND")</f>
        <v>0</v>
      </c>
      <c r="C107" s="23">
        <f>IF(ABS(B105)&gt;0,B107/B105,0)</f>
        <v>0</v>
      </c>
    </row>
    <row r="108" spans="1:3" s="12" customFormat="1" ht="15.75" x14ac:dyDescent="0.25">
      <c r="A108" s="13" t="s">
        <v>101</v>
      </c>
      <c r="B108" s="14">
        <f>SUMIFS(Daten!K:K,Daten!E:E,"SELL",Daten!F:F,"CRYPTO")-SUMIFS(Daten!L:L,Daten!E:E,"SELL",Daten!F:F,"CRYPTO")</f>
        <v>0</v>
      </c>
      <c r="C108" s="23">
        <f>IF(ABS(B105)&gt;0,B108/B105,0)</f>
        <v>0</v>
      </c>
    </row>
    <row r="109" spans="1:3" s="12" customFormat="1" ht="15.75" x14ac:dyDescent="0.25">
      <c r="A109" s="13"/>
      <c r="B109" s="14"/>
    </row>
    <row r="110" spans="1:3" s="12" customFormat="1" ht="15.75" x14ac:dyDescent="0.25">
      <c r="A110" s="13" t="s">
        <v>110</v>
      </c>
      <c r="B110" s="14">
        <f>SUMIFS(Auswertung!P:P,Auswertung!K:K,"OFFEN")</f>
        <v>404.9804206500001</v>
      </c>
    </row>
    <row r="111" spans="1:3" s="12" customFormat="1" ht="15.75" x14ac:dyDescent="0.25">
      <c r="A111" s="13" t="s">
        <v>111</v>
      </c>
      <c r="B111" s="14">
        <f>SUMIFS(Auswertung!P:P,Auswertung!K:K,"OFFEN",Auswertung!B:B,"STOCK")
+SUMIFS(Auswertung!P:P,Auswertung!K:K,"OFFEN",Auswertung!B:B,"FUND")</f>
        <v>404.9804206500001</v>
      </c>
      <c r="C111" s="23">
        <f>IF(ABS(B110)&gt;0,B111/B110,0)</f>
        <v>1</v>
      </c>
    </row>
    <row r="112" spans="1:3" s="12" customFormat="1" ht="15.75" x14ac:dyDescent="0.25">
      <c r="A112" s="13" t="s">
        <v>112</v>
      </c>
      <c r="B112" s="14">
        <f>SUMIFS(Auswertung!P:P,Auswertung!K:K,"OFFEN",Auswertung!B:B,"STOCK")</f>
        <v>0</v>
      </c>
      <c r="C112" s="23">
        <f>IF(ABS(B110)&gt;0,B112/B110,0)</f>
        <v>0</v>
      </c>
    </row>
    <row r="113" spans="1:4" s="12" customFormat="1" ht="15.75" x14ac:dyDescent="0.25">
      <c r="A113" s="13" t="s">
        <v>113</v>
      </c>
      <c r="B113" s="14">
        <f>SUMIFS(Auswertung!P:P,Auswertung!K:K,"OFFEN",Auswertung!B:B,"FUND")</f>
        <v>404.9804206500001</v>
      </c>
      <c r="C113" s="23">
        <f>IF(ABS(B110)&gt;0,B113/B110,0)</f>
        <v>1</v>
      </c>
    </row>
    <row r="114" spans="1:4" s="12" customFormat="1" ht="15.75" x14ac:dyDescent="0.25">
      <c r="A114" s="13" t="s">
        <v>114</v>
      </c>
      <c r="B114" s="14">
        <f>SUMIFS(Auswertung!P:P,Auswertung!K:K,"OFFEN",Auswertung!B:B,"CRYPTO")</f>
        <v>0</v>
      </c>
      <c r="C114" s="23">
        <f>IF(ABS(B110)&gt;0,B114/B110,0)</f>
        <v>0</v>
      </c>
    </row>
    <row r="115" spans="1:4" s="12" customFormat="1" ht="15.75" x14ac:dyDescent="0.25">
      <c r="A115" s="13"/>
      <c r="B115" s="14"/>
    </row>
    <row r="116" spans="1:4" s="12" customFormat="1" ht="15.75" x14ac:dyDescent="0.25">
      <c r="A116" s="13" t="s">
        <v>127</v>
      </c>
      <c r="B116" s="14">
        <f>SUMIFS(Auswertung!N:N,Auswertung!N:N,"&lt;0",Auswertung!K:K,"OFFEN")</f>
        <v>0</v>
      </c>
      <c r="C116" s="23"/>
    </row>
    <row r="117" spans="1:4" s="12" customFormat="1" ht="15.75" x14ac:dyDescent="0.25">
      <c r="A117" s="13" t="s">
        <v>128</v>
      </c>
      <c r="B117" s="14">
        <f>SUMIFS(Auswertung!N:N,Auswertung!N:N,"&lt;0",Auswertung!B:B,"STOCK",Auswertung!K:K,"OFFEN")
+SUMIFS(Auswertung!N:N,Auswertung!N:N,"&lt;0",Auswertung!B:B,"FUND",Auswertung!K:K,"OFFEN")</f>
        <v>0</v>
      </c>
      <c r="C117" s="23">
        <f>IF(ABS(B116)&gt;0,B117/B116,0)</f>
        <v>0</v>
      </c>
    </row>
    <row r="118" spans="1:4" s="12" customFormat="1" ht="15.75" x14ac:dyDescent="0.25">
      <c r="A118" s="13" t="s">
        <v>146</v>
      </c>
      <c r="B118" s="14">
        <f>SUMIFS(Auswertung!N:N,Auswertung!N:N,"&lt;0",Auswertung!B:B,"STOCK",Auswertung!K:K,"OFFEN")</f>
        <v>0</v>
      </c>
      <c r="C118" s="23">
        <f>IF(ABS(B116)&gt;0,B118/B116,0)</f>
        <v>0</v>
      </c>
    </row>
    <row r="119" spans="1:4" s="12" customFormat="1" ht="15.75" x14ac:dyDescent="0.25">
      <c r="A119" s="13" t="s">
        <v>147</v>
      </c>
      <c r="B119" s="14">
        <f>SUMIFS(Auswertung!N:N,Auswertung!N:N,"&lt;0",Auswertung!B:B,"FUND",Auswertung!K:K,"OFFEN")</f>
        <v>0</v>
      </c>
      <c r="C119" s="23">
        <f>IF(ABS(B116)&gt;0,B119/B116,0)</f>
        <v>0</v>
      </c>
    </row>
    <row r="120" spans="1:4" s="12" customFormat="1" ht="15.75" x14ac:dyDescent="0.25">
      <c r="A120" s="13" t="s">
        <v>129</v>
      </c>
      <c r="B120" s="14">
        <f>SUMIFS(Auswertung!N:N,Auswertung!N:N,"&lt;0",Auswertung!B:B,"CRYPTO",Auswertung!K:K,"OFFEN")</f>
        <v>0</v>
      </c>
      <c r="C120" s="23">
        <f>IF(ABS(B116)&gt;0,B120/B116,0)</f>
        <v>0</v>
      </c>
    </row>
    <row r="121" spans="1:4" s="12" customFormat="1" ht="15.75" x14ac:dyDescent="0.25">
      <c r="A121" s="13"/>
      <c r="B121" s="14"/>
    </row>
    <row r="122" spans="1:4" s="12" customFormat="1" ht="15.75" x14ac:dyDescent="0.25">
      <c r="A122" s="13" t="s">
        <v>130</v>
      </c>
      <c r="B122" s="14">
        <f>SUMIFS(Auswertung!N:N,Auswertung!N:N,"&gt;0",Auswertung!K:K,"OFFEN")</f>
        <v>29.514090450000026</v>
      </c>
      <c r="C122" s="23"/>
    </row>
    <row r="123" spans="1:4" s="12" customFormat="1" ht="15.75" x14ac:dyDescent="0.25">
      <c r="A123" s="13" t="s">
        <v>131</v>
      </c>
      <c r="B123" s="14">
        <f>SUMIFS(Auswertung!N:N,Auswertung!N:N,"&gt;0",Auswertung!B:B,"STOCK",Auswertung!K:K,"OFFEN")
+SUMIFS(Auswertung!N:N,Auswertung!N:N,"&gt;0",Auswertung!B:B,"FUND",Auswertung!K:K,"OFFEN")</f>
        <v>29.514090450000026</v>
      </c>
      <c r="C123" s="23">
        <f>IF(ABS(B122)&gt;0,B123/B122,0)</f>
        <v>1</v>
      </c>
    </row>
    <row r="124" spans="1:4" s="12" customFormat="1" ht="15.75" x14ac:dyDescent="0.25">
      <c r="A124" s="13" t="s">
        <v>148</v>
      </c>
      <c r="B124" s="14">
        <f>SUMIFS(Auswertung!N:N,Auswertung!N:N,"&gt;0",Auswertung!B:B,"STOCK",Auswertung!K:K,"OFFEN")</f>
        <v>0</v>
      </c>
      <c r="C124" s="23">
        <f>IF(ABS(B122)&gt;0,B124/B122,0)</f>
        <v>0</v>
      </c>
    </row>
    <row r="125" spans="1:4" s="12" customFormat="1" ht="15.75" x14ac:dyDescent="0.25">
      <c r="A125" s="13" t="s">
        <v>149</v>
      </c>
      <c r="B125" s="14">
        <f xml:space="preserve"> SUMIFS(Auswertung!N:N,Auswertung!N:N,"&gt;0",Auswertung!B:B,"FUND",Auswertung!K:K,"OFFEN")</f>
        <v>29.514090450000026</v>
      </c>
      <c r="C125" s="23">
        <f>IF(ABS(B122)&gt;0,B125/B122,0)</f>
        <v>1</v>
      </c>
    </row>
    <row r="126" spans="1:4" s="12" customFormat="1" ht="15.75" x14ac:dyDescent="0.25">
      <c r="A126" s="13" t="s">
        <v>132</v>
      </c>
      <c r="B126" s="14">
        <f>SUMIFS(Auswertung!N:N,Auswertung!N:N,"&gt;0",Auswertung!B:B,"CRYPTO",Auswertung!K:K,"OFFEN")</f>
        <v>0</v>
      </c>
      <c r="C126" s="23">
        <f>IF(ABS(B122)&gt;0,B126/B122,0)</f>
        <v>0</v>
      </c>
    </row>
    <row r="127" spans="1:4" s="12" customFormat="1" ht="15.75" x14ac:dyDescent="0.25">
      <c r="A127" s="13"/>
      <c r="B127" s="14"/>
    </row>
    <row r="128" spans="1:4" s="12" customFormat="1" ht="15.75" x14ac:dyDescent="0.25">
      <c r="A128" s="13" t="s">
        <v>133</v>
      </c>
      <c r="B128" s="14">
        <f>SUMIFS(Auswertung!N:N,Auswertung!K:K,"OFFEN")</f>
        <v>29.514090450000026</v>
      </c>
      <c r="C128" s="22">
        <f>B91-B110</f>
        <v>29.514090450000026</v>
      </c>
      <c r="D128" s="22">
        <f>B116+B122</f>
        <v>29.514090450000026</v>
      </c>
    </row>
    <row r="129" spans="1:5" s="12" customFormat="1" ht="15.75" x14ac:dyDescent="0.25">
      <c r="A129" s="13" t="s">
        <v>134</v>
      </c>
      <c r="B129" s="14">
        <f>SUMIFS(Auswertung!N:N,Auswertung!B:B,"STOCK",Auswertung!K:K,"OFFEN")
+SUMIFS(Auswertung!N:N,Auswertung!B:B,"FUND",Auswertung!K:K,"OFFEN")</f>
        <v>29.514090450000026</v>
      </c>
      <c r="C129" s="22">
        <f>B92-B111</f>
        <v>29.514090450000026</v>
      </c>
      <c r="D129" s="22">
        <f>B117+B123</f>
        <v>29.514090450000026</v>
      </c>
      <c r="E129" s="23">
        <f>IF(ABS(B128)&gt;0,B129/B128,0)</f>
        <v>1</v>
      </c>
    </row>
    <row r="130" spans="1:5" s="12" customFormat="1" ht="15.75" x14ac:dyDescent="0.25">
      <c r="A130" s="13" t="s">
        <v>152</v>
      </c>
      <c r="B130" s="14">
        <f>SUMIFS(Auswertung!N:N,Auswertung!B:B,"STOCK",Auswertung!K:K,"OFFEN")</f>
        <v>0</v>
      </c>
      <c r="C130" s="22">
        <f>B93-B112</f>
        <v>0</v>
      </c>
      <c r="D130" s="22">
        <f>B118+B124</f>
        <v>0</v>
      </c>
      <c r="E130" s="23">
        <f>IF(ABS(B128)&gt;0,B130/B128,0)</f>
        <v>0</v>
      </c>
    </row>
    <row r="131" spans="1:5" s="12" customFormat="1" ht="15.75" x14ac:dyDescent="0.25">
      <c r="A131" s="13" t="s">
        <v>153</v>
      </c>
      <c r="B131" s="14">
        <f>SUMIFS(Auswertung!N:N,Auswertung!B:B,"FUND",Auswertung!K:K,"OFFEN")</f>
        <v>29.514090450000026</v>
      </c>
      <c r="C131" s="22">
        <f>B94-B113</f>
        <v>29.514090450000026</v>
      </c>
      <c r="D131" s="22">
        <f>B119+B125</f>
        <v>29.514090450000026</v>
      </c>
      <c r="E131" s="23">
        <f>IF(ABS(B128)&gt;0,B131/B128,0)</f>
        <v>1</v>
      </c>
    </row>
    <row r="132" spans="1:5" s="12" customFormat="1" ht="15.75" x14ac:dyDescent="0.25">
      <c r="A132" s="13" t="s">
        <v>135</v>
      </c>
      <c r="B132" s="14">
        <f>SUMIFS(Auswertung!N:N,Auswertung!B:B,"CRYPTO",Auswertung!K:K,"OFFEN")</f>
        <v>0</v>
      </c>
      <c r="C132" s="22">
        <f>B95-B114</f>
        <v>0</v>
      </c>
      <c r="D132" s="22">
        <f>B120+B126</f>
        <v>0</v>
      </c>
      <c r="E132" s="23">
        <f>IF(ABS(B128)&gt;0,B132/B128,0)</f>
        <v>0</v>
      </c>
    </row>
    <row r="133" spans="1:5" s="12" customFormat="1" ht="15.75" x14ac:dyDescent="0.25">
      <c r="A133" s="13"/>
      <c r="B133" s="14"/>
      <c r="C133" s="22"/>
      <c r="D133" s="22"/>
    </row>
    <row r="134" spans="1:5" s="12" customFormat="1" ht="15.75" x14ac:dyDescent="0.25">
      <c r="A134" s="13" t="s">
        <v>157</v>
      </c>
      <c r="B134" s="14">
        <f>B78+B128</f>
        <v>29.514090450000026</v>
      </c>
      <c r="C134" s="22"/>
      <c r="D134" s="22"/>
    </row>
    <row r="135" spans="1:5" s="12" customFormat="1" ht="15.75" x14ac:dyDescent="0.25">
      <c r="A135" s="13" t="s">
        <v>158</v>
      </c>
      <c r="B135" s="14">
        <f>B79+B129</f>
        <v>29.514090450000026</v>
      </c>
      <c r="C135" s="22"/>
      <c r="D135" s="22"/>
    </row>
    <row r="136" spans="1:5" s="12" customFormat="1" ht="15.75" x14ac:dyDescent="0.25">
      <c r="A136" s="13" t="s">
        <v>159</v>
      </c>
      <c r="B136" s="14">
        <f>B82+B132</f>
        <v>0</v>
      </c>
      <c r="C136" s="22"/>
      <c r="D136" s="22"/>
    </row>
    <row r="137" spans="1:5" s="12" customFormat="1" ht="15.75" x14ac:dyDescent="0.25">
      <c r="A137" s="13"/>
      <c r="B137" s="14"/>
    </row>
    <row r="138" spans="1:5" s="12" customFormat="1" ht="15.75" x14ac:dyDescent="0.25">
      <c r="A138" s="13" t="s">
        <v>117</v>
      </c>
      <c r="B138" s="14">
        <f>B72+B91</f>
        <v>29.294511100000079</v>
      </c>
      <c r="C138" s="22"/>
    </row>
    <row r="139" spans="1:5" s="12" customFormat="1" ht="15.75" x14ac:dyDescent="0.25">
      <c r="A139" s="13" t="s">
        <v>115</v>
      </c>
      <c r="B139" s="14">
        <f>B73+B92</f>
        <v>29.294511100000079</v>
      </c>
      <c r="C139" s="22"/>
      <c r="D139" s="22"/>
    </row>
    <row r="140" spans="1:5" s="12" customFormat="1" ht="15.75" x14ac:dyDescent="0.25">
      <c r="A140" s="13" t="s">
        <v>116</v>
      </c>
      <c r="B140" s="14">
        <f>B76+B95</f>
        <v>0</v>
      </c>
      <c r="C140" s="22"/>
    </row>
    <row r="141" spans="1:5" s="12" customFormat="1" ht="15.75" x14ac:dyDescent="0.25">
      <c r="A141" s="13"/>
      <c r="B141" s="14"/>
    </row>
    <row r="142" spans="1:5" s="12" customFormat="1" ht="15.75" x14ac:dyDescent="0.25">
      <c r="A142" s="13" t="s">
        <v>120</v>
      </c>
      <c r="B142" s="15">
        <f>IF(ABS(B72)&gt;0,-B138/B72,0)</f>
        <v>7.2296424234945894E-2</v>
      </c>
      <c r="C142" s="23">
        <f>IF(ABS(B72)&gt;0,-B134/B72,0)</f>
        <v>7.2838327862783867E-2</v>
      </c>
    </row>
    <row r="143" spans="1:5" s="12" customFormat="1" ht="15.75" x14ac:dyDescent="0.25">
      <c r="A143" s="13" t="s">
        <v>118</v>
      </c>
      <c r="B143" s="15">
        <f>IF(ABS(B73)&gt;0,-B139/B73,0)</f>
        <v>7.2296424234945894E-2</v>
      </c>
      <c r="C143" s="23">
        <f>IF(ABS(B73)&gt;0,-B135/B73,0)</f>
        <v>7.2838327862783867E-2</v>
      </c>
    </row>
    <row r="144" spans="1:5" s="12" customFormat="1" ht="15.75" x14ac:dyDescent="0.25">
      <c r="A144" s="13" t="s">
        <v>119</v>
      </c>
      <c r="B144" s="15">
        <f>IF(ABS(B76)&gt;0,-B140/B76,0)</f>
        <v>0</v>
      </c>
      <c r="C144" s="23">
        <f>IF(ABS(B76)&gt;0,-B136/B76,0)</f>
        <v>0</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BDDBF-6D10-452B-9124-D2C10463CF65}">
  <dimension ref="A3:L18"/>
  <sheetViews>
    <sheetView zoomScale="118" zoomScaleNormal="118" workbookViewId="0">
      <selection activeCell="A4" sqref="A4"/>
    </sheetView>
  </sheetViews>
  <sheetFormatPr baseColWidth="10" defaultRowHeight="15" x14ac:dyDescent="0.25"/>
  <cols>
    <col min="1" max="1" width="26.85546875" bestFit="1" customWidth="1"/>
    <col min="2" max="3" width="14.28515625" bestFit="1" customWidth="1"/>
    <col min="4" max="4" width="12" bestFit="1" customWidth="1"/>
    <col min="5" max="7" width="14.28515625" bestFit="1" customWidth="1"/>
    <col min="8" max="9" width="12" bestFit="1" customWidth="1"/>
    <col min="10" max="10" width="12.5703125" bestFit="1" customWidth="1"/>
    <col min="11" max="11" width="12" bestFit="1" customWidth="1"/>
    <col min="12" max="12" width="29.5703125" bestFit="1" customWidth="1"/>
    <col min="13" max="13" width="36" bestFit="1" customWidth="1"/>
    <col min="14" max="14" width="12" bestFit="1" customWidth="1"/>
    <col min="15" max="15" width="8" bestFit="1" customWidth="1"/>
    <col min="16" max="16" width="11" bestFit="1" customWidth="1"/>
    <col min="17" max="31" width="12" bestFit="1" customWidth="1"/>
    <col min="32" max="32" width="11" bestFit="1" customWidth="1"/>
    <col min="33" max="33" width="6.28515625" bestFit="1" customWidth="1"/>
    <col min="34" max="34" width="15.5703125" bestFit="1" customWidth="1"/>
  </cols>
  <sheetData>
    <row r="3" spans="1:12" x14ac:dyDescent="0.25">
      <c r="A3" s="34" t="s">
        <v>195</v>
      </c>
      <c r="B3" t="s">
        <v>197</v>
      </c>
      <c r="C3" t="s">
        <v>196</v>
      </c>
      <c r="E3" t="s">
        <v>196</v>
      </c>
      <c r="G3" t="s">
        <v>196</v>
      </c>
      <c r="J3" t="s">
        <v>197</v>
      </c>
      <c r="L3" t="s">
        <v>202</v>
      </c>
    </row>
    <row r="4" spans="1:12" x14ac:dyDescent="0.25">
      <c r="A4" s="9" t="s">
        <v>28</v>
      </c>
      <c r="B4" s="36">
        <v>404.9804206500001</v>
      </c>
      <c r="C4" s="36">
        <v>434.49451110000012</v>
      </c>
      <c r="E4" s="36">
        <v>434.49451110000012</v>
      </c>
      <c r="G4" s="36">
        <v>434.49451110000012</v>
      </c>
      <c r="J4" s="36">
        <v>404.9804206500001</v>
      </c>
      <c r="L4" s="36">
        <v>0</v>
      </c>
    </row>
    <row r="5" spans="1:12" x14ac:dyDescent="0.25">
      <c r="A5" s="9" t="s">
        <v>216</v>
      </c>
      <c r="B5" s="36"/>
      <c r="C5" s="36"/>
      <c r="I5" t="s">
        <v>198</v>
      </c>
    </row>
    <row r="6" spans="1:12" x14ac:dyDescent="0.25">
      <c r="A6" s="9" t="s">
        <v>194</v>
      </c>
      <c r="B6" s="36">
        <v>404.9804206500001</v>
      </c>
      <c r="C6" s="36">
        <v>434.49451110000012</v>
      </c>
      <c r="E6" s="37">
        <f>GETPIVOTDATA("Aktuelle Position €",$E$3)</f>
        <v>434.49451110000012</v>
      </c>
      <c r="G6" s="37">
        <f>GETPIVOTDATA("Aktuelle Position €",$G$3)</f>
        <v>434.49451110000012</v>
      </c>
      <c r="H6" s="37"/>
      <c r="I6" s="37">
        <f>G6-J6</f>
        <v>29.514090450000026</v>
      </c>
      <c r="J6" s="37">
        <f>GETPIVOTDATA("Aktuell Investiert €",$J$3)</f>
        <v>404.9804206500001</v>
      </c>
      <c r="L6" s="37">
        <f>GETPIVOTDATA("Realisierte P&amp;L Verkäufe €",$L$3)</f>
        <v>0</v>
      </c>
    </row>
    <row r="13" spans="1:12" x14ac:dyDescent="0.25">
      <c r="A13" s="34" t="s">
        <v>195</v>
      </c>
      <c r="B13" t="s">
        <v>196</v>
      </c>
      <c r="E13" s="34" t="s">
        <v>195</v>
      </c>
      <c r="F13" t="s">
        <v>196</v>
      </c>
    </row>
    <row r="14" spans="1:12" x14ac:dyDescent="0.25">
      <c r="A14" s="9" t="s">
        <v>28</v>
      </c>
      <c r="B14" s="36">
        <v>434.49451110000012</v>
      </c>
      <c r="E14" s="9" t="s">
        <v>28</v>
      </c>
      <c r="F14" s="36">
        <v>434.49451110000012</v>
      </c>
    </row>
    <row r="15" spans="1:12" x14ac:dyDescent="0.25">
      <c r="A15" s="35" t="s">
        <v>206</v>
      </c>
      <c r="B15" s="36">
        <v>434.49451110000012</v>
      </c>
      <c r="E15" s="9" t="s">
        <v>216</v>
      </c>
      <c r="F15" s="36"/>
    </row>
    <row r="16" spans="1:12" x14ac:dyDescent="0.25">
      <c r="A16" s="9" t="s">
        <v>216</v>
      </c>
      <c r="B16" s="36"/>
      <c r="E16" s="9" t="s">
        <v>194</v>
      </c>
      <c r="F16" s="36">
        <v>434.49451110000012</v>
      </c>
    </row>
    <row r="17" spans="1:2" x14ac:dyDescent="0.25">
      <c r="A17" s="35" t="s">
        <v>216</v>
      </c>
      <c r="B17" s="36"/>
    </row>
    <row r="18" spans="1:2" x14ac:dyDescent="0.25">
      <c r="A18" s="9" t="s">
        <v>194</v>
      </c>
      <c r="B18" s="36">
        <v>434.49451110000012</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9109C-AB4F-4B69-996A-032706F4A214}">
  <dimension ref="A8:D257"/>
  <sheetViews>
    <sheetView tabSelected="1" workbookViewId="0">
      <selection activeCell="C10" sqref="C10"/>
    </sheetView>
  </sheetViews>
  <sheetFormatPr baseColWidth="10" defaultRowHeight="15" x14ac:dyDescent="0.25"/>
  <cols>
    <col min="1" max="1" width="43.140625" bestFit="1" customWidth="1"/>
    <col min="2" max="2" width="19.140625" style="39" bestFit="1" customWidth="1"/>
    <col min="3" max="3" width="26.140625" style="5" bestFit="1" customWidth="1"/>
    <col min="4" max="4" width="14.28515625" style="5" bestFit="1" customWidth="1"/>
  </cols>
  <sheetData>
    <row r="8" spans="1:4" x14ac:dyDescent="0.25">
      <c r="A8" s="34" t="s">
        <v>195</v>
      </c>
      <c r="B8" s="28" t="s">
        <v>201</v>
      </c>
      <c r="C8" s="5" t="s">
        <v>199</v>
      </c>
      <c r="D8" s="5" t="s">
        <v>196</v>
      </c>
    </row>
    <row r="9" spans="1:4" x14ac:dyDescent="0.25">
      <c r="A9" s="9" t="s">
        <v>28</v>
      </c>
      <c r="B9" s="28"/>
      <c r="C9" s="38"/>
      <c r="D9" s="38"/>
    </row>
    <row r="10" spans="1:4" x14ac:dyDescent="0.25">
      <c r="A10" s="35" t="s">
        <v>206</v>
      </c>
      <c r="B10" s="28">
        <v>2.5597650000000005</v>
      </c>
      <c r="C10" s="38">
        <v>169.74</v>
      </c>
      <c r="D10" s="38">
        <v>434.49451110000012</v>
      </c>
    </row>
    <row r="11" spans="1:4" x14ac:dyDescent="0.25">
      <c r="A11" s="9" t="s">
        <v>200</v>
      </c>
      <c r="B11" s="28">
        <v>2.5597650000000005</v>
      </c>
      <c r="C11" s="38">
        <v>169.74</v>
      </c>
      <c r="D11" s="38">
        <v>434.49451110000012</v>
      </c>
    </row>
    <row r="12" spans="1:4" x14ac:dyDescent="0.25">
      <c r="A12" s="9"/>
      <c r="B12" s="28"/>
      <c r="C12" s="38"/>
      <c r="D12" s="38"/>
    </row>
    <row r="13" spans="1:4" x14ac:dyDescent="0.25">
      <c r="A13" s="9" t="s">
        <v>216</v>
      </c>
      <c r="B13" s="28"/>
      <c r="C13" s="38"/>
      <c r="D13" s="38"/>
    </row>
    <row r="14" spans="1:4" x14ac:dyDescent="0.25">
      <c r="A14" s="35" t="s">
        <v>216</v>
      </c>
      <c r="B14" s="28"/>
      <c r="C14" s="38"/>
      <c r="D14" s="38"/>
    </row>
    <row r="15" spans="1:4" x14ac:dyDescent="0.25">
      <c r="A15" s="9" t="s">
        <v>217</v>
      </c>
      <c r="B15" s="28"/>
      <c r="C15" s="38"/>
      <c r="D15" s="38"/>
    </row>
    <row r="16" spans="1:4" x14ac:dyDescent="0.25">
      <c r="A16" s="9"/>
      <c r="B16" s="28"/>
      <c r="C16" s="38"/>
      <c r="D16" s="38"/>
    </row>
    <row r="17" spans="1:4" x14ac:dyDescent="0.25">
      <c r="A17" s="9" t="s">
        <v>194</v>
      </c>
      <c r="B17" s="28">
        <v>2.5597650000000005</v>
      </c>
      <c r="C17" s="38">
        <v>169.74</v>
      </c>
      <c r="D17" s="38">
        <v>434.49451110000012</v>
      </c>
    </row>
    <row r="18" spans="1:4" x14ac:dyDescent="0.25">
      <c r="B18"/>
      <c r="C18"/>
      <c r="D18"/>
    </row>
    <row r="19" spans="1:4" x14ac:dyDescent="0.25">
      <c r="B19"/>
      <c r="C19"/>
      <c r="D19"/>
    </row>
    <row r="20" spans="1:4" x14ac:dyDescent="0.25">
      <c r="B20"/>
      <c r="C20"/>
      <c r="D20"/>
    </row>
    <row r="21" spans="1:4" x14ac:dyDescent="0.25">
      <c r="B21"/>
      <c r="C21"/>
      <c r="D21"/>
    </row>
    <row r="22" spans="1:4" x14ac:dyDescent="0.25">
      <c r="B22"/>
      <c r="C22"/>
      <c r="D22"/>
    </row>
    <row r="23" spans="1:4" x14ac:dyDescent="0.25">
      <c r="B23"/>
      <c r="C23"/>
      <c r="D23"/>
    </row>
    <row r="24" spans="1:4" x14ac:dyDescent="0.25">
      <c r="B24"/>
      <c r="C24"/>
      <c r="D24"/>
    </row>
    <row r="25" spans="1:4" x14ac:dyDescent="0.25">
      <c r="B25"/>
      <c r="C25"/>
      <c r="D25"/>
    </row>
    <row r="26" spans="1:4" x14ac:dyDescent="0.25">
      <c r="B26"/>
      <c r="C26"/>
      <c r="D26"/>
    </row>
    <row r="27" spans="1:4" x14ac:dyDescent="0.25">
      <c r="B27"/>
      <c r="C27"/>
      <c r="D27"/>
    </row>
    <row r="28" spans="1:4" x14ac:dyDescent="0.25">
      <c r="B28"/>
      <c r="C28"/>
      <c r="D28"/>
    </row>
    <row r="29" spans="1:4" x14ac:dyDescent="0.25">
      <c r="B29"/>
      <c r="C29"/>
      <c r="D29"/>
    </row>
    <row r="30" spans="1:4" x14ac:dyDescent="0.25">
      <c r="B30"/>
      <c r="C30"/>
      <c r="D30"/>
    </row>
    <row r="31" spans="1:4" x14ac:dyDescent="0.25">
      <c r="B31"/>
      <c r="C31"/>
      <c r="D31"/>
    </row>
    <row r="32" spans="1:4" x14ac:dyDescent="0.25">
      <c r="B32"/>
      <c r="C32"/>
      <c r="D32"/>
    </row>
    <row r="33" customFormat="1" x14ac:dyDescent="0.25"/>
    <row r="34" customFormat="1" x14ac:dyDescent="0.25"/>
    <row r="35" customFormat="1" x14ac:dyDescent="0.25"/>
    <row r="36" customFormat="1" x14ac:dyDescent="0.25"/>
    <row r="37" customFormat="1" x14ac:dyDescent="0.25"/>
    <row r="38" customFormat="1" x14ac:dyDescent="0.25"/>
    <row r="39" customFormat="1" x14ac:dyDescent="0.25"/>
    <row r="40" customFormat="1" x14ac:dyDescent="0.25"/>
    <row r="41" customFormat="1" x14ac:dyDescent="0.25"/>
    <row r="42" customFormat="1" x14ac:dyDescent="0.25"/>
    <row r="43" customFormat="1" x14ac:dyDescent="0.25"/>
    <row r="44" customFormat="1" x14ac:dyDescent="0.25"/>
    <row r="45" customFormat="1" x14ac:dyDescent="0.25"/>
    <row r="46" customFormat="1" x14ac:dyDescent="0.25"/>
    <row r="47" customFormat="1" x14ac:dyDescent="0.25"/>
    <row r="48" customFormat="1" x14ac:dyDescent="0.25"/>
    <row r="49" customFormat="1" x14ac:dyDescent="0.25"/>
    <row r="50" customFormat="1" x14ac:dyDescent="0.25"/>
    <row r="51" customFormat="1" x14ac:dyDescent="0.25"/>
    <row r="52" customFormat="1" x14ac:dyDescent="0.25"/>
    <row r="53" customFormat="1" x14ac:dyDescent="0.25"/>
    <row r="54" customFormat="1" x14ac:dyDescent="0.25"/>
    <row r="55" customFormat="1" x14ac:dyDescent="0.25"/>
    <row r="56" customFormat="1" x14ac:dyDescent="0.25"/>
    <row r="57" customFormat="1" x14ac:dyDescent="0.25"/>
    <row r="58" customFormat="1" x14ac:dyDescent="0.25"/>
    <row r="59" customFormat="1" x14ac:dyDescent="0.25"/>
    <row r="60" customFormat="1" x14ac:dyDescent="0.25"/>
    <row r="61" customFormat="1" x14ac:dyDescent="0.25"/>
    <row r="62" customFormat="1" x14ac:dyDescent="0.25"/>
    <row r="63" customFormat="1" x14ac:dyDescent="0.25"/>
    <row r="64" customFormat="1" x14ac:dyDescent="0.25"/>
    <row r="65" customFormat="1" x14ac:dyDescent="0.25"/>
    <row r="66" customFormat="1" x14ac:dyDescent="0.25"/>
    <row r="67" customFormat="1" x14ac:dyDescent="0.25"/>
    <row r="68" customFormat="1" x14ac:dyDescent="0.25"/>
    <row r="69" customFormat="1" x14ac:dyDescent="0.25"/>
    <row r="70" customFormat="1" x14ac:dyDescent="0.25"/>
    <row r="71" customFormat="1" x14ac:dyDescent="0.25"/>
    <row r="72" customFormat="1" x14ac:dyDescent="0.25"/>
    <row r="73" customFormat="1" x14ac:dyDescent="0.25"/>
    <row r="74" customFormat="1" x14ac:dyDescent="0.25"/>
    <row r="75" customFormat="1" x14ac:dyDescent="0.25"/>
    <row r="76" customFormat="1" x14ac:dyDescent="0.25"/>
    <row r="77" customFormat="1" x14ac:dyDescent="0.25"/>
    <row r="78" customFormat="1" x14ac:dyDescent="0.25"/>
    <row r="79" customFormat="1" x14ac:dyDescent="0.25"/>
    <row r="80" customFormat="1" x14ac:dyDescent="0.25"/>
    <row r="81" customFormat="1" x14ac:dyDescent="0.25"/>
    <row r="82" customFormat="1" x14ac:dyDescent="0.25"/>
    <row r="83" customFormat="1" x14ac:dyDescent="0.25"/>
    <row r="84" customFormat="1" x14ac:dyDescent="0.25"/>
    <row r="85" customFormat="1" x14ac:dyDescent="0.25"/>
    <row r="86" customFormat="1" x14ac:dyDescent="0.25"/>
    <row r="87" customFormat="1" x14ac:dyDescent="0.25"/>
    <row r="88" customFormat="1" x14ac:dyDescent="0.25"/>
    <row r="89" customFormat="1" x14ac:dyDescent="0.25"/>
    <row r="90" customFormat="1" x14ac:dyDescent="0.25"/>
    <row r="91" customFormat="1" x14ac:dyDescent="0.25"/>
    <row r="92" customFormat="1" x14ac:dyDescent="0.25"/>
    <row r="93" customFormat="1" x14ac:dyDescent="0.25"/>
    <row r="94" customFormat="1" x14ac:dyDescent="0.25"/>
    <row r="95" customFormat="1" x14ac:dyDescent="0.25"/>
    <row r="96" customFormat="1" x14ac:dyDescent="0.25"/>
    <row r="97" customFormat="1" x14ac:dyDescent="0.25"/>
    <row r="98" customFormat="1" x14ac:dyDescent="0.25"/>
    <row r="99" customFormat="1" x14ac:dyDescent="0.25"/>
    <row r="100" customFormat="1" x14ac:dyDescent="0.25"/>
    <row r="101" customFormat="1" x14ac:dyDescent="0.25"/>
    <row r="102" customFormat="1" x14ac:dyDescent="0.25"/>
    <row r="103" customFormat="1" x14ac:dyDescent="0.25"/>
    <row r="104" customFormat="1" x14ac:dyDescent="0.25"/>
    <row r="105" customFormat="1" x14ac:dyDescent="0.25"/>
    <row r="106" customFormat="1" x14ac:dyDescent="0.25"/>
    <row r="107" customFormat="1" x14ac:dyDescent="0.25"/>
    <row r="108" customFormat="1" x14ac:dyDescent="0.25"/>
    <row r="109" customFormat="1" x14ac:dyDescent="0.25"/>
    <row r="110" customFormat="1" x14ac:dyDescent="0.25"/>
    <row r="111" customFormat="1" x14ac:dyDescent="0.25"/>
    <row r="112"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customFormat="1" x14ac:dyDescent="0.25"/>
    <row r="146" customFormat="1" x14ac:dyDescent="0.25"/>
    <row r="147" customFormat="1" x14ac:dyDescent="0.25"/>
    <row r="148" customFormat="1" x14ac:dyDescent="0.25"/>
    <row r="149" customFormat="1" x14ac:dyDescent="0.25"/>
    <row r="150" customFormat="1" x14ac:dyDescent="0.25"/>
    <row r="151" customFormat="1" x14ac:dyDescent="0.25"/>
    <row r="152" customFormat="1" x14ac:dyDescent="0.25"/>
    <row r="153" customFormat="1" x14ac:dyDescent="0.25"/>
    <row r="154" customFormat="1" x14ac:dyDescent="0.25"/>
    <row r="155" customFormat="1" x14ac:dyDescent="0.25"/>
    <row r="156" customFormat="1" x14ac:dyDescent="0.25"/>
    <row r="157" customFormat="1" x14ac:dyDescent="0.25"/>
    <row r="158" customFormat="1" x14ac:dyDescent="0.25"/>
    <row r="159" customFormat="1" x14ac:dyDescent="0.25"/>
    <row r="160" customFormat="1" x14ac:dyDescent="0.25"/>
    <row r="161" customFormat="1" x14ac:dyDescent="0.25"/>
    <row r="162" customFormat="1" x14ac:dyDescent="0.25"/>
    <row r="163" customFormat="1" x14ac:dyDescent="0.25"/>
    <row r="164" customFormat="1" x14ac:dyDescent="0.25"/>
    <row r="165" customFormat="1" x14ac:dyDescent="0.25"/>
    <row r="166" customFormat="1" x14ac:dyDescent="0.25"/>
    <row r="167" customFormat="1" x14ac:dyDescent="0.25"/>
    <row r="168" customFormat="1" x14ac:dyDescent="0.25"/>
    <row r="169" customFormat="1" x14ac:dyDescent="0.25"/>
    <row r="170" customFormat="1" x14ac:dyDescent="0.25"/>
    <row r="171" customFormat="1" x14ac:dyDescent="0.25"/>
    <row r="172" customFormat="1" x14ac:dyDescent="0.25"/>
    <row r="173" customFormat="1" x14ac:dyDescent="0.25"/>
    <row r="174" customFormat="1" x14ac:dyDescent="0.25"/>
    <row r="175" customFormat="1" x14ac:dyDescent="0.25"/>
    <row r="176" customFormat="1" x14ac:dyDescent="0.25"/>
    <row r="177" customFormat="1" x14ac:dyDescent="0.25"/>
    <row r="178" customFormat="1" x14ac:dyDescent="0.25"/>
    <row r="179" customFormat="1" x14ac:dyDescent="0.25"/>
    <row r="180" customFormat="1" x14ac:dyDescent="0.25"/>
    <row r="181" customFormat="1" x14ac:dyDescent="0.25"/>
    <row r="182" customFormat="1" x14ac:dyDescent="0.25"/>
    <row r="183" customFormat="1" x14ac:dyDescent="0.25"/>
    <row r="184" customFormat="1" x14ac:dyDescent="0.25"/>
    <row r="185" customFormat="1" x14ac:dyDescent="0.25"/>
    <row r="186" customFormat="1" x14ac:dyDescent="0.25"/>
    <row r="187" customFormat="1" x14ac:dyDescent="0.25"/>
    <row r="188" customFormat="1" x14ac:dyDescent="0.25"/>
    <row r="189" customFormat="1" x14ac:dyDescent="0.25"/>
    <row r="190" customFormat="1" x14ac:dyDescent="0.25"/>
    <row r="191" customFormat="1" x14ac:dyDescent="0.25"/>
    <row r="192" customFormat="1" x14ac:dyDescent="0.25"/>
    <row r="193" customFormat="1" x14ac:dyDescent="0.25"/>
    <row r="194" customFormat="1" x14ac:dyDescent="0.25"/>
    <row r="195" customFormat="1" x14ac:dyDescent="0.25"/>
    <row r="196" customFormat="1" x14ac:dyDescent="0.25"/>
    <row r="197" customFormat="1" x14ac:dyDescent="0.25"/>
    <row r="198" customFormat="1" x14ac:dyDescent="0.25"/>
    <row r="199" customFormat="1" x14ac:dyDescent="0.25"/>
    <row r="200" customFormat="1" x14ac:dyDescent="0.25"/>
    <row r="201" customFormat="1" x14ac:dyDescent="0.25"/>
    <row r="202" customFormat="1" x14ac:dyDescent="0.25"/>
    <row r="203" customFormat="1" x14ac:dyDescent="0.25"/>
    <row r="204" customFormat="1" x14ac:dyDescent="0.25"/>
    <row r="205" customFormat="1" x14ac:dyDescent="0.25"/>
    <row r="206" customFormat="1" x14ac:dyDescent="0.25"/>
    <row r="207" customFormat="1" x14ac:dyDescent="0.25"/>
    <row r="208" customFormat="1" x14ac:dyDescent="0.25"/>
    <row r="209" customFormat="1" x14ac:dyDescent="0.25"/>
    <row r="210" customFormat="1" x14ac:dyDescent="0.25"/>
    <row r="211" customFormat="1" x14ac:dyDescent="0.25"/>
    <row r="212" customFormat="1" x14ac:dyDescent="0.25"/>
    <row r="213" customFormat="1" x14ac:dyDescent="0.25"/>
    <row r="214" customFormat="1" x14ac:dyDescent="0.25"/>
    <row r="215" customFormat="1" x14ac:dyDescent="0.25"/>
    <row r="216" customFormat="1" x14ac:dyDescent="0.25"/>
    <row r="217" customFormat="1" x14ac:dyDescent="0.25"/>
    <row r="218" customFormat="1" x14ac:dyDescent="0.25"/>
    <row r="219" customFormat="1" x14ac:dyDescent="0.25"/>
    <row r="220" customFormat="1" x14ac:dyDescent="0.25"/>
    <row r="221" customFormat="1" x14ac:dyDescent="0.25"/>
    <row r="222" customFormat="1" x14ac:dyDescent="0.25"/>
    <row r="223" customFormat="1" x14ac:dyDescent="0.25"/>
    <row r="224" customFormat="1" x14ac:dyDescent="0.25"/>
    <row r="225" customFormat="1" x14ac:dyDescent="0.25"/>
    <row r="226" customFormat="1" x14ac:dyDescent="0.25"/>
    <row r="227" customFormat="1" x14ac:dyDescent="0.25"/>
    <row r="228" customFormat="1" x14ac:dyDescent="0.25"/>
    <row r="229" customFormat="1" x14ac:dyDescent="0.25"/>
    <row r="230" customFormat="1" x14ac:dyDescent="0.25"/>
    <row r="231" customFormat="1" x14ac:dyDescent="0.25"/>
    <row r="232" customFormat="1" x14ac:dyDescent="0.25"/>
    <row r="233" customFormat="1" x14ac:dyDescent="0.25"/>
    <row r="234" customFormat="1" x14ac:dyDescent="0.25"/>
    <row r="235" customFormat="1" x14ac:dyDescent="0.25"/>
    <row r="236" customFormat="1" x14ac:dyDescent="0.25"/>
    <row r="237" customFormat="1" x14ac:dyDescent="0.25"/>
    <row r="238" customFormat="1" x14ac:dyDescent="0.25"/>
    <row r="239" customFormat="1" x14ac:dyDescent="0.25"/>
    <row r="240" customFormat="1" x14ac:dyDescent="0.25"/>
    <row r="241" customFormat="1" x14ac:dyDescent="0.25"/>
    <row r="242" customFormat="1" x14ac:dyDescent="0.25"/>
    <row r="243" customFormat="1" x14ac:dyDescent="0.25"/>
    <row r="244" customFormat="1" x14ac:dyDescent="0.25"/>
    <row r="245" customFormat="1" x14ac:dyDescent="0.25"/>
    <row r="246" customFormat="1" x14ac:dyDescent="0.25"/>
    <row r="247" customFormat="1" x14ac:dyDescent="0.25"/>
    <row r="248" customFormat="1" x14ac:dyDescent="0.25"/>
    <row r="249" customFormat="1" x14ac:dyDescent="0.25"/>
    <row r="250" customFormat="1" x14ac:dyDescent="0.25"/>
    <row r="251" customFormat="1" x14ac:dyDescent="0.25"/>
    <row r="252" customFormat="1" x14ac:dyDescent="0.25"/>
    <row r="253" customFormat="1" x14ac:dyDescent="0.25"/>
    <row r="254" customFormat="1" x14ac:dyDescent="0.25"/>
    <row r="255" customFormat="1" x14ac:dyDescent="0.25"/>
    <row r="256" customFormat="1" x14ac:dyDescent="0.25"/>
    <row r="257" customFormat="1" x14ac:dyDescent="0.25"/>
  </sheetData>
  <pageMargins left="0.7" right="0.7" top="0.78740157499999996" bottom="0.78740157499999996"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34F89-B4ED-4808-9C00-A3B6C1DF5B63}">
  <dimension ref="A1"/>
  <sheetViews>
    <sheetView workbookViewId="0"/>
  </sheetViews>
  <sheetFormatPr baseColWidth="10" defaultRowHeight="15" x14ac:dyDescent="0.25"/>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2D85C-3C59-498C-B766-12C9EBD446D4}">
  <dimension ref="A1"/>
  <sheetViews>
    <sheetView workbookViewId="0">
      <selection activeCell="F4" sqref="F4"/>
    </sheetView>
  </sheetViews>
  <sheetFormatPr baseColWidth="10" defaultRowHeight="15" x14ac:dyDescent="0.25"/>
  <sheetData/>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F1B2D-1891-4987-A7E4-8A2F1DC5C462}">
  <dimension ref="A1:B11"/>
  <sheetViews>
    <sheetView workbookViewId="0">
      <selection activeCell="A12" sqref="A12"/>
    </sheetView>
  </sheetViews>
  <sheetFormatPr baseColWidth="10" defaultRowHeight="15" x14ac:dyDescent="0.25"/>
  <cols>
    <col min="1" max="1" width="28.85546875" customWidth="1"/>
    <col min="2" max="2" width="37.140625" customWidth="1"/>
  </cols>
  <sheetData>
    <row r="1" spans="1:2" ht="17.25" thickBot="1" x14ac:dyDescent="0.3">
      <c r="A1" s="2" t="s">
        <v>47</v>
      </c>
      <c r="B1" s="2" t="s">
        <v>48</v>
      </c>
    </row>
    <row r="2" spans="1:2" ht="17.25" thickBot="1" x14ac:dyDescent="0.3">
      <c r="A2" s="2" t="s">
        <v>49</v>
      </c>
      <c r="B2" s="3" t="s">
        <v>50</v>
      </c>
    </row>
    <row r="3" spans="1:2" ht="17.25" thickBot="1" x14ac:dyDescent="0.3">
      <c r="A3" s="2" t="s">
        <v>51</v>
      </c>
      <c r="B3" s="3" t="s">
        <v>52</v>
      </c>
    </row>
    <row r="4" spans="1:2" ht="33.75" thickBot="1" x14ac:dyDescent="0.3">
      <c r="A4" s="2" t="s">
        <v>53</v>
      </c>
      <c r="B4" s="3" t="s">
        <v>103</v>
      </c>
    </row>
    <row r="5" spans="1:2" ht="33.75" thickBot="1" x14ac:dyDescent="0.3">
      <c r="A5" s="2" t="s">
        <v>54</v>
      </c>
      <c r="B5" s="3" t="s">
        <v>104</v>
      </c>
    </row>
    <row r="6" spans="1:2" ht="33.75" thickBot="1" x14ac:dyDescent="0.3">
      <c r="A6" s="2" t="s">
        <v>55</v>
      </c>
      <c r="B6" s="3" t="s">
        <v>56</v>
      </c>
    </row>
    <row r="7" spans="1:2" ht="33.75" thickBot="1" x14ac:dyDescent="0.3">
      <c r="A7" s="2" t="s">
        <v>57</v>
      </c>
      <c r="B7" s="3" t="s">
        <v>58</v>
      </c>
    </row>
    <row r="8" spans="1:2" ht="17.25" thickBot="1" x14ac:dyDescent="0.3">
      <c r="A8" s="2" t="s">
        <v>59</v>
      </c>
      <c r="B8" s="3" t="s">
        <v>60</v>
      </c>
    </row>
    <row r="9" spans="1:2" ht="17.25" thickBot="1" x14ac:dyDescent="0.3">
      <c r="A9" s="2" t="s">
        <v>44</v>
      </c>
      <c r="B9" s="3" t="s">
        <v>61</v>
      </c>
    </row>
    <row r="10" spans="1:2" ht="33.75" thickBot="1" x14ac:dyDescent="0.3">
      <c r="A10" s="2" t="s">
        <v>62</v>
      </c>
      <c r="B10" s="3" t="s">
        <v>63</v>
      </c>
    </row>
    <row r="11" spans="1:2" ht="33.75" thickBot="1" x14ac:dyDescent="0.3">
      <c r="A11" s="2" t="s">
        <v>64</v>
      </c>
      <c r="B11" s="3" t="s">
        <v>65</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2922A7D-4765-471A-9F95-137C4BA0EB8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8</vt:i4>
      </vt:variant>
    </vt:vector>
  </HeadingPairs>
  <TitlesOfParts>
    <vt:vector size="8" baseType="lpstr">
      <vt:lpstr>Daten</vt:lpstr>
      <vt:lpstr>Auswertung</vt:lpstr>
      <vt:lpstr>Dashboard</vt:lpstr>
      <vt:lpstr>Pivot</vt:lpstr>
      <vt:lpstr>Portfolio</vt:lpstr>
      <vt:lpstr>Auswertung_2026</vt:lpstr>
      <vt:lpstr>Auswertung_2025</vt:lpstr>
      <vt:lpstr>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Talla Fotsing Roméo</dc:creator>
  <cp:lastModifiedBy>Talla Fotsing Roméo</cp:lastModifiedBy>
  <dcterms:created xsi:type="dcterms:W3CDTF">2026-08-26T08:37:56Z</dcterms:created>
  <dcterms:modified xsi:type="dcterms:W3CDTF">2026-09-28T07:39:57Z</dcterms:modified>
</cp:coreProperties>
</file>